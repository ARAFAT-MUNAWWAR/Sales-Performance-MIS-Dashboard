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E:\Excel 2026\Project\"/>
    </mc:Choice>
  </mc:AlternateContent>
  <xr:revisionPtr revIDLastSave="0" documentId="13_ncr:1_{35ADEB56-69DA-41D8-BF1F-081B4A14C5EB}" xr6:coauthVersionLast="47" xr6:coauthVersionMax="47" xr10:uidLastSave="{00000000-0000-0000-0000-000000000000}"/>
  <workbookProtection workbookAlgorithmName="SHA-512" workbookHashValue="7cK3ZUkip+zYEkEbYgqWMW9jeD2ikho+NtQvrAbwJkmN/X9ZHQIxQxmOwxTLzDznQI5W54tZzweUV0j5q5uBbQ==" workbookSaltValue="6RdoMeH+XQnckrDN39VflQ==" workbookSpinCount="100000" lockStructure="1"/>
  <bookViews>
    <workbookView xWindow="-120" yWindow="-120" windowWidth="29040" windowHeight="15840" xr2:uid="{00000000-000D-0000-FFFF-FFFF00000000}"/>
  </bookViews>
  <sheets>
    <sheet name="DASHBOARD" sheetId="6" r:id="rId1"/>
    <sheet name="PRODUCT_PERFORMANCE" sheetId="10" r:id="rId2"/>
    <sheet name="SALESMAN_PERFORMANCE" sheetId="15" r:id="rId3"/>
    <sheet name="ABOUT" sheetId="20" r:id="rId4"/>
    <sheet name="PT_DASHBOARD (KPI &amp; Reports)" sheetId="3" state="hidden" r:id="rId5"/>
    <sheet name="PT_PRODUCT (KPI &amp; REPORT" sheetId="11" state="hidden" r:id="rId6"/>
    <sheet name="PT_SALESMAN (KPI &amp; REPORT" sheetId="16" state="hidden" r:id="rId7"/>
    <sheet name="Data" sheetId="1" state="hidden" r:id="rId8"/>
    <sheet name="Target" sheetId="5" state="hidden" r:id="rId9"/>
  </sheets>
  <definedNames>
    <definedName name="_xlnm._FilterDatabase" localSheetId="7" hidden="1">Data!$A$1:$T$1567</definedName>
    <definedName name="_xlchart.v1.0" hidden="1">'PT_DASHBOARD (KPI &amp; Reports)'!$M$17:$M$26</definedName>
    <definedName name="_xlchart.v1.1" hidden="1">'PT_DASHBOARD (KPI &amp; Reports)'!$N$17:$N$26</definedName>
    <definedName name="NativeTimeline_Date">#N/A</definedName>
    <definedName name="NativeTimeline_Date1">#N/A</definedName>
    <definedName name="NativeTimeline_Date2">#N/A</definedName>
    <definedName name="Slicer_Customer_City">#N/A</definedName>
    <definedName name="Slicer_Customer_City1">#N/A</definedName>
    <definedName name="Slicer_Customer_City2">#N/A</definedName>
    <definedName name="Slicer_Customer_Type">#N/A</definedName>
    <definedName name="Slicer_Customer_Type1">#N/A</definedName>
    <definedName name="Slicer_Customer_Type2">#N/A</definedName>
    <definedName name="Slicer_Item">#N/A</definedName>
    <definedName name="Slicer_Payment_Mode">#N/A</definedName>
    <definedName name="Slicer_Payment_Mode1">#N/A</definedName>
    <definedName name="Slicer_Payment_Mode2">#N/A</definedName>
    <definedName name="Slicer_Region">#N/A</definedName>
    <definedName name="Slicer_Region1">#N/A</definedName>
    <definedName name="Slicer_Region2">#N/A</definedName>
    <definedName name="Slicer_Sales_Channel">#N/A</definedName>
    <definedName name="Slicer_Sales_Channel1">#N/A</definedName>
    <definedName name="Slicer_Sales_Channel2">#N/A</definedName>
    <definedName name="Slicer_Salesman">#N/A</definedName>
  </definedNames>
  <calcPr calcId="191029" forceFullCalc="1"/>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9"/>
        <x15:timelineCacheRef r:id="rId30"/>
        <x15:timelineCacheRef r:id="rId3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20" i="16" l="1"/>
  <c r="R21" i="16"/>
  <c r="R22" i="16"/>
  <c r="R23" i="16"/>
  <c r="R24" i="16"/>
  <c r="R25" i="16"/>
  <c r="H8" i="1"/>
  <c r="J8" i="1" s="1"/>
  <c r="H9" i="1"/>
  <c r="J9" i="1" s="1"/>
  <c r="H10" i="1"/>
  <c r="J10" i="1" s="1"/>
  <c r="K10" i="1" s="1"/>
  <c r="M10" i="1" s="1"/>
  <c r="N10" i="1" s="1"/>
  <c r="H11" i="1"/>
  <c r="H12" i="1"/>
  <c r="J12" i="1" s="1"/>
  <c r="H13" i="1"/>
  <c r="H14" i="1"/>
  <c r="J14" i="1" s="1"/>
  <c r="K14" i="1" s="1"/>
  <c r="M14" i="1" s="1"/>
  <c r="N14" i="1" s="1"/>
  <c r="H15" i="1"/>
  <c r="H16" i="1"/>
  <c r="J16" i="1" s="1"/>
  <c r="H17" i="1"/>
  <c r="J17" i="1" s="1"/>
  <c r="H18" i="1"/>
  <c r="H19" i="1"/>
  <c r="H20" i="1"/>
  <c r="J20" i="1" s="1"/>
  <c r="H21" i="1"/>
  <c r="J21" i="1" s="1"/>
  <c r="K21" i="1" s="1"/>
  <c r="M21" i="1" s="1"/>
  <c r="N21" i="1" s="1"/>
  <c r="H22" i="1"/>
  <c r="J22" i="1" s="1"/>
  <c r="K22" i="1" s="1"/>
  <c r="M22" i="1" s="1"/>
  <c r="N22" i="1" s="1"/>
  <c r="H23" i="1"/>
  <c r="H24" i="1"/>
  <c r="J24" i="1" s="1"/>
  <c r="H25" i="1"/>
  <c r="J25" i="1" s="1"/>
  <c r="H26" i="1"/>
  <c r="H27" i="1"/>
  <c r="H28" i="1"/>
  <c r="J28" i="1" s="1"/>
  <c r="H29" i="1"/>
  <c r="H30" i="1"/>
  <c r="J30" i="1" s="1"/>
  <c r="H31" i="1"/>
  <c r="J31" i="1" s="1"/>
  <c r="H32" i="1"/>
  <c r="J32" i="1" s="1"/>
  <c r="H33" i="1"/>
  <c r="J33" i="1" s="1"/>
  <c r="H34" i="1"/>
  <c r="J34" i="1" s="1"/>
  <c r="K34" i="1" s="1"/>
  <c r="M34" i="1" s="1"/>
  <c r="N34" i="1" s="1"/>
  <c r="H35" i="1"/>
  <c r="J35" i="1" s="1"/>
  <c r="H36" i="1"/>
  <c r="J36" i="1" s="1"/>
  <c r="H37" i="1"/>
  <c r="H38" i="1"/>
  <c r="J38" i="1" s="1"/>
  <c r="H39" i="1"/>
  <c r="J39" i="1" s="1"/>
  <c r="H40" i="1"/>
  <c r="J40" i="1" s="1"/>
  <c r="H41" i="1"/>
  <c r="J41" i="1" s="1"/>
  <c r="H42" i="1"/>
  <c r="J42" i="1" s="1"/>
  <c r="K42" i="1" s="1"/>
  <c r="M42" i="1" s="1"/>
  <c r="N42" i="1" s="1"/>
  <c r="H43" i="1"/>
  <c r="J43" i="1" s="1"/>
  <c r="H44" i="1"/>
  <c r="J44" i="1" s="1"/>
  <c r="H45" i="1"/>
  <c r="J45" i="1" s="1"/>
  <c r="H46" i="1"/>
  <c r="H47" i="1"/>
  <c r="J47" i="1" s="1"/>
  <c r="H48" i="1"/>
  <c r="J48" i="1" s="1"/>
  <c r="H49" i="1"/>
  <c r="J49" i="1" s="1"/>
  <c r="H50" i="1"/>
  <c r="H51" i="1"/>
  <c r="J51" i="1" s="1"/>
  <c r="H52" i="1"/>
  <c r="J52" i="1" s="1"/>
  <c r="H53" i="1"/>
  <c r="J53" i="1" s="1"/>
  <c r="H54" i="1"/>
  <c r="J54" i="1" s="1"/>
  <c r="H55" i="1"/>
  <c r="J55" i="1" s="1"/>
  <c r="H56" i="1"/>
  <c r="J56" i="1" s="1"/>
  <c r="H57" i="1"/>
  <c r="H58" i="1"/>
  <c r="J58" i="1" s="1"/>
  <c r="K58" i="1" s="1"/>
  <c r="M58" i="1" s="1"/>
  <c r="N58" i="1" s="1"/>
  <c r="H59" i="1"/>
  <c r="J59" i="1" s="1"/>
  <c r="H60" i="1"/>
  <c r="J60" i="1" s="1"/>
  <c r="H61" i="1"/>
  <c r="J61" i="1" s="1"/>
  <c r="K61" i="1" s="1"/>
  <c r="M61" i="1" s="1"/>
  <c r="N61" i="1" s="1"/>
  <c r="H62" i="1"/>
  <c r="J62" i="1" s="1"/>
  <c r="K62" i="1" s="1"/>
  <c r="M62" i="1" s="1"/>
  <c r="N62" i="1" s="1"/>
  <c r="H63" i="1"/>
  <c r="J63" i="1" s="1"/>
  <c r="H64" i="1"/>
  <c r="J64" i="1" s="1"/>
  <c r="H65" i="1"/>
  <c r="J65" i="1" s="1"/>
  <c r="K65" i="1" s="1"/>
  <c r="M65" i="1" s="1"/>
  <c r="N65" i="1" s="1"/>
  <c r="H66" i="1"/>
  <c r="H67" i="1"/>
  <c r="J67" i="1" s="1"/>
  <c r="H68" i="1"/>
  <c r="J68" i="1" s="1"/>
  <c r="H69" i="1"/>
  <c r="J69" i="1" s="1"/>
  <c r="H70" i="1"/>
  <c r="H71" i="1"/>
  <c r="J71" i="1" s="1"/>
  <c r="H72" i="1"/>
  <c r="J72" i="1" s="1"/>
  <c r="H73" i="1"/>
  <c r="J73" i="1" s="1"/>
  <c r="H74" i="1"/>
  <c r="J74" i="1" s="1"/>
  <c r="K74" i="1" s="1"/>
  <c r="M74" i="1" s="1"/>
  <c r="N74" i="1" s="1"/>
  <c r="H75" i="1"/>
  <c r="J75" i="1" s="1"/>
  <c r="H76" i="1"/>
  <c r="J76" i="1" s="1"/>
  <c r="H77" i="1"/>
  <c r="J77" i="1" s="1"/>
  <c r="H78" i="1"/>
  <c r="H79" i="1"/>
  <c r="J79" i="1" s="1"/>
  <c r="H80" i="1"/>
  <c r="J80" i="1" s="1"/>
  <c r="H81" i="1"/>
  <c r="J81" i="1" s="1"/>
  <c r="H82" i="1"/>
  <c r="H83" i="1"/>
  <c r="J83" i="1" s="1"/>
  <c r="H84" i="1"/>
  <c r="J84" i="1" s="1"/>
  <c r="H85" i="1"/>
  <c r="H86" i="1"/>
  <c r="J86" i="1" s="1"/>
  <c r="H87" i="1"/>
  <c r="J87" i="1" s="1"/>
  <c r="H88" i="1"/>
  <c r="J88" i="1" s="1"/>
  <c r="H89" i="1"/>
  <c r="J89" i="1" s="1"/>
  <c r="H90" i="1"/>
  <c r="J90" i="1" s="1"/>
  <c r="H91" i="1"/>
  <c r="J91" i="1" s="1"/>
  <c r="H92" i="1"/>
  <c r="J92" i="1" s="1"/>
  <c r="H93" i="1"/>
  <c r="J93" i="1" s="1"/>
  <c r="K93" i="1" s="1"/>
  <c r="M93" i="1" s="1"/>
  <c r="N93" i="1" s="1"/>
  <c r="H94" i="1"/>
  <c r="J94" i="1" s="1"/>
  <c r="K94" i="1" s="1"/>
  <c r="M94" i="1" s="1"/>
  <c r="N94" i="1" s="1"/>
  <c r="H95" i="1"/>
  <c r="J95" i="1" s="1"/>
  <c r="H96" i="1"/>
  <c r="J96" i="1" s="1"/>
  <c r="H97" i="1"/>
  <c r="J97" i="1" s="1"/>
  <c r="H98" i="1"/>
  <c r="J98" i="1" s="1"/>
  <c r="H99" i="1"/>
  <c r="J99" i="1" s="1"/>
  <c r="H100" i="1"/>
  <c r="J100" i="1" s="1"/>
  <c r="H101" i="1"/>
  <c r="J101" i="1" s="1"/>
  <c r="H102" i="1"/>
  <c r="J102" i="1" s="1"/>
  <c r="K102" i="1" s="1"/>
  <c r="M102" i="1" s="1"/>
  <c r="N102" i="1" s="1"/>
  <c r="H103" i="1"/>
  <c r="J103" i="1" s="1"/>
  <c r="H104" i="1"/>
  <c r="J104" i="1" s="1"/>
  <c r="K104" i="1" s="1"/>
  <c r="M104" i="1" s="1"/>
  <c r="N104" i="1" s="1"/>
  <c r="H105" i="1"/>
  <c r="J105" i="1" s="1"/>
  <c r="K105" i="1" s="1"/>
  <c r="M105" i="1" s="1"/>
  <c r="N105" i="1" s="1"/>
  <c r="H106" i="1"/>
  <c r="J106" i="1" s="1"/>
  <c r="K106" i="1" s="1"/>
  <c r="M106" i="1" s="1"/>
  <c r="N106" i="1" s="1"/>
  <c r="H107" i="1"/>
  <c r="J107" i="1" s="1"/>
  <c r="H108" i="1"/>
  <c r="H109" i="1"/>
  <c r="J109" i="1" s="1"/>
  <c r="K109" i="1" s="1"/>
  <c r="M109" i="1" s="1"/>
  <c r="N109" i="1" s="1"/>
  <c r="H110" i="1"/>
  <c r="J110" i="1" s="1"/>
  <c r="K110" i="1" s="1"/>
  <c r="M110" i="1" s="1"/>
  <c r="N110" i="1" s="1"/>
  <c r="H111" i="1"/>
  <c r="J111" i="1" s="1"/>
  <c r="H112" i="1"/>
  <c r="J112" i="1" s="1"/>
  <c r="H113" i="1"/>
  <c r="J113" i="1" s="1"/>
  <c r="K113" i="1" s="1"/>
  <c r="M113" i="1" s="1"/>
  <c r="N113" i="1" s="1"/>
  <c r="H114" i="1"/>
  <c r="J114" i="1" s="1"/>
  <c r="K114" i="1" s="1"/>
  <c r="M114" i="1" s="1"/>
  <c r="N114" i="1" s="1"/>
  <c r="H115" i="1"/>
  <c r="J115" i="1" s="1"/>
  <c r="H116" i="1"/>
  <c r="H117" i="1"/>
  <c r="J117" i="1" s="1"/>
  <c r="K117" i="1" s="1"/>
  <c r="M117" i="1" s="1"/>
  <c r="N117" i="1" s="1"/>
  <c r="H118" i="1"/>
  <c r="J118" i="1" s="1"/>
  <c r="K118" i="1" s="1"/>
  <c r="M118" i="1" s="1"/>
  <c r="N118" i="1" s="1"/>
  <c r="H119" i="1"/>
  <c r="J119" i="1" s="1"/>
  <c r="H120" i="1"/>
  <c r="J120" i="1" s="1"/>
  <c r="H121" i="1"/>
  <c r="J121" i="1" s="1"/>
  <c r="K121" i="1" s="1"/>
  <c r="M121" i="1" s="1"/>
  <c r="N121" i="1" s="1"/>
  <c r="H122" i="1"/>
  <c r="J122" i="1" s="1"/>
  <c r="K122" i="1" s="1"/>
  <c r="M122" i="1" s="1"/>
  <c r="N122" i="1" s="1"/>
  <c r="H123" i="1"/>
  <c r="J123" i="1" s="1"/>
  <c r="H124" i="1"/>
  <c r="H125" i="1"/>
  <c r="J125" i="1" s="1"/>
  <c r="K125" i="1" s="1"/>
  <c r="M125" i="1" s="1"/>
  <c r="N125" i="1" s="1"/>
  <c r="H126" i="1"/>
  <c r="J126" i="1" s="1"/>
  <c r="K126" i="1" s="1"/>
  <c r="M126" i="1" s="1"/>
  <c r="N126" i="1" s="1"/>
  <c r="H127" i="1"/>
  <c r="J127" i="1" s="1"/>
  <c r="H128" i="1"/>
  <c r="J128" i="1" s="1"/>
  <c r="H129" i="1"/>
  <c r="J129" i="1" s="1"/>
  <c r="K129" i="1" s="1"/>
  <c r="M129" i="1" s="1"/>
  <c r="N129" i="1" s="1"/>
  <c r="H130" i="1"/>
  <c r="J130" i="1" s="1"/>
  <c r="K130" i="1" s="1"/>
  <c r="M130" i="1" s="1"/>
  <c r="N130" i="1" s="1"/>
  <c r="H131" i="1"/>
  <c r="J131" i="1" s="1"/>
  <c r="H132" i="1"/>
  <c r="H133" i="1"/>
  <c r="J133" i="1" s="1"/>
  <c r="K133" i="1" s="1"/>
  <c r="M133" i="1" s="1"/>
  <c r="N133" i="1" s="1"/>
  <c r="H134" i="1"/>
  <c r="J134" i="1" s="1"/>
  <c r="K134" i="1" s="1"/>
  <c r="M134" i="1" s="1"/>
  <c r="N134" i="1" s="1"/>
  <c r="H135" i="1"/>
  <c r="J135" i="1" s="1"/>
  <c r="H136" i="1"/>
  <c r="J136" i="1" s="1"/>
  <c r="H137" i="1"/>
  <c r="J137" i="1" s="1"/>
  <c r="K137" i="1" s="1"/>
  <c r="M137" i="1" s="1"/>
  <c r="N137" i="1" s="1"/>
  <c r="H138" i="1"/>
  <c r="J138" i="1" s="1"/>
  <c r="K138" i="1" s="1"/>
  <c r="M138" i="1" s="1"/>
  <c r="N138" i="1" s="1"/>
  <c r="H139" i="1"/>
  <c r="J139" i="1" s="1"/>
  <c r="H140" i="1"/>
  <c r="H141" i="1"/>
  <c r="J141" i="1" s="1"/>
  <c r="K141" i="1" s="1"/>
  <c r="M141" i="1" s="1"/>
  <c r="N141" i="1" s="1"/>
  <c r="H142" i="1"/>
  <c r="J142" i="1" s="1"/>
  <c r="K142" i="1" s="1"/>
  <c r="M142" i="1" s="1"/>
  <c r="N142" i="1" s="1"/>
  <c r="H143" i="1"/>
  <c r="J143" i="1" s="1"/>
  <c r="H144" i="1"/>
  <c r="J144" i="1" s="1"/>
  <c r="H145" i="1"/>
  <c r="J145" i="1" s="1"/>
  <c r="K145" i="1" s="1"/>
  <c r="M145" i="1" s="1"/>
  <c r="N145" i="1" s="1"/>
  <c r="H146" i="1"/>
  <c r="J146" i="1" s="1"/>
  <c r="K146" i="1" s="1"/>
  <c r="M146" i="1" s="1"/>
  <c r="N146" i="1" s="1"/>
  <c r="H147" i="1"/>
  <c r="J147" i="1" s="1"/>
  <c r="H148" i="1"/>
  <c r="H149" i="1"/>
  <c r="J149" i="1" s="1"/>
  <c r="K149" i="1" s="1"/>
  <c r="M149" i="1" s="1"/>
  <c r="N149" i="1" s="1"/>
  <c r="H150" i="1"/>
  <c r="J150" i="1" s="1"/>
  <c r="K150" i="1" s="1"/>
  <c r="M150" i="1" s="1"/>
  <c r="N150" i="1" s="1"/>
  <c r="H151" i="1"/>
  <c r="J151" i="1" s="1"/>
  <c r="H152" i="1"/>
  <c r="J152" i="1" s="1"/>
  <c r="H153" i="1"/>
  <c r="J153" i="1" s="1"/>
  <c r="K153" i="1" s="1"/>
  <c r="M153" i="1" s="1"/>
  <c r="N153" i="1" s="1"/>
  <c r="H154" i="1"/>
  <c r="J154" i="1" s="1"/>
  <c r="K154" i="1" s="1"/>
  <c r="M154" i="1" s="1"/>
  <c r="N154" i="1" s="1"/>
  <c r="H155" i="1"/>
  <c r="J155" i="1" s="1"/>
  <c r="H156" i="1"/>
  <c r="H157" i="1"/>
  <c r="J157" i="1" s="1"/>
  <c r="K157" i="1" s="1"/>
  <c r="M157" i="1" s="1"/>
  <c r="N157" i="1" s="1"/>
  <c r="H158" i="1"/>
  <c r="J158" i="1" s="1"/>
  <c r="K158" i="1" s="1"/>
  <c r="M158" i="1" s="1"/>
  <c r="N158" i="1" s="1"/>
  <c r="H159" i="1"/>
  <c r="J159" i="1" s="1"/>
  <c r="H160" i="1"/>
  <c r="J160" i="1" s="1"/>
  <c r="H161" i="1"/>
  <c r="J161" i="1" s="1"/>
  <c r="K161" i="1" s="1"/>
  <c r="M161" i="1" s="1"/>
  <c r="N161" i="1" s="1"/>
  <c r="H162" i="1"/>
  <c r="J162" i="1" s="1"/>
  <c r="K162" i="1" s="1"/>
  <c r="M162" i="1" s="1"/>
  <c r="N162" i="1" s="1"/>
  <c r="H163" i="1"/>
  <c r="J163" i="1" s="1"/>
  <c r="H164" i="1"/>
  <c r="H165" i="1"/>
  <c r="J165" i="1" s="1"/>
  <c r="K165" i="1" s="1"/>
  <c r="M165" i="1" s="1"/>
  <c r="N165" i="1" s="1"/>
  <c r="H166" i="1"/>
  <c r="J166" i="1" s="1"/>
  <c r="K166" i="1" s="1"/>
  <c r="M166" i="1" s="1"/>
  <c r="N166" i="1" s="1"/>
  <c r="H167" i="1"/>
  <c r="J167" i="1" s="1"/>
  <c r="H168" i="1"/>
  <c r="H169" i="1"/>
  <c r="J169" i="1" s="1"/>
  <c r="K169" i="1" s="1"/>
  <c r="M169" i="1" s="1"/>
  <c r="N169" i="1" s="1"/>
  <c r="H170" i="1"/>
  <c r="J170" i="1" s="1"/>
  <c r="K170" i="1" s="1"/>
  <c r="M170" i="1" s="1"/>
  <c r="N170" i="1" s="1"/>
  <c r="H171" i="1"/>
  <c r="J171" i="1" s="1"/>
  <c r="H172" i="1"/>
  <c r="H173" i="1"/>
  <c r="H174" i="1"/>
  <c r="H175" i="1"/>
  <c r="J175" i="1" s="1"/>
  <c r="H176" i="1"/>
  <c r="J176" i="1" s="1"/>
  <c r="H177" i="1"/>
  <c r="H178" i="1"/>
  <c r="J178" i="1" s="1"/>
  <c r="K178" i="1" s="1"/>
  <c r="M178" i="1" s="1"/>
  <c r="N178" i="1" s="1"/>
  <c r="H179" i="1"/>
  <c r="J179" i="1" s="1"/>
  <c r="H180" i="1"/>
  <c r="H181" i="1"/>
  <c r="H182" i="1"/>
  <c r="H183" i="1"/>
  <c r="J183" i="1" s="1"/>
  <c r="H184" i="1"/>
  <c r="H185" i="1"/>
  <c r="J185" i="1" s="1"/>
  <c r="K185" i="1" s="1"/>
  <c r="M185" i="1" s="1"/>
  <c r="N185" i="1" s="1"/>
  <c r="H186" i="1"/>
  <c r="J186" i="1" s="1"/>
  <c r="K186" i="1" s="1"/>
  <c r="M186" i="1" s="1"/>
  <c r="N186" i="1" s="1"/>
  <c r="H187" i="1"/>
  <c r="J187" i="1" s="1"/>
  <c r="H188" i="1"/>
  <c r="H189" i="1"/>
  <c r="H190" i="1"/>
  <c r="H191" i="1"/>
  <c r="J191" i="1" s="1"/>
  <c r="H192" i="1"/>
  <c r="J192" i="1" s="1"/>
  <c r="H193" i="1"/>
  <c r="J193" i="1" s="1"/>
  <c r="K193" i="1" s="1"/>
  <c r="M193" i="1" s="1"/>
  <c r="N193" i="1" s="1"/>
  <c r="H194" i="1"/>
  <c r="J194" i="1" s="1"/>
  <c r="K194" i="1" s="1"/>
  <c r="M194" i="1" s="1"/>
  <c r="N194" i="1" s="1"/>
  <c r="H195" i="1"/>
  <c r="J195" i="1" s="1"/>
  <c r="H196" i="1"/>
  <c r="H197" i="1"/>
  <c r="H198" i="1"/>
  <c r="J198" i="1" s="1"/>
  <c r="K198" i="1" s="1"/>
  <c r="M198" i="1" s="1"/>
  <c r="N198" i="1" s="1"/>
  <c r="H199" i="1"/>
  <c r="J199" i="1" s="1"/>
  <c r="H200" i="1"/>
  <c r="H201" i="1"/>
  <c r="J201" i="1" s="1"/>
  <c r="H202" i="1"/>
  <c r="J202" i="1" s="1"/>
  <c r="H203" i="1"/>
  <c r="J203" i="1" s="1"/>
  <c r="H204" i="1"/>
  <c r="J204" i="1" s="1"/>
  <c r="K204" i="1" s="1"/>
  <c r="M204" i="1" s="1"/>
  <c r="N204" i="1" s="1"/>
  <c r="H205" i="1"/>
  <c r="J205" i="1" s="1"/>
  <c r="K205" i="1" s="1"/>
  <c r="M205" i="1" s="1"/>
  <c r="N205" i="1" s="1"/>
  <c r="H206" i="1"/>
  <c r="J206" i="1" s="1"/>
  <c r="K206" i="1" s="1"/>
  <c r="M206" i="1" s="1"/>
  <c r="N206" i="1" s="1"/>
  <c r="H207" i="1"/>
  <c r="J207" i="1" s="1"/>
  <c r="H208" i="1"/>
  <c r="J208" i="1" s="1"/>
  <c r="K208" i="1" s="1"/>
  <c r="M208" i="1" s="1"/>
  <c r="N208" i="1" s="1"/>
  <c r="H209" i="1"/>
  <c r="H210" i="1"/>
  <c r="J210" i="1" s="1"/>
  <c r="H211" i="1"/>
  <c r="J211" i="1" s="1"/>
  <c r="H212" i="1"/>
  <c r="J212" i="1" s="1"/>
  <c r="H213" i="1"/>
  <c r="J213" i="1" s="1"/>
  <c r="K213" i="1" s="1"/>
  <c r="M213" i="1" s="1"/>
  <c r="N213" i="1" s="1"/>
  <c r="H214" i="1"/>
  <c r="J214" i="1" s="1"/>
  <c r="K214" i="1" s="1"/>
  <c r="M214" i="1" s="1"/>
  <c r="N214" i="1" s="1"/>
  <c r="H215" i="1"/>
  <c r="J215" i="1" s="1"/>
  <c r="H216" i="1"/>
  <c r="J216" i="1" s="1"/>
  <c r="H217" i="1"/>
  <c r="H218" i="1"/>
  <c r="J218" i="1" s="1"/>
  <c r="H219" i="1"/>
  <c r="J219" i="1" s="1"/>
  <c r="H220" i="1"/>
  <c r="J220" i="1" s="1"/>
  <c r="H221" i="1"/>
  <c r="J221" i="1" s="1"/>
  <c r="K221" i="1" s="1"/>
  <c r="M221" i="1" s="1"/>
  <c r="N221" i="1" s="1"/>
  <c r="H222" i="1"/>
  <c r="J222" i="1" s="1"/>
  <c r="K222" i="1" s="1"/>
  <c r="M222" i="1" s="1"/>
  <c r="N222" i="1" s="1"/>
  <c r="H223" i="1"/>
  <c r="J223" i="1" s="1"/>
  <c r="H224" i="1"/>
  <c r="J224" i="1" s="1"/>
  <c r="H225" i="1"/>
  <c r="J225" i="1" s="1"/>
  <c r="H226" i="1"/>
  <c r="H227" i="1"/>
  <c r="J227" i="1" s="1"/>
  <c r="H228" i="1"/>
  <c r="J228" i="1" s="1"/>
  <c r="H229" i="1"/>
  <c r="J229" i="1" s="1"/>
  <c r="K229" i="1" s="1"/>
  <c r="M229" i="1" s="1"/>
  <c r="N229" i="1" s="1"/>
  <c r="H230" i="1"/>
  <c r="J230" i="1" s="1"/>
  <c r="K230" i="1" s="1"/>
  <c r="M230" i="1" s="1"/>
  <c r="N230" i="1" s="1"/>
  <c r="H231" i="1"/>
  <c r="J231" i="1" s="1"/>
  <c r="H232" i="1"/>
  <c r="H233" i="1"/>
  <c r="J233" i="1" s="1"/>
  <c r="K233" i="1" s="1"/>
  <c r="M233" i="1" s="1"/>
  <c r="N233" i="1" s="1"/>
  <c r="H234" i="1"/>
  <c r="J234" i="1" s="1"/>
  <c r="K234" i="1" s="1"/>
  <c r="M234" i="1" s="1"/>
  <c r="N234" i="1" s="1"/>
  <c r="H235" i="1"/>
  <c r="J235" i="1" s="1"/>
  <c r="H236" i="1"/>
  <c r="J236" i="1" s="1"/>
  <c r="H237" i="1"/>
  <c r="H238" i="1"/>
  <c r="J238" i="1" s="1"/>
  <c r="H239" i="1"/>
  <c r="J239" i="1" s="1"/>
  <c r="H240" i="1"/>
  <c r="J240" i="1" s="1"/>
  <c r="H241" i="1"/>
  <c r="J241" i="1" s="1"/>
  <c r="H242" i="1"/>
  <c r="H243" i="1"/>
  <c r="J243" i="1" s="1"/>
  <c r="K243" i="1" s="1"/>
  <c r="M243" i="1" s="1"/>
  <c r="N243" i="1" s="1"/>
  <c r="H244" i="1"/>
  <c r="J244" i="1" s="1"/>
  <c r="H245" i="1"/>
  <c r="H246" i="1"/>
  <c r="J246" i="1" s="1"/>
  <c r="K246" i="1" s="1"/>
  <c r="M246" i="1" s="1"/>
  <c r="N246" i="1" s="1"/>
  <c r="H247" i="1"/>
  <c r="J247" i="1" s="1"/>
  <c r="H248" i="1"/>
  <c r="J248" i="1" s="1"/>
  <c r="H249" i="1"/>
  <c r="J249" i="1" s="1"/>
  <c r="H250" i="1"/>
  <c r="J250" i="1" s="1"/>
  <c r="K250" i="1" s="1"/>
  <c r="M250" i="1" s="1"/>
  <c r="N250" i="1" s="1"/>
  <c r="H251" i="1"/>
  <c r="J251" i="1" s="1"/>
  <c r="K251" i="1" s="1"/>
  <c r="M251" i="1" s="1"/>
  <c r="N251" i="1" s="1"/>
  <c r="H252" i="1"/>
  <c r="J252" i="1" s="1"/>
  <c r="H253" i="1"/>
  <c r="H254" i="1"/>
  <c r="J254" i="1" s="1"/>
  <c r="H255" i="1"/>
  <c r="J255" i="1" s="1"/>
  <c r="H256" i="1"/>
  <c r="J256" i="1" s="1"/>
  <c r="H257" i="1"/>
  <c r="J257" i="1" s="1"/>
  <c r="H258" i="1"/>
  <c r="H259" i="1"/>
  <c r="J259" i="1" s="1"/>
  <c r="K259" i="1" s="1"/>
  <c r="M259" i="1" s="1"/>
  <c r="N259" i="1" s="1"/>
  <c r="H260" i="1"/>
  <c r="J260" i="1" s="1"/>
  <c r="H261" i="1"/>
  <c r="H262" i="1"/>
  <c r="J262" i="1" s="1"/>
  <c r="K262" i="1" s="1"/>
  <c r="M262" i="1" s="1"/>
  <c r="N262" i="1" s="1"/>
  <c r="H263" i="1"/>
  <c r="J263" i="1" s="1"/>
  <c r="H264" i="1"/>
  <c r="J264" i="1" s="1"/>
  <c r="H265" i="1"/>
  <c r="J265" i="1" s="1"/>
  <c r="H266" i="1"/>
  <c r="J266" i="1" s="1"/>
  <c r="H267" i="1"/>
  <c r="J267" i="1" s="1"/>
  <c r="H268" i="1"/>
  <c r="J268" i="1" s="1"/>
  <c r="H269" i="1"/>
  <c r="H270" i="1"/>
  <c r="J270" i="1" s="1"/>
  <c r="K270" i="1" s="1"/>
  <c r="M270" i="1" s="1"/>
  <c r="N270" i="1" s="1"/>
  <c r="H271" i="1"/>
  <c r="H272" i="1"/>
  <c r="J272" i="1" s="1"/>
  <c r="H273" i="1"/>
  <c r="H274" i="1"/>
  <c r="J274" i="1" s="1"/>
  <c r="H275" i="1"/>
  <c r="J275" i="1" s="1"/>
  <c r="H276" i="1"/>
  <c r="J276" i="1" s="1"/>
  <c r="H277" i="1"/>
  <c r="H278" i="1"/>
  <c r="J278" i="1" s="1"/>
  <c r="H279" i="1"/>
  <c r="J279" i="1" s="1"/>
  <c r="K279" i="1" s="1"/>
  <c r="M279" i="1" s="1"/>
  <c r="N279" i="1" s="1"/>
  <c r="H280" i="1"/>
  <c r="J280" i="1" s="1"/>
  <c r="H281" i="1"/>
  <c r="J281" i="1" s="1"/>
  <c r="H282" i="1"/>
  <c r="J282" i="1" s="1"/>
  <c r="H283" i="1"/>
  <c r="J283" i="1" s="1"/>
  <c r="K283" i="1" s="1"/>
  <c r="M283" i="1" s="1"/>
  <c r="N283" i="1" s="1"/>
  <c r="H284" i="1"/>
  <c r="J284" i="1" s="1"/>
  <c r="H285" i="1"/>
  <c r="H286" i="1"/>
  <c r="J286" i="1" s="1"/>
  <c r="K286" i="1" s="1"/>
  <c r="M286" i="1" s="1"/>
  <c r="N286" i="1" s="1"/>
  <c r="H287" i="1"/>
  <c r="J287" i="1" s="1"/>
  <c r="H288" i="1"/>
  <c r="J288" i="1" s="1"/>
  <c r="H289" i="1"/>
  <c r="J289" i="1" s="1"/>
  <c r="H290" i="1"/>
  <c r="H291" i="1"/>
  <c r="H292" i="1"/>
  <c r="J292" i="1" s="1"/>
  <c r="H293" i="1"/>
  <c r="H294" i="1"/>
  <c r="J294" i="1" s="1"/>
  <c r="H295" i="1"/>
  <c r="J295" i="1" s="1"/>
  <c r="H296" i="1"/>
  <c r="J296" i="1" s="1"/>
  <c r="H297" i="1"/>
  <c r="J297" i="1" s="1"/>
  <c r="H298" i="1"/>
  <c r="J298" i="1" s="1"/>
  <c r="H299" i="1"/>
  <c r="J299" i="1" s="1"/>
  <c r="K299" i="1" s="1"/>
  <c r="M299" i="1" s="1"/>
  <c r="N299" i="1" s="1"/>
  <c r="H300" i="1"/>
  <c r="J300" i="1" s="1"/>
  <c r="H301" i="1"/>
  <c r="H302" i="1"/>
  <c r="J302" i="1" s="1"/>
  <c r="H303" i="1"/>
  <c r="H304" i="1"/>
  <c r="J304" i="1" s="1"/>
  <c r="H305" i="1"/>
  <c r="J305" i="1" s="1"/>
  <c r="H306" i="1"/>
  <c r="J306" i="1" s="1"/>
  <c r="H307" i="1"/>
  <c r="J307" i="1" s="1"/>
  <c r="K307" i="1" s="1"/>
  <c r="M307" i="1" s="1"/>
  <c r="N307" i="1" s="1"/>
  <c r="H308" i="1"/>
  <c r="J308" i="1" s="1"/>
  <c r="H309" i="1"/>
  <c r="H310" i="1"/>
  <c r="J310" i="1" s="1"/>
  <c r="H311" i="1"/>
  <c r="J311" i="1" s="1"/>
  <c r="H312" i="1"/>
  <c r="J312" i="1" s="1"/>
  <c r="H313" i="1"/>
  <c r="J313" i="1" s="1"/>
  <c r="H314" i="1"/>
  <c r="J314" i="1" s="1"/>
  <c r="H315" i="1"/>
  <c r="J315" i="1" s="1"/>
  <c r="K315" i="1" s="1"/>
  <c r="M315" i="1" s="1"/>
  <c r="N315" i="1" s="1"/>
  <c r="H316" i="1"/>
  <c r="J316" i="1" s="1"/>
  <c r="H317" i="1"/>
  <c r="H318" i="1"/>
  <c r="J318" i="1" s="1"/>
  <c r="H319" i="1"/>
  <c r="J319" i="1" s="1"/>
  <c r="H320" i="1"/>
  <c r="J320" i="1" s="1"/>
  <c r="H321" i="1"/>
  <c r="J321" i="1" s="1"/>
  <c r="H322" i="1"/>
  <c r="H323" i="1"/>
  <c r="J323" i="1" s="1"/>
  <c r="K323" i="1" s="1"/>
  <c r="M323" i="1" s="1"/>
  <c r="N323" i="1" s="1"/>
  <c r="H324" i="1"/>
  <c r="J324" i="1" s="1"/>
  <c r="H325" i="1"/>
  <c r="H326" i="1"/>
  <c r="J326" i="1" s="1"/>
  <c r="H327" i="1"/>
  <c r="J327" i="1" s="1"/>
  <c r="H328" i="1"/>
  <c r="J328" i="1" s="1"/>
  <c r="H329" i="1"/>
  <c r="J329" i="1" s="1"/>
  <c r="H330" i="1"/>
  <c r="J330" i="1" s="1"/>
  <c r="H331" i="1"/>
  <c r="J331" i="1" s="1"/>
  <c r="K331" i="1" s="1"/>
  <c r="M331" i="1" s="1"/>
  <c r="N331" i="1" s="1"/>
  <c r="H332" i="1"/>
  <c r="J332" i="1" s="1"/>
  <c r="H333" i="1"/>
  <c r="H334" i="1"/>
  <c r="J334" i="1" s="1"/>
  <c r="H335" i="1"/>
  <c r="H336" i="1"/>
  <c r="J336" i="1" s="1"/>
  <c r="H337" i="1"/>
  <c r="H338" i="1"/>
  <c r="J338" i="1" s="1"/>
  <c r="H339" i="1"/>
  <c r="J339" i="1" s="1"/>
  <c r="H340" i="1"/>
  <c r="J340" i="1" s="1"/>
  <c r="H341" i="1"/>
  <c r="H342" i="1"/>
  <c r="J342" i="1" s="1"/>
  <c r="H343" i="1"/>
  <c r="J343" i="1" s="1"/>
  <c r="H344" i="1"/>
  <c r="J344" i="1" s="1"/>
  <c r="H345" i="1"/>
  <c r="J345" i="1" s="1"/>
  <c r="K345" i="1" s="1"/>
  <c r="M345" i="1" s="1"/>
  <c r="N345" i="1" s="1"/>
  <c r="H346" i="1"/>
  <c r="J346" i="1" s="1"/>
  <c r="H347" i="1"/>
  <c r="J347" i="1" s="1"/>
  <c r="K347" i="1" s="1"/>
  <c r="M347" i="1" s="1"/>
  <c r="N347" i="1" s="1"/>
  <c r="H348" i="1"/>
  <c r="J348" i="1" s="1"/>
  <c r="H349" i="1"/>
  <c r="H350" i="1"/>
  <c r="J350" i="1" s="1"/>
  <c r="K350" i="1" s="1"/>
  <c r="M350" i="1" s="1"/>
  <c r="N350" i="1" s="1"/>
  <c r="H351" i="1"/>
  <c r="J351" i="1" s="1"/>
  <c r="H352" i="1"/>
  <c r="J352" i="1" s="1"/>
  <c r="H353" i="1"/>
  <c r="J353" i="1" s="1"/>
  <c r="K353" i="1" s="1"/>
  <c r="M353" i="1" s="1"/>
  <c r="N353" i="1" s="1"/>
  <c r="H354" i="1"/>
  <c r="H355" i="1"/>
  <c r="H356" i="1"/>
  <c r="J356" i="1" s="1"/>
  <c r="H357" i="1"/>
  <c r="H358" i="1"/>
  <c r="J358" i="1" s="1"/>
  <c r="H359" i="1"/>
  <c r="J359" i="1" s="1"/>
  <c r="H360" i="1"/>
  <c r="J360" i="1" s="1"/>
  <c r="H361" i="1"/>
  <c r="J361" i="1" s="1"/>
  <c r="H362" i="1"/>
  <c r="J362" i="1" s="1"/>
  <c r="H363" i="1"/>
  <c r="J363" i="1" s="1"/>
  <c r="K363" i="1" s="1"/>
  <c r="M363" i="1" s="1"/>
  <c r="N363" i="1" s="1"/>
  <c r="H364" i="1"/>
  <c r="J364" i="1" s="1"/>
  <c r="H365" i="1"/>
  <c r="H366" i="1"/>
  <c r="J366" i="1" s="1"/>
  <c r="K366" i="1" s="1"/>
  <c r="M366" i="1" s="1"/>
  <c r="N366" i="1" s="1"/>
  <c r="H367" i="1"/>
  <c r="H368" i="1"/>
  <c r="J368" i="1" s="1"/>
  <c r="H369" i="1"/>
  <c r="J369" i="1" s="1"/>
  <c r="K369" i="1" s="1"/>
  <c r="M369" i="1" s="1"/>
  <c r="N369" i="1" s="1"/>
  <c r="H370" i="1"/>
  <c r="J370" i="1" s="1"/>
  <c r="K370" i="1" s="1"/>
  <c r="M370" i="1" s="1"/>
  <c r="N370" i="1" s="1"/>
  <c r="H371" i="1"/>
  <c r="J371" i="1" s="1"/>
  <c r="K371" i="1" s="1"/>
  <c r="M371" i="1" s="1"/>
  <c r="N371" i="1" s="1"/>
  <c r="H372" i="1"/>
  <c r="J372" i="1" s="1"/>
  <c r="H373" i="1"/>
  <c r="J373" i="1" s="1"/>
  <c r="H374" i="1"/>
  <c r="J374" i="1" s="1"/>
  <c r="K374" i="1" s="1"/>
  <c r="M374" i="1" s="1"/>
  <c r="N374" i="1" s="1"/>
  <c r="H375" i="1"/>
  <c r="J375" i="1" s="1"/>
  <c r="K375" i="1" s="1"/>
  <c r="M375" i="1" s="1"/>
  <c r="N375" i="1" s="1"/>
  <c r="H376" i="1"/>
  <c r="J376" i="1" s="1"/>
  <c r="H377" i="1"/>
  <c r="J377" i="1" s="1"/>
  <c r="H378" i="1"/>
  <c r="J378" i="1" s="1"/>
  <c r="H379" i="1"/>
  <c r="J379" i="1" s="1"/>
  <c r="H380" i="1"/>
  <c r="J380" i="1" s="1"/>
  <c r="H381" i="1"/>
  <c r="J381" i="1" s="1"/>
  <c r="H382" i="1"/>
  <c r="J382" i="1" s="1"/>
  <c r="K382" i="1" s="1"/>
  <c r="M382" i="1" s="1"/>
  <c r="N382" i="1" s="1"/>
  <c r="H383" i="1"/>
  <c r="J383" i="1" s="1"/>
  <c r="K383" i="1" s="1"/>
  <c r="M383" i="1" s="1"/>
  <c r="N383" i="1" s="1"/>
  <c r="H384" i="1"/>
  <c r="J384" i="1" s="1"/>
  <c r="H385" i="1"/>
  <c r="J385" i="1" s="1"/>
  <c r="H386" i="1"/>
  <c r="J386" i="1" s="1"/>
  <c r="H387" i="1"/>
  <c r="J387" i="1" s="1"/>
  <c r="H388" i="1"/>
  <c r="J388" i="1" s="1"/>
  <c r="K388" i="1" s="1"/>
  <c r="M388" i="1" s="1"/>
  <c r="N388" i="1" s="1"/>
  <c r="H389" i="1"/>
  <c r="J389" i="1" s="1"/>
  <c r="H390" i="1"/>
  <c r="H391" i="1"/>
  <c r="J391" i="1" s="1"/>
  <c r="H392" i="1"/>
  <c r="H393" i="1"/>
  <c r="J393" i="1" s="1"/>
  <c r="H394" i="1"/>
  <c r="H395" i="1"/>
  <c r="H396" i="1"/>
  <c r="J396" i="1" s="1"/>
  <c r="K396" i="1" s="1"/>
  <c r="M396" i="1" s="1"/>
  <c r="N396" i="1" s="1"/>
  <c r="H397" i="1"/>
  <c r="H398" i="1"/>
  <c r="J398" i="1" s="1"/>
  <c r="H399" i="1"/>
  <c r="J399" i="1" s="1"/>
  <c r="K399" i="1" s="1"/>
  <c r="M399" i="1" s="1"/>
  <c r="N399" i="1" s="1"/>
  <c r="H400" i="1"/>
  <c r="J400" i="1" s="1"/>
  <c r="H401" i="1"/>
  <c r="J401" i="1" s="1"/>
  <c r="H402" i="1"/>
  <c r="J402" i="1" s="1"/>
  <c r="H403" i="1"/>
  <c r="J403" i="1" s="1"/>
  <c r="K403" i="1" s="1"/>
  <c r="M403" i="1" s="1"/>
  <c r="N403" i="1" s="1"/>
  <c r="H404" i="1"/>
  <c r="J404" i="1" s="1"/>
  <c r="H405" i="1"/>
  <c r="J405" i="1" s="1"/>
  <c r="H406" i="1"/>
  <c r="J406" i="1" s="1"/>
  <c r="H407" i="1"/>
  <c r="J407" i="1" s="1"/>
  <c r="K407" i="1" s="1"/>
  <c r="M407" i="1" s="1"/>
  <c r="N407" i="1" s="1"/>
  <c r="H408" i="1"/>
  <c r="J408" i="1" s="1"/>
  <c r="H409" i="1"/>
  <c r="J409" i="1" s="1"/>
  <c r="H410" i="1"/>
  <c r="J410" i="1" s="1"/>
  <c r="H411" i="1"/>
  <c r="J411" i="1" s="1"/>
  <c r="K411" i="1" s="1"/>
  <c r="M411" i="1" s="1"/>
  <c r="N411" i="1" s="1"/>
  <c r="H412" i="1"/>
  <c r="J412" i="1" s="1"/>
  <c r="H413" i="1"/>
  <c r="J413" i="1" s="1"/>
  <c r="H414" i="1"/>
  <c r="J414" i="1" s="1"/>
  <c r="H415" i="1"/>
  <c r="J415" i="1" s="1"/>
  <c r="K415" i="1" s="1"/>
  <c r="M415" i="1" s="1"/>
  <c r="N415" i="1" s="1"/>
  <c r="H416" i="1"/>
  <c r="J416" i="1" s="1"/>
  <c r="H417" i="1"/>
  <c r="J417" i="1" s="1"/>
  <c r="H418" i="1"/>
  <c r="J418" i="1" s="1"/>
  <c r="H419" i="1"/>
  <c r="J419" i="1" s="1"/>
  <c r="K419" i="1" s="1"/>
  <c r="M419" i="1" s="1"/>
  <c r="N419" i="1" s="1"/>
  <c r="H420" i="1"/>
  <c r="J420" i="1" s="1"/>
  <c r="H421" i="1"/>
  <c r="J421" i="1" s="1"/>
  <c r="H422" i="1"/>
  <c r="J422" i="1" s="1"/>
  <c r="H423" i="1"/>
  <c r="J423" i="1" s="1"/>
  <c r="K423" i="1" s="1"/>
  <c r="M423" i="1" s="1"/>
  <c r="N423" i="1" s="1"/>
  <c r="H424" i="1"/>
  <c r="J424" i="1" s="1"/>
  <c r="H425" i="1"/>
  <c r="J425" i="1" s="1"/>
  <c r="H426" i="1"/>
  <c r="J426" i="1" s="1"/>
  <c r="H427" i="1"/>
  <c r="J427" i="1" s="1"/>
  <c r="K427" i="1" s="1"/>
  <c r="M427" i="1" s="1"/>
  <c r="N427" i="1" s="1"/>
  <c r="H428" i="1"/>
  <c r="J428" i="1" s="1"/>
  <c r="H429" i="1"/>
  <c r="J429" i="1" s="1"/>
  <c r="H430" i="1"/>
  <c r="J430" i="1" s="1"/>
  <c r="H431" i="1"/>
  <c r="J431" i="1" s="1"/>
  <c r="K431" i="1" s="1"/>
  <c r="M431" i="1" s="1"/>
  <c r="N431" i="1" s="1"/>
  <c r="H432" i="1"/>
  <c r="J432" i="1" s="1"/>
  <c r="H433" i="1"/>
  <c r="J433" i="1" s="1"/>
  <c r="H434" i="1"/>
  <c r="J434" i="1" s="1"/>
  <c r="H435" i="1"/>
  <c r="J435" i="1" s="1"/>
  <c r="K435" i="1" s="1"/>
  <c r="M435" i="1" s="1"/>
  <c r="N435" i="1" s="1"/>
  <c r="H436" i="1"/>
  <c r="J436" i="1" s="1"/>
  <c r="H437" i="1"/>
  <c r="J437" i="1" s="1"/>
  <c r="H438" i="1"/>
  <c r="J438" i="1" s="1"/>
  <c r="H439" i="1"/>
  <c r="J439" i="1" s="1"/>
  <c r="K439" i="1" s="1"/>
  <c r="M439" i="1" s="1"/>
  <c r="N439" i="1" s="1"/>
  <c r="H440" i="1"/>
  <c r="J440" i="1" s="1"/>
  <c r="H441" i="1"/>
  <c r="J441" i="1" s="1"/>
  <c r="H442" i="1"/>
  <c r="J442" i="1" s="1"/>
  <c r="H443" i="1"/>
  <c r="J443" i="1" s="1"/>
  <c r="K443" i="1" s="1"/>
  <c r="M443" i="1" s="1"/>
  <c r="N443" i="1" s="1"/>
  <c r="H444" i="1"/>
  <c r="J444" i="1" s="1"/>
  <c r="H445" i="1"/>
  <c r="J445" i="1" s="1"/>
  <c r="H446" i="1"/>
  <c r="J446" i="1" s="1"/>
  <c r="H447" i="1"/>
  <c r="J447" i="1" s="1"/>
  <c r="K447" i="1" s="1"/>
  <c r="M447" i="1" s="1"/>
  <c r="N447" i="1" s="1"/>
  <c r="H448" i="1"/>
  <c r="J448" i="1" s="1"/>
  <c r="H449" i="1"/>
  <c r="J449" i="1" s="1"/>
  <c r="H450" i="1"/>
  <c r="J450" i="1" s="1"/>
  <c r="H451" i="1"/>
  <c r="J451" i="1" s="1"/>
  <c r="K451" i="1" s="1"/>
  <c r="M451" i="1" s="1"/>
  <c r="N451" i="1" s="1"/>
  <c r="H452" i="1"/>
  <c r="J452" i="1" s="1"/>
  <c r="H453" i="1"/>
  <c r="J453" i="1" s="1"/>
  <c r="H454" i="1"/>
  <c r="J454" i="1" s="1"/>
  <c r="H455" i="1"/>
  <c r="J455" i="1" s="1"/>
  <c r="K455" i="1" s="1"/>
  <c r="M455" i="1" s="1"/>
  <c r="N455" i="1" s="1"/>
  <c r="H456" i="1"/>
  <c r="J456" i="1" s="1"/>
  <c r="H457" i="1"/>
  <c r="J457" i="1" s="1"/>
  <c r="H458" i="1"/>
  <c r="J458" i="1" s="1"/>
  <c r="H459" i="1"/>
  <c r="J459" i="1" s="1"/>
  <c r="K459" i="1" s="1"/>
  <c r="M459" i="1" s="1"/>
  <c r="N459" i="1" s="1"/>
  <c r="H460" i="1"/>
  <c r="J460" i="1" s="1"/>
  <c r="H461" i="1"/>
  <c r="J461" i="1" s="1"/>
  <c r="H462" i="1"/>
  <c r="J462" i="1" s="1"/>
  <c r="H463" i="1"/>
  <c r="J463" i="1" s="1"/>
  <c r="K463" i="1" s="1"/>
  <c r="M463" i="1" s="1"/>
  <c r="N463" i="1" s="1"/>
  <c r="H464" i="1"/>
  <c r="J464" i="1" s="1"/>
  <c r="H465" i="1"/>
  <c r="J465" i="1" s="1"/>
  <c r="H466" i="1"/>
  <c r="J466" i="1" s="1"/>
  <c r="H467" i="1"/>
  <c r="J467" i="1" s="1"/>
  <c r="K467" i="1" s="1"/>
  <c r="M467" i="1" s="1"/>
  <c r="N467" i="1" s="1"/>
  <c r="H468" i="1"/>
  <c r="J468" i="1" s="1"/>
  <c r="H469" i="1"/>
  <c r="J469" i="1" s="1"/>
  <c r="H470" i="1"/>
  <c r="J470" i="1" s="1"/>
  <c r="H471" i="1"/>
  <c r="J471" i="1" s="1"/>
  <c r="K471" i="1" s="1"/>
  <c r="M471" i="1" s="1"/>
  <c r="N471" i="1" s="1"/>
  <c r="H472" i="1"/>
  <c r="J472" i="1" s="1"/>
  <c r="H473" i="1"/>
  <c r="J473" i="1" s="1"/>
  <c r="H474" i="1"/>
  <c r="J474" i="1" s="1"/>
  <c r="H475" i="1"/>
  <c r="J475" i="1" s="1"/>
  <c r="K475" i="1" s="1"/>
  <c r="M475" i="1" s="1"/>
  <c r="N475" i="1" s="1"/>
  <c r="H476" i="1"/>
  <c r="J476" i="1" s="1"/>
  <c r="H477" i="1"/>
  <c r="J477" i="1" s="1"/>
  <c r="H478" i="1"/>
  <c r="J478" i="1" s="1"/>
  <c r="H479" i="1"/>
  <c r="J479" i="1" s="1"/>
  <c r="K479" i="1" s="1"/>
  <c r="M479" i="1" s="1"/>
  <c r="N479" i="1" s="1"/>
  <c r="H480" i="1"/>
  <c r="J480" i="1" s="1"/>
  <c r="H481" i="1"/>
  <c r="J481" i="1" s="1"/>
  <c r="H482" i="1"/>
  <c r="J482" i="1" s="1"/>
  <c r="H483" i="1"/>
  <c r="J483" i="1" s="1"/>
  <c r="K483" i="1" s="1"/>
  <c r="M483" i="1" s="1"/>
  <c r="N483" i="1" s="1"/>
  <c r="H484" i="1"/>
  <c r="J484" i="1" s="1"/>
  <c r="H485" i="1"/>
  <c r="J485" i="1" s="1"/>
  <c r="H486" i="1"/>
  <c r="J486" i="1" s="1"/>
  <c r="H487" i="1"/>
  <c r="J487" i="1" s="1"/>
  <c r="K487" i="1" s="1"/>
  <c r="M487" i="1" s="1"/>
  <c r="N487" i="1" s="1"/>
  <c r="H488" i="1"/>
  <c r="J488" i="1" s="1"/>
  <c r="H489" i="1"/>
  <c r="J489" i="1" s="1"/>
  <c r="H490" i="1"/>
  <c r="J490" i="1" s="1"/>
  <c r="H491" i="1"/>
  <c r="J491" i="1" s="1"/>
  <c r="K491" i="1" s="1"/>
  <c r="M491" i="1" s="1"/>
  <c r="N491" i="1" s="1"/>
  <c r="H492" i="1"/>
  <c r="J492" i="1" s="1"/>
  <c r="H493" i="1"/>
  <c r="J493" i="1" s="1"/>
  <c r="H494" i="1"/>
  <c r="J494" i="1" s="1"/>
  <c r="H495" i="1"/>
  <c r="J495" i="1" s="1"/>
  <c r="K495" i="1" s="1"/>
  <c r="M495" i="1" s="1"/>
  <c r="N495" i="1" s="1"/>
  <c r="H496" i="1"/>
  <c r="J496" i="1" s="1"/>
  <c r="H497" i="1"/>
  <c r="J497" i="1" s="1"/>
  <c r="H498" i="1"/>
  <c r="J498" i="1" s="1"/>
  <c r="H499" i="1"/>
  <c r="J499" i="1" s="1"/>
  <c r="K499" i="1" s="1"/>
  <c r="M499" i="1" s="1"/>
  <c r="N499" i="1" s="1"/>
  <c r="H500" i="1"/>
  <c r="J500" i="1" s="1"/>
  <c r="H501" i="1"/>
  <c r="J501" i="1" s="1"/>
  <c r="H502" i="1"/>
  <c r="J502" i="1" s="1"/>
  <c r="H503" i="1"/>
  <c r="J503" i="1" s="1"/>
  <c r="K503" i="1" s="1"/>
  <c r="M503" i="1" s="1"/>
  <c r="N503" i="1" s="1"/>
  <c r="H504" i="1"/>
  <c r="J504" i="1" s="1"/>
  <c r="H505" i="1"/>
  <c r="J505" i="1" s="1"/>
  <c r="H506" i="1"/>
  <c r="J506" i="1" s="1"/>
  <c r="H507" i="1"/>
  <c r="J507" i="1" s="1"/>
  <c r="K507" i="1" s="1"/>
  <c r="M507" i="1" s="1"/>
  <c r="N507" i="1" s="1"/>
  <c r="H508" i="1"/>
  <c r="J508" i="1" s="1"/>
  <c r="H509" i="1"/>
  <c r="J509" i="1" s="1"/>
  <c r="H510" i="1"/>
  <c r="J510" i="1" s="1"/>
  <c r="H511" i="1"/>
  <c r="J511" i="1" s="1"/>
  <c r="K511" i="1" s="1"/>
  <c r="M511" i="1" s="1"/>
  <c r="N511" i="1" s="1"/>
  <c r="H512" i="1"/>
  <c r="J512" i="1" s="1"/>
  <c r="H513" i="1"/>
  <c r="J513" i="1" s="1"/>
  <c r="H514" i="1"/>
  <c r="J514" i="1" s="1"/>
  <c r="H515" i="1"/>
  <c r="J515" i="1" s="1"/>
  <c r="K515" i="1" s="1"/>
  <c r="M515" i="1" s="1"/>
  <c r="N515" i="1" s="1"/>
  <c r="H516" i="1"/>
  <c r="J516" i="1" s="1"/>
  <c r="H517" i="1"/>
  <c r="J517" i="1" s="1"/>
  <c r="H518" i="1"/>
  <c r="J518" i="1" s="1"/>
  <c r="H519" i="1"/>
  <c r="J519" i="1" s="1"/>
  <c r="K519" i="1" s="1"/>
  <c r="M519" i="1" s="1"/>
  <c r="N519" i="1" s="1"/>
  <c r="H520" i="1"/>
  <c r="J520" i="1" s="1"/>
  <c r="H521" i="1"/>
  <c r="J521" i="1" s="1"/>
  <c r="H522" i="1"/>
  <c r="J522" i="1" s="1"/>
  <c r="H523" i="1"/>
  <c r="J523" i="1" s="1"/>
  <c r="K523" i="1" s="1"/>
  <c r="M523" i="1" s="1"/>
  <c r="N523" i="1" s="1"/>
  <c r="H524" i="1"/>
  <c r="J524" i="1" s="1"/>
  <c r="H525" i="1"/>
  <c r="J525" i="1" s="1"/>
  <c r="H526" i="1"/>
  <c r="J526" i="1" s="1"/>
  <c r="H527" i="1"/>
  <c r="J527" i="1" s="1"/>
  <c r="K527" i="1" s="1"/>
  <c r="M527" i="1" s="1"/>
  <c r="N527" i="1" s="1"/>
  <c r="H528" i="1"/>
  <c r="J528" i="1" s="1"/>
  <c r="H529" i="1"/>
  <c r="J529" i="1" s="1"/>
  <c r="H530" i="1"/>
  <c r="J530" i="1" s="1"/>
  <c r="H531" i="1"/>
  <c r="J531" i="1" s="1"/>
  <c r="K531" i="1" s="1"/>
  <c r="M531" i="1" s="1"/>
  <c r="N531" i="1" s="1"/>
  <c r="H532" i="1"/>
  <c r="J532" i="1" s="1"/>
  <c r="H533" i="1"/>
  <c r="J533" i="1" s="1"/>
  <c r="H534" i="1"/>
  <c r="J534" i="1" s="1"/>
  <c r="H535" i="1"/>
  <c r="J535" i="1" s="1"/>
  <c r="K535" i="1" s="1"/>
  <c r="M535" i="1" s="1"/>
  <c r="N535" i="1" s="1"/>
  <c r="H536" i="1"/>
  <c r="J536" i="1" s="1"/>
  <c r="H537" i="1"/>
  <c r="J537" i="1" s="1"/>
  <c r="H538" i="1"/>
  <c r="J538" i="1" s="1"/>
  <c r="H539" i="1"/>
  <c r="J539" i="1" s="1"/>
  <c r="K539" i="1" s="1"/>
  <c r="M539" i="1" s="1"/>
  <c r="N539" i="1" s="1"/>
  <c r="H540" i="1"/>
  <c r="H541" i="1"/>
  <c r="J541" i="1" s="1"/>
  <c r="H542" i="1"/>
  <c r="J542" i="1" s="1"/>
  <c r="H543" i="1"/>
  <c r="J543" i="1" s="1"/>
  <c r="K543" i="1" s="1"/>
  <c r="M543" i="1" s="1"/>
  <c r="N543" i="1" s="1"/>
  <c r="H544" i="1"/>
  <c r="H545" i="1"/>
  <c r="J545" i="1" s="1"/>
  <c r="H546" i="1"/>
  <c r="H547" i="1"/>
  <c r="J547" i="1" s="1"/>
  <c r="K547" i="1" s="1"/>
  <c r="M547" i="1" s="1"/>
  <c r="N547" i="1" s="1"/>
  <c r="H548" i="1"/>
  <c r="H549" i="1"/>
  <c r="J549" i="1" s="1"/>
  <c r="H550" i="1"/>
  <c r="H551" i="1"/>
  <c r="J551" i="1" s="1"/>
  <c r="K551" i="1" s="1"/>
  <c r="M551" i="1" s="1"/>
  <c r="N551" i="1" s="1"/>
  <c r="H552" i="1"/>
  <c r="H553" i="1"/>
  <c r="J553" i="1" s="1"/>
  <c r="H554" i="1"/>
  <c r="H555" i="1"/>
  <c r="J555" i="1" s="1"/>
  <c r="K555" i="1" s="1"/>
  <c r="M555" i="1" s="1"/>
  <c r="N555" i="1" s="1"/>
  <c r="H556" i="1"/>
  <c r="H557" i="1"/>
  <c r="J557" i="1" s="1"/>
  <c r="H558" i="1"/>
  <c r="H559" i="1"/>
  <c r="J559" i="1" s="1"/>
  <c r="K559" i="1" s="1"/>
  <c r="M559" i="1" s="1"/>
  <c r="N559" i="1" s="1"/>
  <c r="H560" i="1"/>
  <c r="H561" i="1"/>
  <c r="J561" i="1" s="1"/>
  <c r="H562" i="1"/>
  <c r="H563" i="1"/>
  <c r="J563" i="1" s="1"/>
  <c r="K563" i="1" s="1"/>
  <c r="M563" i="1" s="1"/>
  <c r="N563" i="1" s="1"/>
  <c r="H564" i="1"/>
  <c r="H565" i="1"/>
  <c r="J565" i="1" s="1"/>
  <c r="H566" i="1"/>
  <c r="H567" i="1"/>
  <c r="J567" i="1" s="1"/>
  <c r="K567" i="1" s="1"/>
  <c r="M567" i="1" s="1"/>
  <c r="N567" i="1" s="1"/>
  <c r="H568" i="1"/>
  <c r="H569" i="1"/>
  <c r="J569" i="1" s="1"/>
  <c r="H570" i="1"/>
  <c r="H571" i="1"/>
  <c r="J571" i="1" s="1"/>
  <c r="K571" i="1" s="1"/>
  <c r="M571" i="1" s="1"/>
  <c r="N571" i="1" s="1"/>
  <c r="H572" i="1"/>
  <c r="H573" i="1"/>
  <c r="J573" i="1" s="1"/>
  <c r="H574" i="1"/>
  <c r="H575" i="1"/>
  <c r="J575" i="1" s="1"/>
  <c r="K575" i="1" s="1"/>
  <c r="M575" i="1" s="1"/>
  <c r="N575" i="1" s="1"/>
  <c r="H576" i="1"/>
  <c r="H577" i="1"/>
  <c r="J577" i="1" s="1"/>
  <c r="H578" i="1"/>
  <c r="H579" i="1"/>
  <c r="J579" i="1" s="1"/>
  <c r="K579" i="1" s="1"/>
  <c r="M579" i="1" s="1"/>
  <c r="N579" i="1" s="1"/>
  <c r="H580" i="1"/>
  <c r="H581" i="1"/>
  <c r="J581" i="1" s="1"/>
  <c r="H582" i="1"/>
  <c r="H583" i="1"/>
  <c r="J583" i="1" s="1"/>
  <c r="K583" i="1" s="1"/>
  <c r="M583" i="1" s="1"/>
  <c r="N583" i="1" s="1"/>
  <c r="H584" i="1"/>
  <c r="H585" i="1"/>
  <c r="J585" i="1" s="1"/>
  <c r="H586" i="1"/>
  <c r="H587" i="1"/>
  <c r="J587" i="1" s="1"/>
  <c r="K587" i="1" s="1"/>
  <c r="M587" i="1" s="1"/>
  <c r="N587" i="1" s="1"/>
  <c r="H588" i="1"/>
  <c r="H589" i="1"/>
  <c r="J589" i="1" s="1"/>
  <c r="H590" i="1"/>
  <c r="H591" i="1"/>
  <c r="J591" i="1" s="1"/>
  <c r="K591" i="1" s="1"/>
  <c r="M591" i="1" s="1"/>
  <c r="N591" i="1" s="1"/>
  <c r="H592" i="1"/>
  <c r="H593" i="1"/>
  <c r="J593" i="1" s="1"/>
  <c r="H594" i="1"/>
  <c r="H595" i="1"/>
  <c r="J595" i="1" s="1"/>
  <c r="K595" i="1" s="1"/>
  <c r="M595" i="1" s="1"/>
  <c r="N595" i="1" s="1"/>
  <c r="H596" i="1"/>
  <c r="H597" i="1"/>
  <c r="J597" i="1" s="1"/>
  <c r="H598" i="1"/>
  <c r="H599" i="1"/>
  <c r="J599" i="1" s="1"/>
  <c r="K599" i="1" s="1"/>
  <c r="M599" i="1" s="1"/>
  <c r="N599" i="1" s="1"/>
  <c r="H600" i="1"/>
  <c r="H601" i="1"/>
  <c r="J601" i="1" s="1"/>
  <c r="H602" i="1"/>
  <c r="H603" i="1"/>
  <c r="J603" i="1" s="1"/>
  <c r="K603" i="1" s="1"/>
  <c r="M603" i="1" s="1"/>
  <c r="N603" i="1" s="1"/>
  <c r="H604" i="1"/>
  <c r="H605" i="1"/>
  <c r="J605" i="1" s="1"/>
  <c r="H606" i="1"/>
  <c r="H607" i="1"/>
  <c r="J607" i="1" s="1"/>
  <c r="K607" i="1" s="1"/>
  <c r="M607" i="1" s="1"/>
  <c r="N607" i="1" s="1"/>
  <c r="H608" i="1"/>
  <c r="H609" i="1"/>
  <c r="J609" i="1" s="1"/>
  <c r="H610" i="1"/>
  <c r="H611" i="1"/>
  <c r="J611" i="1" s="1"/>
  <c r="K611" i="1" s="1"/>
  <c r="M611" i="1" s="1"/>
  <c r="N611" i="1" s="1"/>
  <c r="H612" i="1"/>
  <c r="H613" i="1"/>
  <c r="J613" i="1" s="1"/>
  <c r="H614" i="1"/>
  <c r="H615" i="1"/>
  <c r="J615" i="1" s="1"/>
  <c r="K615" i="1" s="1"/>
  <c r="M615" i="1" s="1"/>
  <c r="N615" i="1" s="1"/>
  <c r="H616" i="1"/>
  <c r="H617" i="1"/>
  <c r="J617" i="1" s="1"/>
  <c r="H618" i="1"/>
  <c r="H619" i="1"/>
  <c r="J619" i="1" s="1"/>
  <c r="K619" i="1" s="1"/>
  <c r="M619" i="1" s="1"/>
  <c r="N619" i="1" s="1"/>
  <c r="H620" i="1"/>
  <c r="H621" i="1"/>
  <c r="J621" i="1" s="1"/>
  <c r="H622" i="1"/>
  <c r="H623" i="1"/>
  <c r="J623" i="1" s="1"/>
  <c r="K623" i="1" s="1"/>
  <c r="M623" i="1" s="1"/>
  <c r="N623" i="1" s="1"/>
  <c r="H624" i="1"/>
  <c r="H625" i="1"/>
  <c r="J625" i="1" s="1"/>
  <c r="H626" i="1"/>
  <c r="H627" i="1"/>
  <c r="J627" i="1" s="1"/>
  <c r="K627" i="1" s="1"/>
  <c r="M627" i="1" s="1"/>
  <c r="N627" i="1" s="1"/>
  <c r="H628" i="1"/>
  <c r="H629" i="1"/>
  <c r="J629" i="1" s="1"/>
  <c r="H630" i="1"/>
  <c r="H631" i="1"/>
  <c r="J631" i="1" s="1"/>
  <c r="K631" i="1" s="1"/>
  <c r="M631" i="1" s="1"/>
  <c r="N631" i="1" s="1"/>
  <c r="H632" i="1"/>
  <c r="H633" i="1"/>
  <c r="J633" i="1" s="1"/>
  <c r="H634" i="1"/>
  <c r="H635" i="1"/>
  <c r="J635" i="1" s="1"/>
  <c r="K635" i="1" s="1"/>
  <c r="M635" i="1" s="1"/>
  <c r="N635" i="1" s="1"/>
  <c r="H636" i="1"/>
  <c r="H637" i="1"/>
  <c r="J637" i="1" s="1"/>
  <c r="H638" i="1"/>
  <c r="H639" i="1"/>
  <c r="J639" i="1" s="1"/>
  <c r="K639" i="1" s="1"/>
  <c r="M639" i="1" s="1"/>
  <c r="N639" i="1" s="1"/>
  <c r="H640" i="1"/>
  <c r="H641" i="1"/>
  <c r="J641" i="1" s="1"/>
  <c r="H642" i="1"/>
  <c r="H643" i="1"/>
  <c r="J643" i="1" s="1"/>
  <c r="K643" i="1" s="1"/>
  <c r="M643" i="1" s="1"/>
  <c r="N643" i="1" s="1"/>
  <c r="H644" i="1"/>
  <c r="H645" i="1"/>
  <c r="J645" i="1" s="1"/>
  <c r="H646" i="1"/>
  <c r="H647" i="1"/>
  <c r="J647" i="1" s="1"/>
  <c r="K647" i="1" s="1"/>
  <c r="M647" i="1" s="1"/>
  <c r="N647" i="1" s="1"/>
  <c r="H648" i="1"/>
  <c r="H649" i="1"/>
  <c r="J649" i="1" s="1"/>
  <c r="H650" i="1"/>
  <c r="H651" i="1"/>
  <c r="J651" i="1" s="1"/>
  <c r="K651" i="1" s="1"/>
  <c r="M651" i="1" s="1"/>
  <c r="N651" i="1" s="1"/>
  <c r="H652" i="1"/>
  <c r="H653" i="1"/>
  <c r="J653" i="1" s="1"/>
  <c r="H654" i="1"/>
  <c r="H655" i="1"/>
  <c r="J655" i="1" s="1"/>
  <c r="K655" i="1" s="1"/>
  <c r="M655" i="1" s="1"/>
  <c r="N655" i="1" s="1"/>
  <c r="H656" i="1"/>
  <c r="H657" i="1"/>
  <c r="J657" i="1" s="1"/>
  <c r="H658" i="1"/>
  <c r="J658" i="1" s="1"/>
  <c r="H659" i="1"/>
  <c r="J659" i="1" s="1"/>
  <c r="K659" i="1" s="1"/>
  <c r="M659" i="1" s="1"/>
  <c r="N659" i="1" s="1"/>
  <c r="H660" i="1"/>
  <c r="J660" i="1" s="1"/>
  <c r="K660" i="1" s="1"/>
  <c r="M660" i="1" s="1"/>
  <c r="N660" i="1" s="1"/>
  <c r="H661" i="1"/>
  <c r="J661" i="1" s="1"/>
  <c r="H662" i="1"/>
  <c r="J662" i="1" s="1"/>
  <c r="K662" i="1" s="1"/>
  <c r="M662" i="1" s="1"/>
  <c r="N662" i="1" s="1"/>
  <c r="H663" i="1"/>
  <c r="J663" i="1" s="1"/>
  <c r="K663" i="1" s="1"/>
  <c r="M663" i="1" s="1"/>
  <c r="N663" i="1" s="1"/>
  <c r="H664" i="1"/>
  <c r="J664" i="1" s="1"/>
  <c r="K664" i="1" s="1"/>
  <c r="M664" i="1" s="1"/>
  <c r="N664" i="1" s="1"/>
  <c r="H665" i="1"/>
  <c r="J665" i="1" s="1"/>
  <c r="H666" i="1"/>
  <c r="H667" i="1"/>
  <c r="J667" i="1" s="1"/>
  <c r="K667" i="1" s="1"/>
  <c r="M667" i="1" s="1"/>
  <c r="N667" i="1" s="1"/>
  <c r="H668" i="1"/>
  <c r="J668" i="1" s="1"/>
  <c r="K668" i="1" s="1"/>
  <c r="M668" i="1" s="1"/>
  <c r="N668" i="1" s="1"/>
  <c r="H669" i="1"/>
  <c r="J669" i="1" s="1"/>
  <c r="H670" i="1"/>
  <c r="H671" i="1"/>
  <c r="J671" i="1" s="1"/>
  <c r="K671" i="1" s="1"/>
  <c r="M671" i="1" s="1"/>
  <c r="N671" i="1" s="1"/>
  <c r="H672" i="1"/>
  <c r="J672" i="1" s="1"/>
  <c r="K672" i="1" s="1"/>
  <c r="M672" i="1" s="1"/>
  <c r="N672" i="1" s="1"/>
  <c r="H673" i="1"/>
  <c r="J673" i="1" s="1"/>
  <c r="H674" i="1"/>
  <c r="J674" i="1" s="1"/>
  <c r="H675" i="1"/>
  <c r="J675" i="1" s="1"/>
  <c r="K675" i="1" s="1"/>
  <c r="M675" i="1" s="1"/>
  <c r="N675" i="1" s="1"/>
  <c r="H676" i="1"/>
  <c r="J676" i="1" s="1"/>
  <c r="K676" i="1" s="1"/>
  <c r="M676" i="1" s="1"/>
  <c r="N676" i="1" s="1"/>
  <c r="H677" i="1"/>
  <c r="J677" i="1" s="1"/>
  <c r="H678" i="1"/>
  <c r="J678" i="1" s="1"/>
  <c r="K678" i="1" s="1"/>
  <c r="M678" i="1" s="1"/>
  <c r="N678" i="1" s="1"/>
  <c r="H679" i="1"/>
  <c r="J679" i="1" s="1"/>
  <c r="K679" i="1" s="1"/>
  <c r="M679" i="1" s="1"/>
  <c r="N679" i="1" s="1"/>
  <c r="H680" i="1"/>
  <c r="J680" i="1" s="1"/>
  <c r="K680" i="1" s="1"/>
  <c r="M680" i="1" s="1"/>
  <c r="N680" i="1" s="1"/>
  <c r="H681" i="1"/>
  <c r="J681" i="1" s="1"/>
  <c r="H682" i="1"/>
  <c r="J682" i="1" s="1"/>
  <c r="H683" i="1"/>
  <c r="J683" i="1" s="1"/>
  <c r="K683" i="1" s="1"/>
  <c r="M683" i="1" s="1"/>
  <c r="N683" i="1" s="1"/>
  <c r="H684" i="1"/>
  <c r="J684" i="1" s="1"/>
  <c r="K684" i="1" s="1"/>
  <c r="M684" i="1" s="1"/>
  <c r="N684" i="1" s="1"/>
  <c r="H685" i="1"/>
  <c r="J685" i="1" s="1"/>
  <c r="H686" i="1"/>
  <c r="J686" i="1" s="1"/>
  <c r="H687" i="1"/>
  <c r="J687" i="1" s="1"/>
  <c r="K687" i="1" s="1"/>
  <c r="M687" i="1" s="1"/>
  <c r="N687" i="1" s="1"/>
  <c r="H688" i="1"/>
  <c r="J688" i="1" s="1"/>
  <c r="K688" i="1" s="1"/>
  <c r="M688" i="1" s="1"/>
  <c r="N688" i="1" s="1"/>
  <c r="H689" i="1"/>
  <c r="J689" i="1" s="1"/>
  <c r="H690" i="1"/>
  <c r="J690" i="1" s="1"/>
  <c r="H691" i="1"/>
  <c r="J691" i="1" s="1"/>
  <c r="K691" i="1" s="1"/>
  <c r="M691" i="1" s="1"/>
  <c r="N691" i="1" s="1"/>
  <c r="H692" i="1"/>
  <c r="J692" i="1" s="1"/>
  <c r="K692" i="1" s="1"/>
  <c r="M692" i="1" s="1"/>
  <c r="N692" i="1" s="1"/>
  <c r="H693" i="1"/>
  <c r="J693" i="1" s="1"/>
  <c r="H694" i="1"/>
  <c r="J694" i="1" s="1"/>
  <c r="H695" i="1"/>
  <c r="J695" i="1" s="1"/>
  <c r="K695" i="1" s="1"/>
  <c r="M695" i="1" s="1"/>
  <c r="N695" i="1" s="1"/>
  <c r="H696" i="1"/>
  <c r="J696" i="1" s="1"/>
  <c r="K696" i="1" s="1"/>
  <c r="M696" i="1" s="1"/>
  <c r="N696" i="1" s="1"/>
  <c r="H697" i="1"/>
  <c r="J697" i="1" s="1"/>
  <c r="H698" i="1"/>
  <c r="H699" i="1"/>
  <c r="J699" i="1" s="1"/>
  <c r="K699" i="1" s="1"/>
  <c r="M699" i="1" s="1"/>
  <c r="N699" i="1" s="1"/>
  <c r="H700" i="1"/>
  <c r="J700" i="1" s="1"/>
  <c r="K700" i="1" s="1"/>
  <c r="M700" i="1" s="1"/>
  <c r="N700" i="1" s="1"/>
  <c r="H701" i="1"/>
  <c r="J701" i="1" s="1"/>
  <c r="H702" i="1"/>
  <c r="J702" i="1" s="1"/>
  <c r="H703" i="1"/>
  <c r="J703" i="1" s="1"/>
  <c r="K703" i="1" s="1"/>
  <c r="M703" i="1" s="1"/>
  <c r="N703" i="1" s="1"/>
  <c r="H704" i="1"/>
  <c r="J704" i="1" s="1"/>
  <c r="K704" i="1" s="1"/>
  <c r="M704" i="1" s="1"/>
  <c r="N704" i="1" s="1"/>
  <c r="H705" i="1"/>
  <c r="J705" i="1" s="1"/>
  <c r="H706" i="1"/>
  <c r="J706" i="1" s="1"/>
  <c r="H707" i="1"/>
  <c r="J707" i="1" s="1"/>
  <c r="K707" i="1" s="1"/>
  <c r="M707" i="1" s="1"/>
  <c r="N707" i="1" s="1"/>
  <c r="H708" i="1"/>
  <c r="J708" i="1" s="1"/>
  <c r="K708" i="1" s="1"/>
  <c r="M708" i="1" s="1"/>
  <c r="N708" i="1" s="1"/>
  <c r="H709" i="1"/>
  <c r="J709" i="1" s="1"/>
  <c r="H710" i="1"/>
  <c r="J710" i="1" s="1"/>
  <c r="H711" i="1"/>
  <c r="J711" i="1" s="1"/>
  <c r="K711" i="1" s="1"/>
  <c r="M711" i="1" s="1"/>
  <c r="N711" i="1" s="1"/>
  <c r="H712" i="1"/>
  <c r="J712" i="1" s="1"/>
  <c r="K712" i="1" s="1"/>
  <c r="M712" i="1" s="1"/>
  <c r="N712" i="1" s="1"/>
  <c r="H713" i="1"/>
  <c r="J713" i="1" s="1"/>
  <c r="K713" i="1" s="1"/>
  <c r="M713" i="1" s="1"/>
  <c r="N713" i="1" s="1"/>
  <c r="H714" i="1"/>
  <c r="J714" i="1" s="1"/>
  <c r="H715" i="1"/>
  <c r="J715" i="1" s="1"/>
  <c r="H716" i="1"/>
  <c r="H717" i="1"/>
  <c r="J717" i="1" s="1"/>
  <c r="K717" i="1" s="1"/>
  <c r="M717" i="1" s="1"/>
  <c r="N717" i="1" s="1"/>
  <c r="H718" i="1"/>
  <c r="J718" i="1" s="1"/>
  <c r="H719" i="1"/>
  <c r="J719" i="1" s="1"/>
  <c r="H720" i="1"/>
  <c r="H721" i="1"/>
  <c r="J721" i="1" s="1"/>
  <c r="K721" i="1" s="1"/>
  <c r="M721" i="1" s="1"/>
  <c r="N721" i="1" s="1"/>
  <c r="H722" i="1"/>
  <c r="H723" i="1"/>
  <c r="J723" i="1" s="1"/>
  <c r="H724" i="1"/>
  <c r="H725" i="1"/>
  <c r="J725" i="1" s="1"/>
  <c r="K725" i="1" s="1"/>
  <c r="M725" i="1" s="1"/>
  <c r="N725" i="1" s="1"/>
  <c r="H726" i="1"/>
  <c r="J726" i="1" s="1"/>
  <c r="H727" i="1"/>
  <c r="J727" i="1" s="1"/>
  <c r="H728" i="1"/>
  <c r="H729" i="1"/>
  <c r="J729" i="1" s="1"/>
  <c r="K729" i="1" s="1"/>
  <c r="M729" i="1" s="1"/>
  <c r="N729" i="1" s="1"/>
  <c r="H730" i="1"/>
  <c r="J730" i="1" s="1"/>
  <c r="K730" i="1" s="1"/>
  <c r="M730" i="1" s="1"/>
  <c r="N730" i="1" s="1"/>
  <c r="H731" i="1"/>
  <c r="J731" i="1" s="1"/>
  <c r="H732" i="1"/>
  <c r="J732" i="1" s="1"/>
  <c r="H733" i="1"/>
  <c r="J733" i="1" s="1"/>
  <c r="H734" i="1"/>
  <c r="H735" i="1"/>
  <c r="J735" i="1" s="1"/>
  <c r="H736" i="1"/>
  <c r="H737" i="1"/>
  <c r="J737" i="1" s="1"/>
  <c r="H738" i="1"/>
  <c r="J738" i="1" s="1"/>
  <c r="H739" i="1"/>
  <c r="J739" i="1" s="1"/>
  <c r="H740" i="1"/>
  <c r="J740" i="1" s="1"/>
  <c r="H741" i="1"/>
  <c r="J741" i="1" s="1"/>
  <c r="H742" i="1"/>
  <c r="J742" i="1" s="1"/>
  <c r="H743" i="1"/>
  <c r="J743" i="1" s="1"/>
  <c r="H744" i="1"/>
  <c r="J744" i="1" s="1"/>
  <c r="H745" i="1"/>
  <c r="J745" i="1" s="1"/>
  <c r="K745" i="1" s="1"/>
  <c r="M745" i="1" s="1"/>
  <c r="N745" i="1" s="1"/>
  <c r="H746" i="1"/>
  <c r="J746" i="1" s="1"/>
  <c r="K746" i="1" s="1"/>
  <c r="M746" i="1" s="1"/>
  <c r="N746" i="1" s="1"/>
  <c r="H747" i="1"/>
  <c r="J747" i="1" s="1"/>
  <c r="H748" i="1"/>
  <c r="J748" i="1" s="1"/>
  <c r="H749" i="1"/>
  <c r="J749" i="1" s="1"/>
  <c r="H750" i="1"/>
  <c r="J750" i="1" s="1"/>
  <c r="H751" i="1"/>
  <c r="J751" i="1" s="1"/>
  <c r="H752" i="1"/>
  <c r="J752" i="1" s="1"/>
  <c r="H753" i="1"/>
  <c r="J753" i="1" s="1"/>
  <c r="K753" i="1" s="1"/>
  <c r="M753" i="1" s="1"/>
  <c r="N753" i="1" s="1"/>
  <c r="H754" i="1"/>
  <c r="J754" i="1" s="1"/>
  <c r="H755" i="1"/>
  <c r="J755" i="1" s="1"/>
  <c r="H756" i="1"/>
  <c r="J756" i="1" s="1"/>
  <c r="H757" i="1"/>
  <c r="J757" i="1" s="1"/>
  <c r="H758" i="1"/>
  <c r="H759" i="1"/>
  <c r="J759" i="1" s="1"/>
  <c r="H760" i="1"/>
  <c r="J760" i="1" s="1"/>
  <c r="H761" i="1"/>
  <c r="J761" i="1" s="1"/>
  <c r="H762" i="1"/>
  <c r="J762" i="1" s="1"/>
  <c r="H763" i="1"/>
  <c r="J763" i="1" s="1"/>
  <c r="H764" i="1"/>
  <c r="J764" i="1" s="1"/>
  <c r="H765" i="1"/>
  <c r="J765" i="1" s="1"/>
  <c r="H766" i="1"/>
  <c r="J766" i="1" s="1"/>
  <c r="H767" i="1"/>
  <c r="J767" i="1" s="1"/>
  <c r="H768" i="1"/>
  <c r="J768" i="1" s="1"/>
  <c r="H769" i="1"/>
  <c r="J769" i="1" s="1"/>
  <c r="H770" i="1"/>
  <c r="J770" i="1" s="1"/>
  <c r="K770" i="1" s="1"/>
  <c r="M770" i="1" s="1"/>
  <c r="N770" i="1" s="1"/>
  <c r="H771" i="1"/>
  <c r="J771" i="1" s="1"/>
  <c r="H772" i="1"/>
  <c r="J772" i="1" s="1"/>
  <c r="H773" i="1"/>
  <c r="J773" i="1" s="1"/>
  <c r="H774" i="1"/>
  <c r="J774" i="1" s="1"/>
  <c r="H775" i="1"/>
  <c r="J775" i="1" s="1"/>
  <c r="H776" i="1"/>
  <c r="J776" i="1" s="1"/>
  <c r="H777" i="1"/>
  <c r="J777" i="1" s="1"/>
  <c r="K777" i="1" s="1"/>
  <c r="M777" i="1" s="1"/>
  <c r="N777" i="1" s="1"/>
  <c r="H778" i="1"/>
  <c r="J778" i="1" s="1"/>
  <c r="K778" i="1" s="1"/>
  <c r="M778" i="1" s="1"/>
  <c r="N778" i="1" s="1"/>
  <c r="H779" i="1"/>
  <c r="J779" i="1" s="1"/>
  <c r="H780" i="1"/>
  <c r="J780" i="1" s="1"/>
  <c r="H781" i="1"/>
  <c r="J781" i="1" s="1"/>
  <c r="H782" i="1"/>
  <c r="J782" i="1" s="1"/>
  <c r="H783" i="1"/>
  <c r="J783" i="1" s="1"/>
  <c r="H784" i="1"/>
  <c r="J784" i="1" s="1"/>
  <c r="H785" i="1"/>
  <c r="J785" i="1" s="1"/>
  <c r="K785" i="1" s="1"/>
  <c r="M785" i="1" s="1"/>
  <c r="N785" i="1" s="1"/>
  <c r="H786" i="1"/>
  <c r="J786" i="1" s="1"/>
  <c r="H787" i="1"/>
  <c r="J787" i="1" s="1"/>
  <c r="H788" i="1"/>
  <c r="J788" i="1" s="1"/>
  <c r="H789" i="1"/>
  <c r="J789" i="1" s="1"/>
  <c r="H790" i="1"/>
  <c r="H791" i="1"/>
  <c r="J791" i="1" s="1"/>
  <c r="H792" i="1"/>
  <c r="J792" i="1" s="1"/>
  <c r="H793" i="1"/>
  <c r="J793" i="1" s="1"/>
  <c r="H794" i="1"/>
  <c r="J794" i="1" s="1"/>
  <c r="H795" i="1"/>
  <c r="J795" i="1" s="1"/>
  <c r="H796" i="1"/>
  <c r="J796" i="1" s="1"/>
  <c r="H797" i="1"/>
  <c r="J797" i="1" s="1"/>
  <c r="H798" i="1"/>
  <c r="J798" i="1" s="1"/>
  <c r="H799" i="1"/>
  <c r="J799" i="1" s="1"/>
  <c r="H800" i="1"/>
  <c r="J800" i="1" s="1"/>
  <c r="H801" i="1"/>
  <c r="J801" i="1" s="1"/>
  <c r="H802" i="1"/>
  <c r="J802" i="1" s="1"/>
  <c r="K802" i="1" s="1"/>
  <c r="M802" i="1" s="1"/>
  <c r="N802" i="1" s="1"/>
  <c r="H803" i="1"/>
  <c r="J803" i="1" s="1"/>
  <c r="H804" i="1"/>
  <c r="J804" i="1" s="1"/>
  <c r="H805" i="1"/>
  <c r="J805" i="1" s="1"/>
  <c r="H806" i="1"/>
  <c r="J806" i="1" s="1"/>
  <c r="H807" i="1"/>
  <c r="J807" i="1" s="1"/>
  <c r="H808" i="1"/>
  <c r="J808" i="1" s="1"/>
  <c r="H809" i="1"/>
  <c r="J809" i="1" s="1"/>
  <c r="K809" i="1" s="1"/>
  <c r="M809" i="1" s="1"/>
  <c r="N809" i="1" s="1"/>
  <c r="H810" i="1"/>
  <c r="J810" i="1" s="1"/>
  <c r="K810" i="1" s="1"/>
  <c r="M810" i="1" s="1"/>
  <c r="N810" i="1" s="1"/>
  <c r="H811" i="1"/>
  <c r="J811" i="1" s="1"/>
  <c r="H812" i="1"/>
  <c r="J812" i="1" s="1"/>
  <c r="H813" i="1"/>
  <c r="J813" i="1" s="1"/>
  <c r="H814" i="1"/>
  <c r="J814" i="1" s="1"/>
  <c r="H815" i="1"/>
  <c r="J815" i="1" s="1"/>
  <c r="H816" i="1"/>
  <c r="J816" i="1" s="1"/>
  <c r="H817" i="1"/>
  <c r="J817" i="1" s="1"/>
  <c r="K817" i="1" s="1"/>
  <c r="M817" i="1" s="1"/>
  <c r="N817" i="1" s="1"/>
  <c r="H818" i="1"/>
  <c r="J818" i="1" s="1"/>
  <c r="H819" i="1"/>
  <c r="J819" i="1" s="1"/>
  <c r="H820" i="1"/>
  <c r="J820" i="1" s="1"/>
  <c r="H821" i="1"/>
  <c r="J821" i="1" s="1"/>
  <c r="H822" i="1"/>
  <c r="J822" i="1" s="1"/>
  <c r="K822" i="1" s="1"/>
  <c r="M822" i="1" s="1"/>
  <c r="N822" i="1" s="1"/>
  <c r="H823" i="1"/>
  <c r="J823" i="1" s="1"/>
  <c r="H824" i="1"/>
  <c r="J824" i="1" s="1"/>
  <c r="K824" i="1" s="1"/>
  <c r="M824" i="1" s="1"/>
  <c r="N824" i="1" s="1"/>
  <c r="H825" i="1"/>
  <c r="J825" i="1" s="1"/>
  <c r="H826" i="1"/>
  <c r="J826" i="1" s="1"/>
  <c r="K826" i="1" s="1"/>
  <c r="M826" i="1" s="1"/>
  <c r="N826" i="1" s="1"/>
  <c r="H827" i="1"/>
  <c r="J827" i="1" s="1"/>
  <c r="H828" i="1"/>
  <c r="J828" i="1" s="1"/>
  <c r="H829" i="1"/>
  <c r="J829" i="1" s="1"/>
  <c r="H830" i="1"/>
  <c r="J830" i="1" s="1"/>
  <c r="K830" i="1" s="1"/>
  <c r="M830" i="1" s="1"/>
  <c r="N830" i="1" s="1"/>
  <c r="H831" i="1"/>
  <c r="J831" i="1" s="1"/>
  <c r="H832" i="1"/>
  <c r="J832" i="1" s="1"/>
  <c r="H833" i="1"/>
  <c r="J833" i="1" s="1"/>
  <c r="K833" i="1" s="1"/>
  <c r="M833" i="1" s="1"/>
  <c r="N833" i="1" s="1"/>
  <c r="H834" i="1"/>
  <c r="J834" i="1" s="1"/>
  <c r="K834" i="1" s="1"/>
  <c r="M834" i="1" s="1"/>
  <c r="N834" i="1" s="1"/>
  <c r="H835" i="1"/>
  <c r="J835" i="1" s="1"/>
  <c r="H836" i="1"/>
  <c r="J836" i="1" s="1"/>
  <c r="H837" i="1"/>
  <c r="J837" i="1" s="1"/>
  <c r="H838" i="1"/>
  <c r="J838" i="1" s="1"/>
  <c r="K838" i="1" s="1"/>
  <c r="M838" i="1" s="1"/>
  <c r="N838" i="1" s="1"/>
  <c r="H839" i="1"/>
  <c r="J839" i="1" s="1"/>
  <c r="H840" i="1"/>
  <c r="J840" i="1" s="1"/>
  <c r="H841" i="1"/>
  <c r="H842" i="1"/>
  <c r="J842" i="1" s="1"/>
  <c r="K842" i="1" s="1"/>
  <c r="M842" i="1" s="1"/>
  <c r="N842" i="1" s="1"/>
  <c r="H843" i="1"/>
  <c r="J843" i="1" s="1"/>
  <c r="H844" i="1"/>
  <c r="J844" i="1" s="1"/>
  <c r="H845" i="1"/>
  <c r="J845" i="1" s="1"/>
  <c r="H846" i="1"/>
  <c r="J846" i="1" s="1"/>
  <c r="K846" i="1" s="1"/>
  <c r="M846" i="1" s="1"/>
  <c r="N846" i="1" s="1"/>
  <c r="H847" i="1"/>
  <c r="J847" i="1" s="1"/>
  <c r="H848" i="1"/>
  <c r="J848" i="1" s="1"/>
  <c r="H849" i="1"/>
  <c r="J849" i="1" s="1"/>
  <c r="K849" i="1" s="1"/>
  <c r="M849" i="1" s="1"/>
  <c r="N849" i="1" s="1"/>
  <c r="H850" i="1"/>
  <c r="J850" i="1" s="1"/>
  <c r="K850" i="1" s="1"/>
  <c r="M850" i="1" s="1"/>
  <c r="N850" i="1" s="1"/>
  <c r="H851" i="1"/>
  <c r="J851" i="1" s="1"/>
  <c r="H852" i="1"/>
  <c r="J852" i="1" s="1"/>
  <c r="H853" i="1"/>
  <c r="J853" i="1" s="1"/>
  <c r="H854" i="1"/>
  <c r="J854" i="1" s="1"/>
  <c r="K854" i="1" s="1"/>
  <c r="M854" i="1" s="1"/>
  <c r="N854" i="1" s="1"/>
  <c r="H855" i="1"/>
  <c r="J855" i="1" s="1"/>
  <c r="H856" i="1"/>
  <c r="J856" i="1" s="1"/>
  <c r="H857" i="1"/>
  <c r="J857" i="1" s="1"/>
  <c r="H858" i="1"/>
  <c r="J858" i="1" s="1"/>
  <c r="K858" i="1" s="1"/>
  <c r="M858" i="1" s="1"/>
  <c r="N858" i="1" s="1"/>
  <c r="H859" i="1"/>
  <c r="J859" i="1" s="1"/>
  <c r="H860" i="1"/>
  <c r="J860" i="1" s="1"/>
  <c r="H861" i="1"/>
  <c r="J861" i="1" s="1"/>
  <c r="K861" i="1" s="1"/>
  <c r="M861" i="1" s="1"/>
  <c r="N861" i="1" s="1"/>
  <c r="H862" i="1"/>
  <c r="J862" i="1" s="1"/>
  <c r="K862" i="1" s="1"/>
  <c r="M862" i="1" s="1"/>
  <c r="N862" i="1" s="1"/>
  <c r="H863" i="1"/>
  <c r="J863" i="1" s="1"/>
  <c r="H864" i="1"/>
  <c r="J864" i="1" s="1"/>
  <c r="H865" i="1"/>
  <c r="J865" i="1" s="1"/>
  <c r="K865" i="1" s="1"/>
  <c r="M865" i="1" s="1"/>
  <c r="N865" i="1" s="1"/>
  <c r="H866" i="1"/>
  <c r="J866" i="1" s="1"/>
  <c r="K866" i="1" s="1"/>
  <c r="M866" i="1" s="1"/>
  <c r="N866" i="1" s="1"/>
  <c r="H867" i="1"/>
  <c r="J867" i="1" s="1"/>
  <c r="H868" i="1"/>
  <c r="J868" i="1" s="1"/>
  <c r="H869" i="1"/>
  <c r="J869" i="1" s="1"/>
  <c r="H870" i="1"/>
  <c r="J870" i="1" s="1"/>
  <c r="K870" i="1" s="1"/>
  <c r="M870" i="1" s="1"/>
  <c r="N870" i="1" s="1"/>
  <c r="H871" i="1"/>
  <c r="J871" i="1" s="1"/>
  <c r="H872" i="1"/>
  <c r="J872" i="1" s="1"/>
  <c r="H873" i="1"/>
  <c r="J873" i="1" s="1"/>
  <c r="H874" i="1"/>
  <c r="J874" i="1" s="1"/>
  <c r="K874" i="1" s="1"/>
  <c r="M874" i="1" s="1"/>
  <c r="N874" i="1" s="1"/>
  <c r="H875" i="1"/>
  <c r="J875" i="1" s="1"/>
  <c r="H876" i="1"/>
  <c r="J876" i="1" s="1"/>
  <c r="H877" i="1"/>
  <c r="J877" i="1" s="1"/>
  <c r="K877" i="1" s="1"/>
  <c r="M877" i="1" s="1"/>
  <c r="N877" i="1" s="1"/>
  <c r="H878" i="1"/>
  <c r="J878" i="1" s="1"/>
  <c r="K878" i="1" s="1"/>
  <c r="M878" i="1" s="1"/>
  <c r="N878" i="1" s="1"/>
  <c r="H879" i="1"/>
  <c r="J879" i="1" s="1"/>
  <c r="H880" i="1"/>
  <c r="J880" i="1" s="1"/>
  <c r="H881" i="1"/>
  <c r="J881" i="1" s="1"/>
  <c r="K881" i="1" s="1"/>
  <c r="M881" i="1" s="1"/>
  <c r="N881" i="1" s="1"/>
  <c r="H882" i="1"/>
  <c r="J882" i="1" s="1"/>
  <c r="K882" i="1" s="1"/>
  <c r="M882" i="1" s="1"/>
  <c r="N882" i="1" s="1"/>
  <c r="H883" i="1"/>
  <c r="J883" i="1" s="1"/>
  <c r="H884" i="1"/>
  <c r="J884" i="1" s="1"/>
  <c r="H885" i="1"/>
  <c r="J885" i="1" s="1"/>
  <c r="H886" i="1"/>
  <c r="J886" i="1" s="1"/>
  <c r="K886" i="1" s="1"/>
  <c r="M886" i="1" s="1"/>
  <c r="N886" i="1" s="1"/>
  <c r="H887" i="1"/>
  <c r="J887" i="1" s="1"/>
  <c r="H888" i="1"/>
  <c r="J888" i="1" s="1"/>
  <c r="H889" i="1"/>
  <c r="J889" i="1" s="1"/>
  <c r="H890" i="1"/>
  <c r="J890" i="1" s="1"/>
  <c r="K890" i="1" s="1"/>
  <c r="M890" i="1" s="1"/>
  <c r="N890" i="1" s="1"/>
  <c r="H891" i="1"/>
  <c r="J891" i="1" s="1"/>
  <c r="H892" i="1"/>
  <c r="J892" i="1" s="1"/>
  <c r="H893" i="1"/>
  <c r="J893" i="1" s="1"/>
  <c r="H894" i="1"/>
  <c r="J894" i="1" s="1"/>
  <c r="K894" i="1" s="1"/>
  <c r="M894" i="1" s="1"/>
  <c r="N894" i="1" s="1"/>
  <c r="H895" i="1"/>
  <c r="J895" i="1" s="1"/>
  <c r="H896" i="1"/>
  <c r="J896" i="1" s="1"/>
  <c r="H897" i="1"/>
  <c r="J897" i="1" s="1"/>
  <c r="K897" i="1" s="1"/>
  <c r="M897" i="1" s="1"/>
  <c r="N897" i="1" s="1"/>
  <c r="H898" i="1"/>
  <c r="J898" i="1" s="1"/>
  <c r="K898" i="1" s="1"/>
  <c r="M898" i="1" s="1"/>
  <c r="N898" i="1" s="1"/>
  <c r="H899" i="1"/>
  <c r="J899" i="1" s="1"/>
  <c r="H900" i="1"/>
  <c r="J900" i="1" s="1"/>
  <c r="H901" i="1"/>
  <c r="J901" i="1" s="1"/>
  <c r="H902" i="1"/>
  <c r="J902" i="1" s="1"/>
  <c r="K902" i="1" s="1"/>
  <c r="M902" i="1" s="1"/>
  <c r="N902" i="1" s="1"/>
  <c r="H903" i="1"/>
  <c r="J903" i="1" s="1"/>
  <c r="H904" i="1"/>
  <c r="J904" i="1" s="1"/>
  <c r="H905" i="1"/>
  <c r="J905" i="1" s="1"/>
  <c r="H906" i="1"/>
  <c r="J906" i="1" s="1"/>
  <c r="K906" i="1" s="1"/>
  <c r="M906" i="1" s="1"/>
  <c r="N906" i="1" s="1"/>
  <c r="H907" i="1"/>
  <c r="J907" i="1" s="1"/>
  <c r="H908" i="1"/>
  <c r="J908" i="1" s="1"/>
  <c r="H909" i="1"/>
  <c r="J909" i="1" s="1"/>
  <c r="H910" i="1"/>
  <c r="J910" i="1" s="1"/>
  <c r="K910" i="1" s="1"/>
  <c r="M910" i="1" s="1"/>
  <c r="N910" i="1" s="1"/>
  <c r="H911" i="1"/>
  <c r="J911" i="1" s="1"/>
  <c r="H912" i="1"/>
  <c r="J912" i="1" s="1"/>
  <c r="H913" i="1"/>
  <c r="J913" i="1" s="1"/>
  <c r="H914" i="1"/>
  <c r="J914" i="1" s="1"/>
  <c r="K914" i="1" s="1"/>
  <c r="M914" i="1" s="1"/>
  <c r="N914" i="1" s="1"/>
  <c r="H915" i="1"/>
  <c r="J915" i="1" s="1"/>
  <c r="H916" i="1"/>
  <c r="J916" i="1" s="1"/>
  <c r="H917" i="1"/>
  <c r="J917" i="1" s="1"/>
  <c r="H918" i="1"/>
  <c r="J918" i="1" s="1"/>
  <c r="K918" i="1" s="1"/>
  <c r="M918" i="1" s="1"/>
  <c r="N918" i="1" s="1"/>
  <c r="H919" i="1"/>
  <c r="J919" i="1" s="1"/>
  <c r="H920" i="1"/>
  <c r="J920" i="1" s="1"/>
  <c r="H921" i="1"/>
  <c r="J921" i="1" s="1"/>
  <c r="H922" i="1"/>
  <c r="J922" i="1" s="1"/>
  <c r="K922" i="1" s="1"/>
  <c r="M922" i="1" s="1"/>
  <c r="N922" i="1" s="1"/>
  <c r="H923" i="1"/>
  <c r="J923" i="1" s="1"/>
  <c r="H924" i="1"/>
  <c r="H925" i="1"/>
  <c r="H926" i="1"/>
  <c r="J926" i="1" s="1"/>
  <c r="K926" i="1" s="1"/>
  <c r="M926" i="1" s="1"/>
  <c r="N926" i="1" s="1"/>
  <c r="H927" i="1"/>
  <c r="H928" i="1"/>
  <c r="H929" i="1"/>
  <c r="H930" i="1"/>
  <c r="J930" i="1" s="1"/>
  <c r="K930" i="1" s="1"/>
  <c r="M930" i="1" s="1"/>
  <c r="N930" i="1" s="1"/>
  <c r="H931" i="1"/>
  <c r="H932" i="1"/>
  <c r="H933" i="1"/>
  <c r="H934" i="1"/>
  <c r="J934" i="1" s="1"/>
  <c r="K934" i="1" s="1"/>
  <c r="M934" i="1" s="1"/>
  <c r="N934" i="1" s="1"/>
  <c r="H935" i="1"/>
  <c r="H936" i="1"/>
  <c r="H937" i="1"/>
  <c r="H938" i="1"/>
  <c r="J938" i="1" s="1"/>
  <c r="K938" i="1" s="1"/>
  <c r="M938" i="1" s="1"/>
  <c r="N938" i="1" s="1"/>
  <c r="H939" i="1"/>
  <c r="H940" i="1"/>
  <c r="H941" i="1"/>
  <c r="H942" i="1"/>
  <c r="J942" i="1" s="1"/>
  <c r="K942" i="1" s="1"/>
  <c r="M942" i="1" s="1"/>
  <c r="N942" i="1" s="1"/>
  <c r="H943" i="1"/>
  <c r="H944" i="1"/>
  <c r="H945" i="1"/>
  <c r="H946" i="1"/>
  <c r="J946" i="1" s="1"/>
  <c r="K946" i="1" s="1"/>
  <c r="M946" i="1" s="1"/>
  <c r="N946" i="1" s="1"/>
  <c r="H947" i="1"/>
  <c r="H948" i="1"/>
  <c r="H949" i="1"/>
  <c r="H950" i="1"/>
  <c r="J950" i="1" s="1"/>
  <c r="K950" i="1" s="1"/>
  <c r="M950" i="1" s="1"/>
  <c r="N950" i="1" s="1"/>
  <c r="H951" i="1"/>
  <c r="H952" i="1"/>
  <c r="H953" i="1"/>
  <c r="H954" i="1"/>
  <c r="J954" i="1" s="1"/>
  <c r="K954" i="1" s="1"/>
  <c r="M954" i="1" s="1"/>
  <c r="N954" i="1" s="1"/>
  <c r="H955" i="1"/>
  <c r="H956" i="1"/>
  <c r="H957" i="1"/>
  <c r="H958" i="1"/>
  <c r="J958" i="1" s="1"/>
  <c r="K958" i="1" s="1"/>
  <c r="M958" i="1" s="1"/>
  <c r="N958" i="1" s="1"/>
  <c r="H959" i="1"/>
  <c r="H960" i="1"/>
  <c r="H961" i="1"/>
  <c r="H962" i="1"/>
  <c r="J962" i="1" s="1"/>
  <c r="K962" i="1" s="1"/>
  <c r="M962" i="1" s="1"/>
  <c r="N962" i="1" s="1"/>
  <c r="H963" i="1"/>
  <c r="H964" i="1"/>
  <c r="H965" i="1"/>
  <c r="H966" i="1"/>
  <c r="J966" i="1" s="1"/>
  <c r="K966" i="1" s="1"/>
  <c r="M966" i="1" s="1"/>
  <c r="N966" i="1" s="1"/>
  <c r="H967" i="1"/>
  <c r="H968" i="1"/>
  <c r="H969" i="1"/>
  <c r="H970" i="1"/>
  <c r="J970" i="1" s="1"/>
  <c r="K970" i="1" s="1"/>
  <c r="M970" i="1" s="1"/>
  <c r="N970" i="1" s="1"/>
  <c r="H971" i="1"/>
  <c r="H972" i="1"/>
  <c r="H973" i="1"/>
  <c r="H974" i="1"/>
  <c r="J974" i="1" s="1"/>
  <c r="K974" i="1" s="1"/>
  <c r="M974" i="1" s="1"/>
  <c r="N974" i="1" s="1"/>
  <c r="H975" i="1"/>
  <c r="H976" i="1"/>
  <c r="H977" i="1"/>
  <c r="H978" i="1"/>
  <c r="J978" i="1" s="1"/>
  <c r="K978" i="1" s="1"/>
  <c r="M978" i="1" s="1"/>
  <c r="N978" i="1" s="1"/>
  <c r="H979" i="1"/>
  <c r="H980" i="1"/>
  <c r="H981" i="1"/>
  <c r="H982" i="1"/>
  <c r="J982" i="1" s="1"/>
  <c r="K982" i="1" s="1"/>
  <c r="M982" i="1" s="1"/>
  <c r="N982" i="1" s="1"/>
  <c r="H983" i="1"/>
  <c r="H984" i="1"/>
  <c r="H985" i="1"/>
  <c r="H986" i="1"/>
  <c r="J986" i="1" s="1"/>
  <c r="K986" i="1" s="1"/>
  <c r="M986" i="1" s="1"/>
  <c r="N986" i="1" s="1"/>
  <c r="H987" i="1"/>
  <c r="H988" i="1"/>
  <c r="H989" i="1"/>
  <c r="H990" i="1"/>
  <c r="J990" i="1" s="1"/>
  <c r="K990" i="1" s="1"/>
  <c r="M990" i="1" s="1"/>
  <c r="N990" i="1" s="1"/>
  <c r="H991" i="1"/>
  <c r="H992" i="1"/>
  <c r="H993" i="1"/>
  <c r="H994" i="1"/>
  <c r="J994" i="1" s="1"/>
  <c r="K994" i="1" s="1"/>
  <c r="M994" i="1" s="1"/>
  <c r="N994" i="1" s="1"/>
  <c r="H995" i="1"/>
  <c r="H996" i="1"/>
  <c r="H997" i="1"/>
  <c r="H998" i="1"/>
  <c r="J998" i="1" s="1"/>
  <c r="K998" i="1" s="1"/>
  <c r="M998" i="1" s="1"/>
  <c r="N998" i="1" s="1"/>
  <c r="H999" i="1"/>
  <c r="H1000" i="1"/>
  <c r="H1001" i="1"/>
  <c r="H1002" i="1"/>
  <c r="J1002" i="1" s="1"/>
  <c r="K1002" i="1" s="1"/>
  <c r="M1002" i="1" s="1"/>
  <c r="N1002" i="1" s="1"/>
  <c r="H1003" i="1"/>
  <c r="H1004" i="1"/>
  <c r="H1005" i="1"/>
  <c r="H1006" i="1"/>
  <c r="J1006" i="1" s="1"/>
  <c r="K1006" i="1" s="1"/>
  <c r="M1006" i="1" s="1"/>
  <c r="N1006" i="1" s="1"/>
  <c r="H1007" i="1"/>
  <c r="H1008" i="1"/>
  <c r="H1009" i="1"/>
  <c r="H1010" i="1"/>
  <c r="J1010" i="1" s="1"/>
  <c r="K1010" i="1" s="1"/>
  <c r="M1010" i="1" s="1"/>
  <c r="N1010" i="1" s="1"/>
  <c r="H1011" i="1"/>
  <c r="H1012" i="1"/>
  <c r="H1013" i="1"/>
  <c r="H1014" i="1"/>
  <c r="J1014" i="1" s="1"/>
  <c r="K1014" i="1" s="1"/>
  <c r="M1014" i="1" s="1"/>
  <c r="N1014" i="1" s="1"/>
  <c r="H1015" i="1"/>
  <c r="H1016" i="1"/>
  <c r="H1017" i="1"/>
  <c r="H1018" i="1"/>
  <c r="J1018" i="1" s="1"/>
  <c r="K1018" i="1" s="1"/>
  <c r="M1018" i="1" s="1"/>
  <c r="N1018" i="1" s="1"/>
  <c r="H1019" i="1"/>
  <c r="H1020" i="1"/>
  <c r="H1021" i="1"/>
  <c r="H1022" i="1"/>
  <c r="J1022" i="1" s="1"/>
  <c r="K1022" i="1" s="1"/>
  <c r="M1022" i="1" s="1"/>
  <c r="N1022" i="1" s="1"/>
  <c r="H1023" i="1"/>
  <c r="H1024" i="1"/>
  <c r="H1025" i="1"/>
  <c r="H1026" i="1"/>
  <c r="J1026" i="1" s="1"/>
  <c r="K1026" i="1" s="1"/>
  <c r="M1026" i="1" s="1"/>
  <c r="N1026" i="1" s="1"/>
  <c r="H1027" i="1"/>
  <c r="H1028" i="1"/>
  <c r="H1029" i="1"/>
  <c r="H1030" i="1"/>
  <c r="J1030" i="1" s="1"/>
  <c r="K1030" i="1" s="1"/>
  <c r="M1030" i="1" s="1"/>
  <c r="N1030" i="1" s="1"/>
  <c r="H1031" i="1"/>
  <c r="H1032" i="1"/>
  <c r="H1033" i="1"/>
  <c r="H1034" i="1"/>
  <c r="J1034" i="1" s="1"/>
  <c r="K1034" i="1" s="1"/>
  <c r="M1034" i="1" s="1"/>
  <c r="N1034" i="1" s="1"/>
  <c r="H1035" i="1"/>
  <c r="H1036" i="1"/>
  <c r="H1037" i="1"/>
  <c r="H1038" i="1"/>
  <c r="J1038" i="1" s="1"/>
  <c r="K1038" i="1" s="1"/>
  <c r="M1038" i="1" s="1"/>
  <c r="N1038" i="1" s="1"/>
  <c r="H1039" i="1"/>
  <c r="H1040" i="1"/>
  <c r="H1041" i="1"/>
  <c r="H1042" i="1"/>
  <c r="J1042" i="1" s="1"/>
  <c r="K1042" i="1" s="1"/>
  <c r="M1042" i="1" s="1"/>
  <c r="N1042" i="1" s="1"/>
  <c r="H1043" i="1"/>
  <c r="H1044" i="1"/>
  <c r="H1045" i="1"/>
  <c r="H1046" i="1"/>
  <c r="J1046" i="1" s="1"/>
  <c r="K1046" i="1" s="1"/>
  <c r="M1046" i="1" s="1"/>
  <c r="N1046" i="1" s="1"/>
  <c r="H1047" i="1"/>
  <c r="H1048" i="1"/>
  <c r="H1049" i="1"/>
  <c r="H1050" i="1"/>
  <c r="J1050" i="1" s="1"/>
  <c r="K1050" i="1" s="1"/>
  <c r="M1050" i="1" s="1"/>
  <c r="N1050" i="1" s="1"/>
  <c r="H1051" i="1"/>
  <c r="H1052" i="1"/>
  <c r="H1053" i="1"/>
  <c r="H1054" i="1"/>
  <c r="J1054" i="1" s="1"/>
  <c r="K1054" i="1" s="1"/>
  <c r="M1054" i="1" s="1"/>
  <c r="N1054" i="1" s="1"/>
  <c r="H1055" i="1"/>
  <c r="H1056" i="1"/>
  <c r="H1057" i="1"/>
  <c r="H1058" i="1"/>
  <c r="J1058" i="1" s="1"/>
  <c r="K1058" i="1" s="1"/>
  <c r="M1058" i="1" s="1"/>
  <c r="N1058" i="1" s="1"/>
  <c r="H1059" i="1"/>
  <c r="H1060" i="1"/>
  <c r="H1061" i="1"/>
  <c r="H1062" i="1"/>
  <c r="J1062" i="1" s="1"/>
  <c r="K1062" i="1" s="1"/>
  <c r="M1062" i="1" s="1"/>
  <c r="N1062" i="1" s="1"/>
  <c r="H1063" i="1"/>
  <c r="H1064" i="1"/>
  <c r="H1065" i="1"/>
  <c r="H1066" i="1"/>
  <c r="J1066" i="1" s="1"/>
  <c r="K1066" i="1" s="1"/>
  <c r="M1066" i="1" s="1"/>
  <c r="N1066" i="1" s="1"/>
  <c r="H1067" i="1"/>
  <c r="H1068" i="1"/>
  <c r="H1069" i="1"/>
  <c r="H1070" i="1"/>
  <c r="J1070" i="1" s="1"/>
  <c r="K1070" i="1" s="1"/>
  <c r="M1070" i="1" s="1"/>
  <c r="N1070" i="1" s="1"/>
  <c r="H1071" i="1"/>
  <c r="H1072" i="1"/>
  <c r="H1073" i="1"/>
  <c r="H1074" i="1"/>
  <c r="J1074" i="1" s="1"/>
  <c r="K1074" i="1" s="1"/>
  <c r="M1074" i="1" s="1"/>
  <c r="N1074" i="1" s="1"/>
  <c r="H1075" i="1"/>
  <c r="H1076" i="1"/>
  <c r="H1077" i="1"/>
  <c r="H1078" i="1"/>
  <c r="J1078" i="1" s="1"/>
  <c r="K1078" i="1" s="1"/>
  <c r="M1078" i="1" s="1"/>
  <c r="N1078" i="1" s="1"/>
  <c r="H1079" i="1"/>
  <c r="H1080" i="1"/>
  <c r="J1080" i="1" s="1"/>
  <c r="H1081" i="1"/>
  <c r="J1081" i="1" s="1"/>
  <c r="H1082" i="1"/>
  <c r="J1082" i="1" s="1"/>
  <c r="K1082" i="1" s="1"/>
  <c r="M1082" i="1" s="1"/>
  <c r="N1082" i="1" s="1"/>
  <c r="H1083" i="1"/>
  <c r="J1083" i="1" s="1"/>
  <c r="H1084" i="1"/>
  <c r="J1084" i="1" s="1"/>
  <c r="H1085" i="1"/>
  <c r="J1085" i="1" s="1"/>
  <c r="H1086" i="1"/>
  <c r="J1086" i="1" s="1"/>
  <c r="K1086" i="1" s="1"/>
  <c r="M1086" i="1" s="1"/>
  <c r="N1086" i="1" s="1"/>
  <c r="H1087" i="1"/>
  <c r="J1087" i="1" s="1"/>
  <c r="H1088" i="1"/>
  <c r="J1088" i="1" s="1"/>
  <c r="H1089" i="1"/>
  <c r="J1089" i="1" s="1"/>
  <c r="K1089" i="1" s="1"/>
  <c r="M1089" i="1" s="1"/>
  <c r="N1089" i="1" s="1"/>
  <c r="H1090" i="1"/>
  <c r="J1090" i="1" s="1"/>
  <c r="K1090" i="1" s="1"/>
  <c r="M1090" i="1" s="1"/>
  <c r="N1090" i="1" s="1"/>
  <c r="H1091" i="1"/>
  <c r="J1091" i="1" s="1"/>
  <c r="H1092" i="1"/>
  <c r="J1092" i="1" s="1"/>
  <c r="H1093" i="1"/>
  <c r="J1093" i="1" s="1"/>
  <c r="H1094" i="1"/>
  <c r="J1094" i="1" s="1"/>
  <c r="K1094" i="1" s="1"/>
  <c r="M1094" i="1" s="1"/>
  <c r="N1094" i="1" s="1"/>
  <c r="H1095" i="1"/>
  <c r="J1095" i="1" s="1"/>
  <c r="H1096" i="1"/>
  <c r="J1096" i="1" s="1"/>
  <c r="H1097" i="1"/>
  <c r="J1097" i="1" s="1"/>
  <c r="H1098" i="1"/>
  <c r="J1098" i="1" s="1"/>
  <c r="K1098" i="1" s="1"/>
  <c r="M1098" i="1" s="1"/>
  <c r="N1098" i="1" s="1"/>
  <c r="H1099" i="1"/>
  <c r="J1099" i="1" s="1"/>
  <c r="H1100" i="1"/>
  <c r="J1100" i="1" s="1"/>
  <c r="K1100" i="1" s="1"/>
  <c r="M1100" i="1" s="1"/>
  <c r="N1100" i="1" s="1"/>
  <c r="H1101" i="1"/>
  <c r="J1101" i="1" s="1"/>
  <c r="K1101" i="1" s="1"/>
  <c r="M1101" i="1" s="1"/>
  <c r="N1101" i="1" s="1"/>
  <c r="H1102" i="1"/>
  <c r="J1102" i="1" s="1"/>
  <c r="H1103" i="1"/>
  <c r="J1103" i="1" s="1"/>
  <c r="H1104" i="1"/>
  <c r="J1104" i="1" s="1"/>
  <c r="K1104" i="1" s="1"/>
  <c r="M1104" i="1" s="1"/>
  <c r="N1104" i="1" s="1"/>
  <c r="H1105" i="1"/>
  <c r="J1105" i="1" s="1"/>
  <c r="K1105" i="1" s="1"/>
  <c r="M1105" i="1" s="1"/>
  <c r="N1105" i="1" s="1"/>
  <c r="H1106" i="1"/>
  <c r="J1106" i="1" s="1"/>
  <c r="H1107" i="1"/>
  <c r="J1107" i="1" s="1"/>
  <c r="H1108" i="1"/>
  <c r="J1108" i="1" s="1"/>
  <c r="H1109" i="1"/>
  <c r="J1109" i="1" s="1"/>
  <c r="K1109" i="1" s="1"/>
  <c r="M1109" i="1" s="1"/>
  <c r="N1109" i="1" s="1"/>
  <c r="H1110" i="1"/>
  <c r="H1111" i="1"/>
  <c r="H1112" i="1"/>
  <c r="J1112" i="1" s="1"/>
  <c r="H1113" i="1"/>
  <c r="J1113" i="1" s="1"/>
  <c r="K1113" i="1" s="1"/>
  <c r="M1113" i="1" s="1"/>
  <c r="N1113" i="1" s="1"/>
  <c r="H1114" i="1"/>
  <c r="J1114" i="1" s="1"/>
  <c r="H1115" i="1"/>
  <c r="J1115" i="1" s="1"/>
  <c r="K1115" i="1" s="1"/>
  <c r="M1115" i="1" s="1"/>
  <c r="N1115" i="1" s="1"/>
  <c r="H1116" i="1"/>
  <c r="J1116" i="1" s="1"/>
  <c r="H1117" i="1"/>
  <c r="J1117" i="1" s="1"/>
  <c r="H1118" i="1"/>
  <c r="J1118" i="1" s="1"/>
  <c r="K1118" i="1" s="1"/>
  <c r="M1118" i="1" s="1"/>
  <c r="N1118" i="1" s="1"/>
  <c r="H1119" i="1"/>
  <c r="H1120" i="1"/>
  <c r="J1120" i="1" s="1"/>
  <c r="H1121" i="1"/>
  <c r="J1121" i="1" s="1"/>
  <c r="H1122" i="1"/>
  <c r="J1122" i="1" s="1"/>
  <c r="H1123" i="1"/>
  <c r="J1123" i="1" s="1"/>
  <c r="H1124" i="1"/>
  <c r="J1124" i="1" s="1"/>
  <c r="H1125" i="1"/>
  <c r="J1125" i="1" s="1"/>
  <c r="H1126" i="1"/>
  <c r="J1126" i="1" s="1"/>
  <c r="K1126" i="1" s="1"/>
  <c r="M1126" i="1" s="1"/>
  <c r="N1126" i="1" s="1"/>
  <c r="H1127" i="1"/>
  <c r="J1127" i="1" s="1"/>
  <c r="K1127" i="1" s="1"/>
  <c r="M1127" i="1" s="1"/>
  <c r="N1127" i="1" s="1"/>
  <c r="H1128" i="1"/>
  <c r="J1128" i="1" s="1"/>
  <c r="H1129" i="1"/>
  <c r="J1129" i="1" s="1"/>
  <c r="H1130" i="1"/>
  <c r="J1130" i="1" s="1"/>
  <c r="H1131" i="1"/>
  <c r="J1131" i="1" s="1"/>
  <c r="K1131" i="1" s="1"/>
  <c r="M1131" i="1" s="1"/>
  <c r="N1131" i="1" s="1"/>
  <c r="H1132" i="1"/>
  <c r="J1132" i="1" s="1"/>
  <c r="H1133" i="1"/>
  <c r="J1133" i="1" s="1"/>
  <c r="H1134" i="1"/>
  <c r="J1134" i="1" s="1"/>
  <c r="K1134" i="1" s="1"/>
  <c r="M1134" i="1" s="1"/>
  <c r="N1134" i="1" s="1"/>
  <c r="H1135" i="1"/>
  <c r="J1135" i="1" s="1"/>
  <c r="K1135" i="1" s="1"/>
  <c r="M1135" i="1" s="1"/>
  <c r="N1135" i="1" s="1"/>
  <c r="H1136" i="1"/>
  <c r="H1137" i="1"/>
  <c r="J1137" i="1" s="1"/>
  <c r="H1138" i="1"/>
  <c r="J1138" i="1" s="1"/>
  <c r="H1139" i="1"/>
  <c r="H1140" i="1"/>
  <c r="J1140" i="1" s="1"/>
  <c r="K1140" i="1" s="1"/>
  <c r="M1140" i="1" s="1"/>
  <c r="N1140" i="1" s="1"/>
  <c r="H1141" i="1"/>
  <c r="J1141" i="1" s="1"/>
  <c r="H1142" i="1"/>
  <c r="J1142" i="1" s="1"/>
  <c r="H1143" i="1"/>
  <c r="J1143" i="1" s="1"/>
  <c r="K1143" i="1" s="1"/>
  <c r="M1143" i="1" s="1"/>
  <c r="N1143" i="1" s="1"/>
  <c r="H1144" i="1"/>
  <c r="J1144" i="1" s="1"/>
  <c r="H1145" i="1"/>
  <c r="J1145" i="1" s="1"/>
  <c r="H1146" i="1"/>
  <c r="J1146" i="1" s="1"/>
  <c r="H1147" i="1"/>
  <c r="J1147" i="1" s="1"/>
  <c r="K1147" i="1" s="1"/>
  <c r="M1147" i="1" s="1"/>
  <c r="N1147" i="1" s="1"/>
  <c r="H1148" i="1"/>
  <c r="J1148" i="1" s="1"/>
  <c r="K1148" i="1" s="1"/>
  <c r="M1148" i="1" s="1"/>
  <c r="N1148" i="1" s="1"/>
  <c r="H1149" i="1"/>
  <c r="J1149" i="1" s="1"/>
  <c r="H1150" i="1"/>
  <c r="J1150" i="1" s="1"/>
  <c r="H1151" i="1"/>
  <c r="H1152" i="1"/>
  <c r="J1152" i="1" s="1"/>
  <c r="H1153" i="1"/>
  <c r="J1153" i="1" s="1"/>
  <c r="K1153" i="1" s="1"/>
  <c r="M1153" i="1" s="1"/>
  <c r="N1153" i="1" s="1"/>
  <c r="H1154" i="1"/>
  <c r="J1154" i="1" s="1"/>
  <c r="K1154" i="1" s="1"/>
  <c r="M1154" i="1" s="1"/>
  <c r="N1154" i="1" s="1"/>
  <c r="H1155" i="1"/>
  <c r="H1156" i="1"/>
  <c r="J1156" i="1" s="1"/>
  <c r="H1157" i="1"/>
  <c r="J1157" i="1" s="1"/>
  <c r="K1157" i="1" s="1"/>
  <c r="M1157" i="1" s="1"/>
  <c r="N1157" i="1" s="1"/>
  <c r="H1158" i="1"/>
  <c r="J1158" i="1" s="1"/>
  <c r="H1159" i="1"/>
  <c r="H1160" i="1"/>
  <c r="J1160" i="1" s="1"/>
  <c r="H1161" i="1"/>
  <c r="J1161" i="1" s="1"/>
  <c r="H1162" i="1"/>
  <c r="J1162" i="1" s="1"/>
  <c r="H1163" i="1"/>
  <c r="J1163" i="1" s="1"/>
  <c r="K1163" i="1" s="1"/>
  <c r="M1163" i="1" s="1"/>
  <c r="N1163" i="1" s="1"/>
  <c r="H1164" i="1"/>
  <c r="J1164" i="1" s="1"/>
  <c r="K1164" i="1" s="1"/>
  <c r="M1164" i="1" s="1"/>
  <c r="N1164" i="1" s="1"/>
  <c r="H1165" i="1"/>
  <c r="J1165" i="1" s="1"/>
  <c r="H1166" i="1"/>
  <c r="J1166" i="1" s="1"/>
  <c r="H1167" i="1"/>
  <c r="J1167" i="1" s="1"/>
  <c r="K1167" i="1" s="1"/>
  <c r="M1167" i="1" s="1"/>
  <c r="N1167" i="1" s="1"/>
  <c r="H1168" i="1"/>
  <c r="J1168" i="1" s="1"/>
  <c r="H1169" i="1"/>
  <c r="J1169" i="1" s="1"/>
  <c r="K1169" i="1" s="1"/>
  <c r="M1169" i="1" s="1"/>
  <c r="N1169" i="1" s="1"/>
  <c r="H1170" i="1"/>
  <c r="J1170" i="1" s="1"/>
  <c r="H1171" i="1"/>
  <c r="H1172" i="1"/>
  <c r="J1172" i="1" s="1"/>
  <c r="K1172" i="1" s="1"/>
  <c r="M1172" i="1" s="1"/>
  <c r="N1172" i="1" s="1"/>
  <c r="H1173" i="1"/>
  <c r="J1173" i="1" s="1"/>
  <c r="H1174" i="1"/>
  <c r="J1174" i="1" s="1"/>
  <c r="H1175" i="1"/>
  <c r="J1175" i="1" s="1"/>
  <c r="K1175" i="1" s="1"/>
  <c r="M1175" i="1" s="1"/>
  <c r="N1175" i="1" s="1"/>
  <c r="H1176" i="1"/>
  <c r="J1176" i="1" s="1"/>
  <c r="H1177" i="1"/>
  <c r="J1177" i="1" s="1"/>
  <c r="H1178" i="1"/>
  <c r="J1178" i="1" s="1"/>
  <c r="H1179" i="1"/>
  <c r="H1180" i="1"/>
  <c r="J1180" i="1" s="1"/>
  <c r="K1180" i="1" s="1"/>
  <c r="M1180" i="1" s="1"/>
  <c r="N1180" i="1" s="1"/>
  <c r="H1181" i="1"/>
  <c r="J1181" i="1" s="1"/>
  <c r="H1182" i="1"/>
  <c r="J1182" i="1" s="1"/>
  <c r="K1182" i="1" s="1"/>
  <c r="M1182" i="1" s="1"/>
  <c r="N1182" i="1" s="1"/>
  <c r="H1183" i="1"/>
  <c r="J1183" i="1" s="1"/>
  <c r="K1183" i="1" s="1"/>
  <c r="M1183" i="1" s="1"/>
  <c r="N1183" i="1" s="1"/>
  <c r="H1184" i="1"/>
  <c r="J1184" i="1" s="1"/>
  <c r="H1185" i="1"/>
  <c r="H1186" i="1"/>
  <c r="J1186" i="1" s="1"/>
  <c r="H1187" i="1"/>
  <c r="J1187" i="1" s="1"/>
  <c r="H1188" i="1"/>
  <c r="J1188" i="1" s="1"/>
  <c r="K1188" i="1" s="1"/>
  <c r="M1188" i="1" s="1"/>
  <c r="N1188" i="1" s="1"/>
  <c r="H1189" i="1"/>
  <c r="J1189" i="1" s="1"/>
  <c r="H1190" i="1"/>
  <c r="J1190" i="1" s="1"/>
  <c r="H1191" i="1"/>
  <c r="H1192" i="1"/>
  <c r="J1192" i="1" s="1"/>
  <c r="H1193" i="1"/>
  <c r="J1193" i="1" s="1"/>
  <c r="H1194" i="1"/>
  <c r="J1194" i="1" s="1"/>
  <c r="H1195" i="1"/>
  <c r="H1196" i="1"/>
  <c r="J1196" i="1" s="1"/>
  <c r="K1196" i="1" s="1"/>
  <c r="M1196" i="1" s="1"/>
  <c r="N1196" i="1" s="1"/>
  <c r="H1197" i="1"/>
  <c r="J1197" i="1" s="1"/>
  <c r="K1197" i="1" s="1"/>
  <c r="M1197" i="1" s="1"/>
  <c r="N1197" i="1" s="1"/>
  <c r="H1198" i="1"/>
  <c r="J1198" i="1" s="1"/>
  <c r="H1199" i="1"/>
  <c r="H1200" i="1"/>
  <c r="J1200" i="1" s="1"/>
  <c r="K1200" i="1" s="1"/>
  <c r="M1200" i="1" s="1"/>
  <c r="N1200" i="1" s="1"/>
  <c r="H1201" i="1"/>
  <c r="J1201" i="1" s="1"/>
  <c r="H1202" i="1"/>
  <c r="J1202" i="1" s="1"/>
  <c r="H1203" i="1"/>
  <c r="H1204" i="1"/>
  <c r="J1204" i="1" s="1"/>
  <c r="K1204" i="1" s="1"/>
  <c r="M1204" i="1" s="1"/>
  <c r="N1204" i="1" s="1"/>
  <c r="H1205" i="1"/>
  <c r="J1205" i="1" s="1"/>
  <c r="H1206" i="1"/>
  <c r="J1206" i="1" s="1"/>
  <c r="H1207" i="1"/>
  <c r="J1207" i="1" s="1"/>
  <c r="K1207" i="1" s="1"/>
  <c r="M1207" i="1" s="1"/>
  <c r="N1207" i="1" s="1"/>
  <c r="H1208" i="1"/>
  <c r="J1208" i="1" s="1"/>
  <c r="H1209" i="1"/>
  <c r="J1209" i="1" s="1"/>
  <c r="H1210" i="1"/>
  <c r="J1210" i="1" s="1"/>
  <c r="K1210" i="1" s="1"/>
  <c r="M1210" i="1" s="1"/>
  <c r="N1210" i="1" s="1"/>
  <c r="H1211" i="1"/>
  <c r="J1211" i="1" s="1"/>
  <c r="H1212" i="1"/>
  <c r="J1212" i="1" s="1"/>
  <c r="H1213" i="1"/>
  <c r="J1213" i="1" s="1"/>
  <c r="K1213" i="1" s="1"/>
  <c r="M1213" i="1" s="1"/>
  <c r="N1213" i="1" s="1"/>
  <c r="H1214" i="1"/>
  <c r="J1214" i="1" s="1"/>
  <c r="K1214" i="1" s="1"/>
  <c r="M1214" i="1" s="1"/>
  <c r="N1214" i="1" s="1"/>
  <c r="H1215" i="1"/>
  <c r="J1215" i="1" s="1"/>
  <c r="H1216" i="1"/>
  <c r="J1216" i="1" s="1"/>
  <c r="K1216" i="1" s="1"/>
  <c r="M1216" i="1" s="1"/>
  <c r="N1216" i="1" s="1"/>
  <c r="H1217" i="1"/>
  <c r="J1217" i="1" s="1"/>
  <c r="H1218" i="1"/>
  <c r="J1218" i="1" s="1"/>
  <c r="H1219" i="1"/>
  <c r="H1220" i="1"/>
  <c r="J1220" i="1" s="1"/>
  <c r="H1221" i="1"/>
  <c r="J1221" i="1" s="1"/>
  <c r="H1222" i="1"/>
  <c r="J1222" i="1" s="1"/>
  <c r="H1223" i="1"/>
  <c r="J1223" i="1" s="1"/>
  <c r="K1223" i="1" s="1"/>
  <c r="M1223" i="1" s="1"/>
  <c r="N1223" i="1" s="1"/>
  <c r="H1224" i="1"/>
  <c r="J1224" i="1" s="1"/>
  <c r="K1224" i="1" s="1"/>
  <c r="M1224" i="1" s="1"/>
  <c r="N1224" i="1" s="1"/>
  <c r="H1225" i="1"/>
  <c r="J1225" i="1" s="1"/>
  <c r="H1226" i="1"/>
  <c r="J1226" i="1" s="1"/>
  <c r="H1227" i="1"/>
  <c r="J1227" i="1" s="1"/>
  <c r="H1228" i="1"/>
  <c r="J1228" i="1" s="1"/>
  <c r="K1228" i="1" s="1"/>
  <c r="M1228" i="1" s="1"/>
  <c r="N1228" i="1" s="1"/>
  <c r="H1229" i="1"/>
  <c r="J1229" i="1" s="1"/>
  <c r="H1230" i="1"/>
  <c r="J1230" i="1" s="1"/>
  <c r="H1231" i="1"/>
  <c r="J1231" i="1" s="1"/>
  <c r="H1232" i="1"/>
  <c r="J1232" i="1" s="1"/>
  <c r="K1232" i="1" s="1"/>
  <c r="M1232" i="1" s="1"/>
  <c r="N1232" i="1" s="1"/>
  <c r="H1233" i="1"/>
  <c r="J1233" i="1" s="1"/>
  <c r="H1234" i="1"/>
  <c r="J1234" i="1" s="1"/>
  <c r="H1235" i="1"/>
  <c r="H1236" i="1"/>
  <c r="J1236" i="1" s="1"/>
  <c r="H1237" i="1"/>
  <c r="J1237" i="1" s="1"/>
  <c r="K1237" i="1" s="1"/>
  <c r="M1237" i="1" s="1"/>
  <c r="N1237" i="1" s="1"/>
  <c r="H1238" i="1"/>
  <c r="J1238" i="1" s="1"/>
  <c r="H1239" i="1"/>
  <c r="H1240" i="1"/>
  <c r="J1240" i="1" s="1"/>
  <c r="H1241" i="1"/>
  <c r="J1241" i="1" s="1"/>
  <c r="H1242" i="1"/>
  <c r="J1242" i="1" s="1"/>
  <c r="H1243" i="1"/>
  <c r="J1243" i="1" s="1"/>
  <c r="K1243" i="1" s="1"/>
  <c r="M1243" i="1" s="1"/>
  <c r="N1243" i="1" s="1"/>
  <c r="H1244" i="1"/>
  <c r="J1244" i="1" s="1"/>
  <c r="K1244" i="1" s="1"/>
  <c r="M1244" i="1" s="1"/>
  <c r="N1244" i="1" s="1"/>
  <c r="H1245" i="1"/>
  <c r="J1245" i="1" s="1"/>
  <c r="H1246" i="1"/>
  <c r="J1246" i="1" s="1"/>
  <c r="H1247" i="1"/>
  <c r="J1247" i="1" s="1"/>
  <c r="H1248" i="1"/>
  <c r="J1248" i="1" s="1"/>
  <c r="H1249" i="1"/>
  <c r="J1249" i="1" s="1"/>
  <c r="H1250" i="1"/>
  <c r="J1250" i="1" s="1"/>
  <c r="K1250" i="1" s="1"/>
  <c r="M1250" i="1" s="1"/>
  <c r="N1250" i="1" s="1"/>
  <c r="H1251" i="1"/>
  <c r="J1251" i="1" s="1"/>
  <c r="H1252" i="1"/>
  <c r="J1252" i="1" s="1"/>
  <c r="K1252" i="1" s="1"/>
  <c r="M1252" i="1" s="1"/>
  <c r="N1252" i="1" s="1"/>
  <c r="H1253" i="1"/>
  <c r="J1253" i="1" s="1"/>
  <c r="K1253" i="1" s="1"/>
  <c r="M1253" i="1" s="1"/>
  <c r="N1253" i="1" s="1"/>
  <c r="H1254" i="1"/>
  <c r="J1254" i="1" s="1"/>
  <c r="H1255" i="1"/>
  <c r="H1256" i="1"/>
  <c r="J1256" i="1" s="1"/>
  <c r="K1256" i="1" s="1"/>
  <c r="M1256" i="1" s="1"/>
  <c r="N1256" i="1" s="1"/>
  <c r="H1257" i="1"/>
  <c r="J1257" i="1" s="1"/>
  <c r="H1258" i="1"/>
  <c r="J1258" i="1" s="1"/>
  <c r="H1259" i="1"/>
  <c r="J1259" i="1" s="1"/>
  <c r="K1259" i="1" s="1"/>
  <c r="M1259" i="1" s="1"/>
  <c r="N1259" i="1" s="1"/>
  <c r="H1260" i="1"/>
  <c r="J1260" i="1" s="1"/>
  <c r="K1260" i="1" s="1"/>
  <c r="M1260" i="1" s="1"/>
  <c r="N1260" i="1" s="1"/>
  <c r="H1261" i="1"/>
  <c r="J1261" i="1" s="1"/>
  <c r="K1261" i="1" s="1"/>
  <c r="M1261" i="1" s="1"/>
  <c r="N1261" i="1" s="1"/>
  <c r="H1262" i="1"/>
  <c r="J1262" i="1" s="1"/>
  <c r="H1263" i="1"/>
  <c r="J1263" i="1" s="1"/>
  <c r="K1263" i="1" s="1"/>
  <c r="M1263" i="1" s="1"/>
  <c r="N1263" i="1" s="1"/>
  <c r="H1264" i="1"/>
  <c r="J1264" i="1" s="1"/>
  <c r="K1264" i="1" s="1"/>
  <c r="M1264" i="1" s="1"/>
  <c r="N1264" i="1" s="1"/>
  <c r="H1265" i="1"/>
  <c r="J1265" i="1" s="1"/>
  <c r="H1266" i="1"/>
  <c r="J1266" i="1" s="1"/>
  <c r="K1266" i="1" s="1"/>
  <c r="M1266" i="1" s="1"/>
  <c r="N1266" i="1" s="1"/>
  <c r="H1267" i="1"/>
  <c r="H1268" i="1"/>
  <c r="J1268" i="1" s="1"/>
  <c r="H1269" i="1"/>
  <c r="J1269" i="1" s="1"/>
  <c r="H1270" i="1"/>
  <c r="J1270" i="1" s="1"/>
  <c r="K1270" i="1" s="1"/>
  <c r="M1270" i="1" s="1"/>
  <c r="N1270" i="1" s="1"/>
  <c r="H1271" i="1"/>
  <c r="H1272" i="1"/>
  <c r="J1272" i="1" s="1"/>
  <c r="H1273" i="1"/>
  <c r="J1273" i="1" s="1"/>
  <c r="H1274" i="1"/>
  <c r="J1274" i="1" s="1"/>
  <c r="K1274" i="1" s="1"/>
  <c r="M1274" i="1" s="1"/>
  <c r="N1274" i="1" s="1"/>
  <c r="H1275" i="1"/>
  <c r="J1275" i="1" s="1"/>
  <c r="K1275" i="1" s="1"/>
  <c r="M1275" i="1" s="1"/>
  <c r="N1275" i="1" s="1"/>
  <c r="H1276" i="1"/>
  <c r="J1276" i="1" s="1"/>
  <c r="H1277" i="1"/>
  <c r="J1277" i="1" s="1"/>
  <c r="H1278" i="1"/>
  <c r="J1278" i="1" s="1"/>
  <c r="K1278" i="1" s="1"/>
  <c r="M1278" i="1" s="1"/>
  <c r="N1278" i="1" s="1"/>
  <c r="H1279" i="1"/>
  <c r="H1280" i="1"/>
  <c r="J1280" i="1" s="1"/>
  <c r="K1280" i="1" s="1"/>
  <c r="M1280" i="1" s="1"/>
  <c r="N1280" i="1" s="1"/>
  <c r="H1281" i="1"/>
  <c r="J1281" i="1" s="1"/>
  <c r="K1281" i="1" s="1"/>
  <c r="M1281" i="1" s="1"/>
  <c r="N1281" i="1" s="1"/>
  <c r="H1282" i="1"/>
  <c r="J1282" i="1" s="1"/>
  <c r="H1283" i="1"/>
  <c r="H1284" i="1"/>
  <c r="J1284" i="1" s="1"/>
  <c r="H1285" i="1"/>
  <c r="J1285" i="1" s="1"/>
  <c r="K1285" i="1" s="1"/>
  <c r="M1285" i="1" s="1"/>
  <c r="N1285" i="1" s="1"/>
  <c r="H1286" i="1"/>
  <c r="J1286" i="1" s="1"/>
  <c r="H1287" i="1"/>
  <c r="H1288" i="1"/>
  <c r="J1288" i="1" s="1"/>
  <c r="H1289" i="1"/>
  <c r="J1289" i="1" s="1"/>
  <c r="H1290" i="1"/>
  <c r="J1290" i="1" s="1"/>
  <c r="H1291" i="1"/>
  <c r="H1292" i="1"/>
  <c r="J1292" i="1" s="1"/>
  <c r="H1293" i="1"/>
  <c r="J1293" i="1" s="1"/>
  <c r="H1294" i="1"/>
  <c r="J1294" i="1" s="1"/>
  <c r="H1295" i="1"/>
  <c r="J1295" i="1" s="1"/>
  <c r="H1296" i="1"/>
  <c r="J1296" i="1" s="1"/>
  <c r="H1297" i="1"/>
  <c r="J1297" i="1" s="1"/>
  <c r="H1298" i="1"/>
  <c r="J1298" i="1" s="1"/>
  <c r="H1299" i="1"/>
  <c r="H1300" i="1"/>
  <c r="J1300" i="1" s="1"/>
  <c r="K1300" i="1" s="1"/>
  <c r="M1300" i="1" s="1"/>
  <c r="N1300" i="1" s="1"/>
  <c r="H1301" i="1"/>
  <c r="J1301" i="1" s="1"/>
  <c r="H1302" i="1"/>
  <c r="J1302" i="1" s="1"/>
  <c r="H1303" i="1"/>
  <c r="H1304" i="1"/>
  <c r="J1304" i="1" s="1"/>
  <c r="H1305" i="1"/>
  <c r="J1305" i="1" s="1"/>
  <c r="H1306" i="1"/>
  <c r="J1306" i="1" s="1"/>
  <c r="K1306" i="1" s="1"/>
  <c r="M1306" i="1" s="1"/>
  <c r="N1306" i="1" s="1"/>
  <c r="H1307" i="1"/>
  <c r="H1308" i="1"/>
  <c r="J1308" i="1" s="1"/>
  <c r="H1309" i="1"/>
  <c r="J1309" i="1" s="1"/>
  <c r="K1309" i="1" s="1"/>
  <c r="M1309" i="1" s="1"/>
  <c r="N1309" i="1" s="1"/>
  <c r="H1310" i="1"/>
  <c r="J1310" i="1" s="1"/>
  <c r="K1310" i="1" s="1"/>
  <c r="M1310" i="1" s="1"/>
  <c r="N1310" i="1" s="1"/>
  <c r="H1311" i="1"/>
  <c r="H1312" i="1"/>
  <c r="J1312" i="1" s="1"/>
  <c r="H1313" i="1"/>
  <c r="J1313" i="1" s="1"/>
  <c r="K1313" i="1" s="1"/>
  <c r="M1313" i="1" s="1"/>
  <c r="N1313" i="1" s="1"/>
  <c r="H1314" i="1"/>
  <c r="J1314" i="1" s="1"/>
  <c r="K1314" i="1" s="1"/>
  <c r="M1314" i="1" s="1"/>
  <c r="N1314" i="1" s="1"/>
  <c r="H1315" i="1"/>
  <c r="H1316" i="1"/>
  <c r="J1316" i="1" s="1"/>
  <c r="H1317" i="1"/>
  <c r="J1317" i="1" s="1"/>
  <c r="H1318" i="1"/>
  <c r="J1318" i="1" s="1"/>
  <c r="H1319" i="1"/>
  <c r="H1320" i="1"/>
  <c r="J1320" i="1" s="1"/>
  <c r="H1321" i="1"/>
  <c r="J1321" i="1" s="1"/>
  <c r="H1322" i="1"/>
  <c r="J1322" i="1" s="1"/>
  <c r="H1323" i="1"/>
  <c r="J1323" i="1" s="1"/>
  <c r="K1323" i="1" s="1"/>
  <c r="M1323" i="1" s="1"/>
  <c r="N1323" i="1" s="1"/>
  <c r="H1324" i="1"/>
  <c r="J1324" i="1" s="1"/>
  <c r="H1325" i="1"/>
  <c r="J1325" i="1" s="1"/>
  <c r="H1326" i="1"/>
  <c r="J1326" i="1" s="1"/>
  <c r="H1327" i="1"/>
  <c r="J1327" i="1" s="1"/>
  <c r="K1327" i="1" s="1"/>
  <c r="M1327" i="1" s="1"/>
  <c r="N1327" i="1" s="1"/>
  <c r="H1328" i="1"/>
  <c r="J1328" i="1" s="1"/>
  <c r="H1329" i="1"/>
  <c r="J1329" i="1" s="1"/>
  <c r="H1330" i="1"/>
  <c r="J1330" i="1" s="1"/>
  <c r="H1331" i="1"/>
  <c r="H1332" i="1"/>
  <c r="J1332" i="1" s="1"/>
  <c r="H1333" i="1"/>
  <c r="J1333" i="1" s="1"/>
  <c r="H1334" i="1"/>
  <c r="J1334" i="1" s="1"/>
  <c r="H1335" i="1"/>
  <c r="H1336" i="1"/>
  <c r="J1336" i="1" s="1"/>
  <c r="K1336" i="1" s="1"/>
  <c r="M1336" i="1" s="1"/>
  <c r="N1336" i="1" s="1"/>
  <c r="H1337" i="1"/>
  <c r="J1337" i="1" s="1"/>
  <c r="H1338" i="1"/>
  <c r="H1339" i="1"/>
  <c r="H1340" i="1"/>
  <c r="J1340" i="1" s="1"/>
  <c r="K1340" i="1" s="1"/>
  <c r="M1340" i="1" s="1"/>
  <c r="N1340" i="1" s="1"/>
  <c r="H1341" i="1"/>
  <c r="J1341" i="1" s="1"/>
  <c r="K1341" i="1" s="1"/>
  <c r="M1341" i="1" s="1"/>
  <c r="N1341" i="1" s="1"/>
  <c r="H1342" i="1"/>
  <c r="J1342" i="1" s="1"/>
  <c r="K1342" i="1" s="1"/>
  <c r="M1342" i="1" s="1"/>
  <c r="N1342" i="1" s="1"/>
  <c r="H1343" i="1"/>
  <c r="H1344" i="1"/>
  <c r="J1344" i="1" s="1"/>
  <c r="K1344" i="1" s="1"/>
  <c r="M1344" i="1" s="1"/>
  <c r="N1344" i="1" s="1"/>
  <c r="H1345" i="1"/>
  <c r="J1345" i="1" s="1"/>
  <c r="H1346" i="1"/>
  <c r="J1346" i="1" s="1"/>
  <c r="H1347" i="1"/>
  <c r="J1347" i="1" s="1"/>
  <c r="K1347" i="1" s="1"/>
  <c r="M1347" i="1" s="1"/>
  <c r="N1347" i="1" s="1"/>
  <c r="H1348" i="1"/>
  <c r="J1348" i="1" s="1"/>
  <c r="K1348" i="1" s="1"/>
  <c r="M1348" i="1" s="1"/>
  <c r="N1348" i="1" s="1"/>
  <c r="H1349" i="1"/>
  <c r="J1349" i="1" s="1"/>
  <c r="H1350" i="1"/>
  <c r="J1350" i="1" s="1"/>
  <c r="K1350" i="1" s="1"/>
  <c r="M1350" i="1" s="1"/>
  <c r="N1350" i="1" s="1"/>
  <c r="H1351" i="1"/>
  <c r="H1352" i="1"/>
  <c r="H1353" i="1"/>
  <c r="J1353" i="1" s="1"/>
  <c r="H1354" i="1"/>
  <c r="J1354" i="1" s="1"/>
  <c r="H1355" i="1"/>
  <c r="H1356" i="1"/>
  <c r="J1356" i="1" s="1"/>
  <c r="H1357" i="1"/>
  <c r="J1357" i="1" s="1"/>
  <c r="H1358" i="1"/>
  <c r="J1358" i="1" s="1"/>
  <c r="H1359" i="1"/>
  <c r="H1360" i="1"/>
  <c r="J1360" i="1" s="1"/>
  <c r="K1360" i="1" s="1"/>
  <c r="M1360" i="1" s="1"/>
  <c r="N1360" i="1" s="1"/>
  <c r="H1361" i="1"/>
  <c r="J1361" i="1" s="1"/>
  <c r="H1362" i="1"/>
  <c r="J1362" i="1" s="1"/>
  <c r="K1362" i="1" s="1"/>
  <c r="M1362" i="1" s="1"/>
  <c r="N1362" i="1" s="1"/>
  <c r="H1363" i="1"/>
  <c r="H1364" i="1"/>
  <c r="J1364" i="1" s="1"/>
  <c r="H1365" i="1"/>
  <c r="J1365" i="1" s="1"/>
  <c r="K1365" i="1" s="1"/>
  <c r="M1365" i="1" s="1"/>
  <c r="N1365" i="1" s="1"/>
  <c r="H1366" i="1"/>
  <c r="J1366" i="1" s="1"/>
  <c r="K1366" i="1" s="1"/>
  <c r="M1366" i="1" s="1"/>
  <c r="N1366" i="1" s="1"/>
  <c r="H1367" i="1"/>
  <c r="H1368" i="1"/>
  <c r="J1368" i="1" s="1"/>
  <c r="H1369" i="1"/>
  <c r="J1369" i="1" s="1"/>
  <c r="K1369" i="1" s="1"/>
  <c r="M1369" i="1" s="1"/>
  <c r="N1369" i="1" s="1"/>
  <c r="H1370" i="1"/>
  <c r="J1370" i="1" s="1"/>
  <c r="K1370" i="1" s="1"/>
  <c r="M1370" i="1" s="1"/>
  <c r="N1370" i="1" s="1"/>
  <c r="H1371" i="1"/>
  <c r="H1372" i="1"/>
  <c r="J1372" i="1" s="1"/>
  <c r="H1373" i="1"/>
  <c r="J1373" i="1" s="1"/>
  <c r="H1374" i="1"/>
  <c r="J1374" i="1" s="1"/>
  <c r="H1375" i="1"/>
  <c r="H1376" i="1"/>
  <c r="J1376" i="1" s="1"/>
  <c r="H1377" i="1"/>
  <c r="J1377" i="1" s="1"/>
  <c r="H1378" i="1"/>
  <c r="J1378" i="1" s="1"/>
  <c r="H1379" i="1"/>
  <c r="J1379" i="1" s="1"/>
  <c r="K1379" i="1" s="1"/>
  <c r="M1379" i="1" s="1"/>
  <c r="N1379" i="1" s="1"/>
  <c r="H1380" i="1"/>
  <c r="J1380" i="1" s="1"/>
  <c r="H1381" i="1"/>
  <c r="J1381" i="1" s="1"/>
  <c r="H1382" i="1"/>
  <c r="J1382" i="1" s="1"/>
  <c r="K1382" i="1" s="1"/>
  <c r="M1382" i="1" s="1"/>
  <c r="N1382" i="1" s="1"/>
  <c r="H1383" i="1"/>
  <c r="H1384" i="1"/>
  <c r="J1384" i="1" s="1"/>
  <c r="H1385" i="1"/>
  <c r="J1385" i="1" s="1"/>
  <c r="K1385" i="1" s="1"/>
  <c r="M1385" i="1" s="1"/>
  <c r="N1385" i="1" s="1"/>
  <c r="H1386" i="1"/>
  <c r="J1386" i="1" s="1"/>
  <c r="H1387" i="1"/>
  <c r="J1387" i="1" s="1"/>
  <c r="K1387" i="1" s="1"/>
  <c r="M1387" i="1" s="1"/>
  <c r="N1387" i="1" s="1"/>
  <c r="H1388" i="1"/>
  <c r="J1388" i="1" s="1"/>
  <c r="H1389" i="1"/>
  <c r="J1389" i="1" s="1"/>
  <c r="H1390" i="1"/>
  <c r="J1390" i="1" s="1"/>
  <c r="K1390" i="1" s="1"/>
  <c r="M1390" i="1" s="1"/>
  <c r="N1390" i="1" s="1"/>
  <c r="H1391" i="1"/>
  <c r="J1391" i="1" s="1"/>
  <c r="K1391" i="1" s="1"/>
  <c r="M1391" i="1" s="1"/>
  <c r="N1391" i="1" s="1"/>
  <c r="H1392" i="1"/>
  <c r="J1392" i="1" s="1"/>
  <c r="H1393" i="1"/>
  <c r="J1393" i="1" s="1"/>
  <c r="H1394" i="1"/>
  <c r="J1394" i="1" s="1"/>
  <c r="K1394" i="1" s="1"/>
  <c r="M1394" i="1" s="1"/>
  <c r="N1394" i="1" s="1"/>
  <c r="H1395" i="1"/>
  <c r="J1395" i="1" s="1"/>
  <c r="K1395" i="1" s="1"/>
  <c r="M1395" i="1" s="1"/>
  <c r="N1395" i="1" s="1"/>
  <c r="H1396" i="1"/>
  <c r="J1396" i="1" s="1"/>
  <c r="K1396" i="1" s="1"/>
  <c r="M1396" i="1" s="1"/>
  <c r="N1396" i="1" s="1"/>
  <c r="H1397" i="1"/>
  <c r="J1397" i="1" s="1"/>
  <c r="H1398" i="1"/>
  <c r="J1398" i="1" s="1"/>
  <c r="K1398" i="1" s="1"/>
  <c r="M1398" i="1" s="1"/>
  <c r="N1398" i="1" s="1"/>
  <c r="H1399" i="1"/>
  <c r="J1399" i="1" s="1"/>
  <c r="K1399" i="1" s="1"/>
  <c r="M1399" i="1" s="1"/>
  <c r="N1399" i="1" s="1"/>
  <c r="H1400" i="1"/>
  <c r="J1400" i="1" s="1"/>
  <c r="H1401" i="1"/>
  <c r="J1401" i="1" s="1"/>
  <c r="K1401" i="1" s="1"/>
  <c r="M1401" i="1" s="1"/>
  <c r="N1401" i="1" s="1"/>
  <c r="H1402" i="1"/>
  <c r="J1402" i="1" s="1"/>
  <c r="K1402" i="1" s="1"/>
  <c r="M1402" i="1" s="1"/>
  <c r="N1402" i="1" s="1"/>
  <c r="H1403" i="1"/>
  <c r="H1404" i="1"/>
  <c r="J1404" i="1" s="1"/>
  <c r="H1405" i="1"/>
  <c r="J1405" i="1" s="1"/>
  <c r="K1405" i="1" s="1"/>
  <c r="M1405" i="1" s="1"/>
  <c r="N1405" i="1" s="1"/>
  <c r="H1406" i="1"/>
  <c r="J1406" i="1" s="1"/>
  <c r="K1406" i="1" s="1"/>
  <c r="M1406" i="1" s="1"/>
  <c r="N1406" i="1" s="1"/>
  <c r="H1407" i="1"/>
  <c r="J1407" i="1" s="1"/>
  <c r="K1407" i="1" s="1"/>
  <c r="M1407" i="1" s="1"/>
  <c r="N1407" i="1" s="1"/>
  <c r="H1408" i="1"/>
  <c r="J1408" i="1" s="1"/>
  <c r="H1409" i="1"/>
  <c r="J1409" i="1" s="1"/>
  <c r="H1410" i="1"/>
  <c r="J1410" i="1" s="1"/>
  <c r="H1411" i="1"/>
  <c r="H1412" i="1"/>
  <c r="J1412" i="1" s="1"/>
  <c r="H1413" i="1"/>
  <c r="J1413" i="1" s="1"/>
  <c r="H1414" i="1"/>
  <c r="J1414" i="1" s="1"/>
  <c r="H1415" i="1"/>
  <c r="J1415" i="1" s="1"/>
  <c r="K1415" i="1" s="1"/>
  <c r="M1415" i="1" s="1"/>
  <c r="N1415" i="1" s="1"/>
  <c r="H1416" i="1"/>
  <c r="J1416" i="1" s="1"/>
  <c r="H1417" i="1"/>
  <c r="J1417" i="1" s="1"/>
  <c r="K1417" i="1" s="1"/>
  <c r="M1417" i="1" s="1"/>
  <c r="N1417" i="1" s="1"/>
  <c r="H1418" i="1"/>
  <c r="J1418" i="1" s="1"/>
  <c r="K1418" i="1" s="1"/>
  <c r="M1418" i="1" s="1"/>
  <c r="N1418" i="1" s="1"/>
  <c r="H1419" i="1"/>
  <c r="H1420" i="1"/>
  <c r="J1420" i="1" s="1"/>
  <c r="K1420" i="1" s="1"/>
  <c r="M1420" i="1" s="1"/>
  <c r="N1420" i="1" s="1"/>
  <c r="H1421" i="1"/>
  <c r="J1421" i="1" s="1"/>
  <c r="H1422" i="1"/>
  <c r="J1422" i="1" s="1"/>
  <c r="K1422" i="1" s="1"/>
  <c r="M1422" i="1" s="1"/>
  <c r="N1422" i="1" s="1"/>
  <c r="H1423" i="1"/>
  <c r="J1423" i="1" s="1"/>
  <c r="K1423" i="1" s="1"/>
  <c r="M1423" i="1" s="1"/>
  <c r="N1423" i="1" s="1"/>
  <c r="H1424" i="1"/>
  <c r="J1424" i="1" s="1"/>
  <c r="H1425" i="1"/>
  <c r="J1425" i="1" s="1"/>
  <c r="H1426" i="1"/>
  <c r="J1426" i="1" s="1"/>
  <c r="H1427" i="1"/>
  <c r="H1428" i="1"/>
  <c r="J1428" i="1" s="1"/>
  <c r="H1429" i="1"/>
  <c r="J1429" i="1" s="1"/>
  <c r="K1429" i="1" s="1"/>
  <c r="M1429" i="1" s="1"/>
  <c r="N1429" i="1" s="1"/>
  <c r="H1430" i="1"/>
  <c r="J1430" i="1" s="1"/>
  <c r="K1430" i="1" s="1"/>
  <c r="M1430" i="1" s="1"/>
  <c r="N1430" i="1" s="1"/>
  <c r="H1431" i="1"/>
  <c r="J1431" i="1" s="1"/>
  <c r="K1431" i="1" s="1"/>
  <c r="M1431" i="1" s="1"/>
  <c r="N1431" i="1" s="1"/>
  <c r="H1432" i="1"/>
  <c r="J1432" i="1" s="1"/>
  <c r="H1433" i="1"/>
  <c r="H1434" i="1"/>
  <c r="J1434" i="1" s="1"/>
  <c r="H1435" i="1"/>
  <c r="J1435" i="1" s="1"/>
  <c r="K1435" i="1" s="1"/>
  <c r="M1435" i="1" s="1"/>
  <c r="N1435" i="1" s="1"/>
  <c r="H1436" i="1"/>
  <c r="J1436" i="1" s="1"/>
  <c r="H1437" i="1"/>
  <c r="J1437" i="1" s="1"/>
  <c r="K1437" i="1" s="1"/>
  <c r="M1437" i="1" s="1"/>
  <c r="N1437" i="1" s="1"/>
  <c r="H1438" i="1"/>
  <c r="J1438" i="1" s="1"/>
  <c r="H1439" i="1"/>
  <c r="J1439" i="1" s="1"/>
  <c r="H1440" i="1"/>
  <c r="J1440" i="1" s="1"/>
  <c r="K1440" i="1" s="1"/>
  <c r="M1440" i="1" s="1"/>
  <c r="N1440" i="1" s="1"/>
  <c r="H1441" i="1"/>
  <c r="H1442" i="1"/>
  <c r="J1442" i="1" s="1"/>
  <c r="H1443" i="1"/>
  <c r="J1443" i="1" s="1"/>
  <c r="K1443" i="1" s="1"/>
  <c r="M1443" i="1" s="1"/>
  <c r="N1443" i="1" s="1"/>
  <c r="H1444" i="1"/>
  <c r="J1444" i="1" s="1"/>
  <c r="K1444" i="1" s="1"/>
  <c r="M1444" i="1" s="1"/>
  <c r="N1444" i="1" s="1"/>
  <c r="H1445" i="1"/>
  <c r="J1445" i="1" s="1"/>
  <c r="H1446" i="1"/>
  <c r="J1446" i="1" s="1"/>
  <c r="K1446" i="1" s="1"/>
  <c r="M1446" i="1" s="1"/>
  <c r="N1446" i="1" s="1"/>
  <c r="H1447" i="1"/>
  <c r="J1447" i="1" s="1"/>
  <c r="H1448" i="1"/>
  <c r="J1448" i="1" s="1"/>
  <c r="H1449" i="1"/>
  <c r="J1449" i="1" s="1"/>
  <c r="K1449" i="1" s="1"/>
  <c r="M1449" i="1" s="1"/>
  <c r="N1449" i="1" s="1"/>
  <c r="H1450" i="1"/>
  <c r="J1450" i="1" s="1"/>
  <c r="K1450" i="1" s="1"/>
  <c r="M1450" i="1" s="1"/>
  <c r="N1450" i="1" s="1"/>
  <c r="H1451" i="1"/>
  <c r="J1451" i="1" s="1"/>
  <c r="K1451" i="1" s="1"/>
  <c r="M1451" i="1" s="1"/>
  <c r="N1451" i="1" s="1"/>
  <c r="H1452" i="1"/>
  <c r="J1452" i="1" s="1"/>
  <c r="H1453" i="1"/>
  <c r="H1454" i="1"/>
  <c r="J1454" i="1" s="1"/>
  <c r="K1454" i="1" s="1"/>
  <c r="M1454" i="1" s="1"/>
  <c r="N1454" i="1" s="1"/>
  <c r="H1455" i="1"/>
  <c r="J1455" i="1" s="1"/>
  <c r="K1455" i="1" s="1"/>
  <c r="M1455" i="1" s="1"/>
  <c r="N1455" i="1" s="1"/>
  <c r="H1456" i="1"/>
  <c r="J1456" i="1" s="1"/>
  <c r="K1456" i="1" s="1"/>
  <c r="M1456" i="1" s="1"/>
  <c r="N1456" i="1" s="1"/>
  <c r="H1457" i="1"/>
  <c r="H1458" i="1"/>
  <c r="J1458" i="1" s="1"/>
  <c r="H1459" i="1"/>
  <c r="J1459" i="1" s="1"/>
  <c r="H1460" i="1"/>
  <c r="J1460" i="1" s="1"/>
  <c r="H1461" i="1"/>
  <c r="H1462" i="1"/>
  <c r="J1462" i="1" s="1"/>
  <c r="H1463" i="1"/>
  <c r="J1463" i="1" s="1"/>
  <c r="H1464" i="1"/>
  <c r="J1464" i="1" s="1"/>
  <c r="H1465" i="1"/>
  <c r="H1466" i="1"/>
  <c r="J1466" i="1" s="1"/>
  <c r="K1466" i="1" s="1"/>
  <c r="M1466" i="1" s="1"/>
  <c r="N1466" i="1" s="1"/>
  <c r="H1467" i="1"/>
  <c r="J1467" i="1" s="1"/>
  <c r="H1468" i="1"/>
  <c r="J1468" i="1" s="1"/>
  <c r="H1469" i="1"/>
  <c r="H1470" i="1"/>
  <c r="J1470" i="1" s="1"/>
  <c r="H1471" i="1"/>
  <c r="J1471" i="1" s="1"/>
  <c r="H1472" i="1"/>
  <c r="J1472" i="1" s="1"/>
  <c r="H1473" i="1"/>
  <c r="H1474" i="1"/>
  <c r="J1474" i="1" s="1"/>
  <c r="H1475" i="1"/>
  <c r="J1475" i="1" s="1"/>
  <c r="H1476" i="1"/>
  <c r="J1476" i="1" s="1"/>
  <c r="K1476" i="1" s="1"/>
  <c r="M1476" i="1" s="1"/>
  <c r="N1476" i="1" s="1"/>
  <c r="H1477" i="1"/>
  <c r="J1477" i="1" s="1"/>
  <c r="K1477" i="1" s="1"/>
  <c r="M1477" i="1" s="1"/>
  <c r="N1477" i="1" s="1"/>
  <c r="H1478" i="1"/>
  <c r="J1478" i="1" s="1"/>
  <c r="K1478" i="1" s="1"/>
  <c r="M1478" i="1" s="1"/>
  <c r="N1478" i="1" s="1"/>
  <c r="H1479" i="1"/>
  <c r="J1479" i="1" s="1"/>
  <c r="H1480" i="1"/>
  <c r="J1480" i="1" s="1"/>
  <c r="H1481" i="1"/>
  <c r="J1481" i="1" s="1"/>
  <c r="K1481" i="1" s="1"/>
  <c r="M1481" i="1" s="1"/>
  <c r="N1481" i="1" s="1"/>
  <c r="H1482" i="1"/>
  <c r="H1483" i="1"/>
  <c r="J1483" i="1" s="1"/>
  <c r="K1483" i="1" s="1"/>
  <c r="M1483" i="1" s="1"/>
  <c r="N1483" i="1" s="1"/>
  <c r="H1484" i="1"/>
  <c r="J1484" i="1" s="1"/>
  <c r="K1484" i="1" s="1"/>
  <c r="M1484" i="1" s="1"/>
  <c r="N1484" i="1" s="1"/>
  <c r="H1485" i="1"/>
  <c r="H1486" i="1"/>
  <c r="J1486" i="1" s="1"/>
  <c r="H1487" i="1"/>
  <c r="J1487" i="1" s="1"/>
  <c r="K1487" i="1" s="1"/>
  <c r="M1487" i="1" s="1"/>
  <c r="N1487" i="1" s="1"/>
  <c r="H1488" i="1"/>
  <c r="J1488" i="1" s="1"/>
  <c r="H1489" i="1"/>
  <c r="H1490" i="1"/>
  <c r="J1490" i="1" s="1"/>
  <c r="H1491" i="1"/>
  <c r="J1491" i="1" s="1"/>
  <c r="H1492" i="1"/>
  <c r="J1492" i="1" s="1"/>
  <c r="H1493" i="1"/>
  <c r="H1494" i="1"/>
  <c r="J1494" i="1" s="1"/>
  <c r="H1495" i="1"/>
  <c r="J1495" i="1" s="1"/>
  <c r="K1495" i="1" s="1"/>
  <c r="M1495" i="1" s="1"/>
  <c r="N1495" i="1" s="1"/>
  <c r="H1496" i="1"/>
  <c r="J1496" i="1" s="1"/>
  <c r="H1497" i="1"/>
  <c r="J1497" i="1" s="1"/>
  <c r="K1497" i="1" s="1"/>
  <c r="M1497" i="1" s="1"/>
  <c r="N1497" i="1" s="1"/>
  <c r="H1498" i="1"/>
  <c r="J1498" i="1" s="1"/>
  <c r="K1498" i="1" s="1"/>
  <c r="M1498" i="1" s="1"/>
  <c r="N1498" i="1" s="1"/>
  <c r="H1499" i="1"/>
  <c r="J1499" i="1" s="1"/>
  <c r="H1500" i="1"/>
  <c r="J1500" i="1" s="1"/>
  <c r="H1501" i="1"/>
  <c r="J1501" i="1" s="1"/>
  <c r="K1501" i="1" s="1"/>
  <c r="M1501" i="1" s="1"/>
  <c r="N1501" i="1" s="1"/>
  <c r="H1502" i="1"/>
  <c r="J1502" i="1" s="1"/>
  <c r="H1503" i="1"/>
  <c r="J1503" i="1" s="1"/>
  <c r="H1504" i="1"/>
  <c r="J1504" i="1" s="1"/>
  <c r="K1504" i="1" s="1"/>
  <c r="M1504" i="1" s="1"/>
  <c r="N1504" i="1" s="1"/>
  <c r="H1505" i="1"/>
  <c r="H1506" i="1"/>
  <c r="J1506" i="1" s="1"/>
  <c r="H1507" i="1"/>
  <c r="J1507" i="1" s="1"/>
  <c r="H1508" i="1"/>
  <c r="J1508" i="1" s="1"/>
  <c r="H1509" i="1"/>
  <c r="H1510" i="1"/>
  <c r="J1510" i="1" s="1"/>
  <c r="H1511" i="1"/>
  <c r="J1511" i="1" s="1"/>
  <c r="K1511" i="1" s="1"/>
  <c r="M1511" i="1" s="1"/>
  <c r="N1511" i="1" s="1"/>
  <c r="H1512" i="1"/>
  <c r="H1513" i="1"/>
  <c r="J1513" i="1" s="1"/>
  <c r="K1513" i="1" s="1"/>
  <c r="M1513" i="1" s="1"/>
  <c r="N1513" i="1" s="1"/>
  <c r="H1514" i="1"/>
  <c r="J1514" i="1" s="1"/>
  <c r="K1514" i="1" s="1"/>
  <c r="M1514" i="1" s="1"/>
  <c r="N1514" i="1" s="1"/>
  <c r="H1515" i="1"/>
  <c r="J1515" i="1" s="1"/>
  <c r="K1515" i="1" s="1"/>
  <c r="M1515" i="1" s="1"/>
  <c r="N1515" i="1" s="1"/>
  <c r="H1516" i="1"/>
  <c r="J1516" i="1" s="1"/>
  <c r="K1516" i="1" s="1"/>
  <c r="M1516" i="1" s="1"/>
  <c r="N1516" i="1" s="1"/>
  <c r="H1517" i="1"/>
  <c r="H1518" i="1"/>
  <c r="J1518" i="1" s="1"/>
  <c r="K1518" i="1" s="1"/>
  <c r="M1518" i="1" s="1"/>
  <c r="N1518" i="1" s="1"/>
  <c r="H1519" i="1"/>
  <c r="J1519" i="1" s="1"/>
  <c r="K1519" i="1" s="1"/>
  <c r="M1519" i="1" s="1"/>
  <c r="N1519" i="1" s="1"/>
  <c r="H1520" i="1"/>
  <c r="J1520" i="1" s="1"/>
  <c r="H1521" i="1"/>
  <c r="J1521" i="1" s="1"/>
  <c r="K1521" i="1" s="1"/>
  <c r="M1521" i="1" s="1"/>
  <c r="N1521" i="1" s="1"/>
  <c r="H1522" i="1"/>
  <c r="J1522" i="1" s="1"/>
  <c r="H1523" i="1"/>
  <c r="J1523" i="1" s="1"/>
  <c r="H1524" i="1"/>
  <c r="J1524" i="1" s="1"/>
  <c r="H1525" i="1"/>
  <c r="H1526" i="1"/>
  <c r="J1526" i="1" s="1"/>
  <c r="H1527" i="1"/>
  <c r="J1527" i="1" s="1"/>
  <c r="H1528" i="1"/>
  <c r="J1528" i="1" s="1"/>
  <c r="H1529" i="1"/>
  <c r="H1530" i="1"/>
  <c r="J1530" i="1" s="1"/>
  <c r="K1530" i="1" s="1"/>
  <c r="M1530" i="1" s="1"/>
  <c r="N1530" i="1" s="1"/>
  <c r="H1531" i="1"/>
  <c r="J1531" i="1" s="1"/>
  <c r="K1531" i="1" s="1"/>
  <c r="M1531" i="1" s="1"/>
  <c r="N1531" i="1" s="1"/>
  <c r="H1532" i="1"/>
  <c r="J1532" i="1" s="1"/>
  <c r="H1533" i="1"/>
  <c r="J1533" i="1" s="1"/>
  <c r="K1533" i="1" s="1"/>
  <c r="M1533" i="1" s="1"/>
  <c r="N1533" i="1" s="1"/>
  <c r="H1534" i="1"/>
  <c r="J1534" i="1" s="1"/>
  <c r="K1534" i="1" s="1"/>
  <c r="M1534" i="1" s="1"/>
  <c r="N1534" i="1" s="1"/>
  <c r="H1535" i="1"/>
  <c r="H1536" i="1"/>
  <c r="J1536" i="1" s="1"/>
  <c r="H1537" i="1"/>
  <c r="H1538" i="1"/>
  <c r="J1538" i="1" s="1"/>
  <c r="K1538" i="1" s="1"/>
  <c r="M1538" i="1" s="1"/>
  <c r="N1538" i="1" s="1"/>
  <c r="H1539" i="1"/>
  <c r="J1539" i="1" s="1"/>
  <c r="K1539" i="1" s="1"/>
  <c r="M1539" i="1" s="1"/>
  <c r="N1539" i="1" s="1"/>
  <c r="H1540" i="1"/>
  <c r="J1540" i="1" s="1"/>
  <c r="H1541" i="1"/>
  <c r="H1542" i="1"/>
  <c r="J1542" i="1" s="1"/>
  <c r="K1542" i="1" s="1"/>
  <c r="M1542" i="1" s="1"/>
  <c r="N1542" i="1" s="1"/>
  <c r="H1543" i="1"/>
  <c r="J1543" i="1" s="1"/>
  <c r="K1543" i="1" s="1"/>
  <c r="M1543" i="1" s="1"/>
  <c r="N1543" i="1" s="1"/>
  <c r="H1544" i="1"/>
  <c r="J1544" i="1" s="1"/>
  <c r="K1544" i="1" s="1"/>
  <c r="M1544" i="1" s="1"/>
  <c r="N1544" i="1" s="1"/>
  <c r="H1545" i="1"/>
  <c r="H1546" i="1"/>
  <c r="J1546" i="1" s="1"/>
  <c r="H1547" i="1"/>
  <c r="J1547" i="1" s="1"/>
  <c r="K1547" i="1" s="1"/>
  <c r="M1547" i="1" s="1"/>
  <c r="N1547" i="1" s="1"/>
  <c r="H1548" i="1"/>
  <c r="J1548" i="1" s="1"/>
  <c r="H1549" i="1"/>
  <c r="H1550" i="1"/>
  <c r="J1550" i="1" s="1"/>
  <c r="H1551" i="1"/>
  <c r="J1551" i="1" s="1"/>
  <c r="K1551" i="1" s="1"/>
  <c r="M1551" i="1" s="1"/>
  <c r="N1551" i="1" s="1"/>
  <c r="H1552" i="1"/>
  <c r="J1552" i="1" s="1"/>
  <c r="H1553" i="1"/>
  <c r="H1554" i="1"/>
  <c r="J1554" i="1" s="1"/>
  <c r="H1555" i="1"/>
  <c r="J1555" i="1" s="1"/>
  <c r="K1555" i="1" s="1"/>
  <c r="M1555" i="1" s="1"/>
  <c r="N1555" i="1" s="1"/>
  <c r="H1556" i="1"/>
  <c r="J1556" i="1" s="1"/>
  <c r="K1556" i="1" s="1"/>
  <c r="M1556" i="1" s="1"/>
  <c r="N1556" i="1" s="1"/>
  <c r="H1557" i="1"/>
  <c r="J1557" i="1" s="1"/>
  <c r="K1557" i="1" s="1"/>
  <c r="M1557" i="1" s="1"/>
  <c r="N1557" i="1" s="1"/>
  <c r="H1558" i="1"/>
  <c r="J1558" i="1" s="1"/>
  <c r="H1559" i="1"/>
  <c r="J1559" i="1" s="1"/>
  <c r="K1559" i="1" s="1"/>
  <c r="M1559" i="1" s="1"/>
  <c r="N1559" i="1" s="1"/>
  <c r="H1560" i="1"/>
  <c r="J1560" i="1" s="1"/>
  <c r="K1560" i="1" s="1"/>
  <c r="M1560" i="1" s="1"/>
  <c r="N1560" i="1" s="1"/>
  <c r="H1561" i="1"/>
  <c r="J1561" i="1" s="1"/>
  <c r="K1561" i="1" s="1"/>
  <c r="M1561" i="1" s="1"/>
  <c r="N1561" i="1" s="1"/>
  <c r="H1562" i="1"/>
  <c r="J1562" i="1" s="1"/>
  <c r="H1563" i="1"/>
  <c r="J1563" i="1" s="1"/>
  <c r="H1564" i="1"/>
  <c r="J1564" i="1" s="1"/>
  <c r="H1565" i="1"/>
  <c r="J1565" i="1" s="1"/>
  <c r="K1565" i="1" s="1"/>
  <c r="M1565" i="1" s="1"/>
  <c r="N1565" i="1" s="1"/>
  <c r="H1566" i="1"/>
  <c r="J1566" i="1" s="1"/>
  <c r="K1566" i="1" s="1"/>
  <c r="M1566" i="1" s="1"/>
  <c r="N1566" i="1" s="1"/>
  <c r="H1567" i="1"/>
  <c r="J1567" i="1" s="1"/>
  <c r="H7" i="1"/>
  <c r="H6" i="1"/>
  <c r="H5" i="1"/>
  <c r="J5" i="1" s="1"/>
  <c r="K5" i="1" s="1"/>
  <c r="M5" i="1" s="1"/>
  <c r="N5" i="1" s="1"/>
  <c r="H4" i="1"/>
  <c r="J4" i="1" s="1"/>
  <c r="K4" i="1" s="1"/>
  <c r="M4" i="1" s="1"/>
  <c r="N4" i="1" s="1"/>
  <c r="H3" i="1"/>
  <c r="H2" i="1"/>
  <c r="S22" i="16"/>
  <c r="N21" i="3"/>
  <c r="AB16" i="3"/>
  <c r="K30" i="3"/>
  <c r="K19" i="3"/>
  <c r="AB9" i="3"/>
  <c r="AB18" i="3"/>
  <c r="AB7" i="3"/>
  <c r="G14" i="3"/>
  <c r="N20" i="3"/>
  <c r="AB8" i="3"/>
  <c r="AC10" i="3"/>
  <c r="AC15" i="3"/>
  <c r="AC13" i="3"/>
  <c r="AC17" i="3"/>
  <c r="T6" i="3"/>
  <c r="K29" i="3"/>
  <c r="K28" i="3"/>
  <c r="H7" i="11"/>
  <c r="K26" i="3"/>
  <c r="AB12" i="3"/>
  <c r="S24" i="16"/>
  <c r="G13" i="3"/>
  <c r="E7" i="11"/>
  <c r="G12" i="3"/>
  <c r="AB17" i="3"/>
  <c r="AB10" i="3"/>
  <c r="K23" i="3"/>
  <c r="K22" i="3"/>
  <c r="N17" i="3"/>
  <c r="K27" i="3"/>
  <c r="K24" i="3"/>
  <c r="C7" i="16"/>
  <c r="S23" i="16"/>
  <c r="K21" i="3"/>
  <c r="AC18" i="3"/>
  <c r="I7" i="11"/>
  <c r="N24" i="3"/>
  <c r="U6" i="3"/>
  <c r="AB11" i="3"/>
  <c r="AC7" i="3"/>
  <c r="F7" i="16"/>
  <c r="N18" i="3"/>
  <c r="AC14" i="3"/>
  <c r="D7" i="16"/>
  <c r="K20" i="3"/>
  <c r="AC12" i="3"/>
  <c r="N26" i="3"/>
  <c r="N19" i="3"/>
  <c r="F7" i="11"/>
  <c r="AC9" i="3"/>
  <c r="I6" i="16"/>
  <c r="V5" i="3"/>
  <c r="B5" i="3"/>
  <c r="G7" i="16"/>
  <c r="C5" i="3"/>
  <c r="G11" i="3"/>
  <c r="AC11" i="3"/>
  <c r="AB13" i="3"/>
  <c r="N23" i="3"/>
  <c r="S25" i="16"/>
  <c r="K6" i="11"/>
  <c r="K25" i="3"/>
  <c r="AB15" i="3"/>
  <c r="AC8" i="3"/>
  <c r="AC16" i="3"/>
  <c r="U29" i="3"/>
  <c r="AB14" i="3"/>
  <c r="N22" i="3"/>
  <c r="N25" i="3"/>
  <c r="S21" i="16"/>
  <c r="S20" i="16"/>
  <c r="K710" i="1" l="1"/>
  <c r="M710" i="1" s="1"/>
  <c r="N710" i="1" s="1"/>
  <c r="K1103" i="1"/>
  <c r="M1103" i="1" s="1"/>
  <c r="N1103" i="1" s="1"/>
  <c r="K852" i="1"/>
  <c r="M852" i="1" s="1"/>
  <c r="N852" i="1" s="1"/>
  <c r="K265" i="1"/>
  <c r="M265" i="1" s="1"/>
  <c r="N265" i="1" s="1"/>
  <c r="K732" i="1"/>
  <c r="M732" i="1" s="1"/>
  <c r="N732" i="1" s="1"/>
  <c r="K1107" i="1"/>
  <c r="M1107" i="1" s="1"/>
  <c r="N1107" i="1" s="1"/>
  <c r="K702" i="1"/>
  <c r="M702" i="1" s="1"/>
  <c r="N702" i="1" s="1"/>
  <c r="K311" i="1"/>
  <c r="M311" i="1" s="1"/>
  <c r="N311" i="1" s="1"/>
  <c r="K100" i="1"/>
  <c r="M100" i="1" s="1"/>
  <c r="N100" i="1" s="1"/>
  <c r="K176" i="1"/>
  <c r="M176" i="1" s="1"/>
  <c r="N176" i="1" s="1"/>
  <c r="K674" i="1"/>
  <c r="M674" i="1" s="1"/>
  <c r="N674" i="1" s="1"/>
  <c r="K321" i="1"/>
  <c r="M321" i="1" s="1"/>
  <c r="N321" i="1" s="1"/>
  <c r="K247" i="1"/>
  <c r="M247" i="1" s="1"/>
  <c r="N247" i="1" s="1"/>
  <c r="K216" i="1"/>
  <c r="M216" i="1" s="1"/>
  <c r="N216" i="1" s="1"/>
  <c r="K298" i="1"/>
  <c r="M298" i="1" s="1"/>
  <c r="N298" i="1" s="1"/>
  <c r="K249" i="1"/>
  <c r="M249" i="1" s="1"/>
  <c r="N249" i="1" s="1"/>
  <c r="K804" i="1"/>
  <c r="M804" i="1" s="1"/>
  <c r="N804" i="1" s="1"/>
  <c r="K1099" i="1"/>
  <c r="M1099" i="1" s="1"/>
  <c r="N1099" i="1" s="1"/>
  <c r="K1081" i="1"/>
  <c r="M1081" i="1" s="1"/>
  <c r="N1081" i="1" s="1"/>
  <c r="K694" i="1"/>
  <c r="M694" i="1" s="1"/>
  <c r="N694" i="1" s="1"/>
  <c r="K343" i="1"/>
  <c r="M343" i="1" s="1"/>
  <c r="N343" i="1" s="1"/>
  <c r="K297" i="1"/>
  <c r="M297" i="1" s="1"/>
  <c r="N297" i="1" s="1"/>
  <c r="K266" i="1"/>
  <c r="M266" i="1" s="1"/>
  <c r="N266" i="1" s="1"/>
  <c r="K257" i="1"/>
  <c r="M257" i="1" s="1"/>
  <c r="N257" i="1" s="1"/>
  <c r="K236" i="1"/>
  <c r="M236" i="1" s="1"/>
  <c r="N236" i="1" s="1"/>
  <c r="K81" i="1"/>
  <c r="M81" i="1" s="1"/>
  <c r="N81" i="1" s="1"/>
  <c r="K772" i="1"/>
  <c r="M772" i="1" s="1"/>
  <c r="N772" i="1" s="1"/>
  <c r="K718" i="1"/>
  <c r="M718" i="1" s="1"/>
  <c r="N718" i="1" s="1"/>
  <c r="K686" i="1"/>
  <c r="M686" i="1" s="1"/>
  <c r="N686" i="1" s="1"/>
  <c r="K381" i="1"/>
  <c r="M381" i="1" s="1"/>
  <c r="N381" i="1" s="1"/>
  <c r="K330" i="1"/>
  <c r="M330" i="1" s="1"/>
  <c r="N330" i="1" s="1"/>
  <c r="K318" i="1"/>
  <c r="M318" i="1" s="1"/>
  <c r="N318" i="1" s="1"/>
  <c r="K225" i="1"/>
  <c r="M225" i="1" s="1"/>
  <c r="N225" i="1" s="1"/>
  <c r="J1351" i="1"/>
  <c r="K1351" i="1" s="1"/>
  <c r="M1351" i="1" s="1"/>
  <c r="N1351" i="1" s="1"/>
  <c r="J1239" i="1"/>
  <c r="K1239" i="1" s="1"/>
  <c r="M1239" i="1" s="1"/>
  <c r="N1239" i="1" s="1"/>
  <c r="K900" i="1"/>
  <c r="M900" i="1" s="1"/>
  <c r="N900" i="1" s="1"/>
  <c r="K864" i="1"/>
  <c r="M864" i="1" s="1"/>
  <c r="N864" i="1" s="1"/>
  <c r="K737" i="1"/>
  <c r="M737" i="1" s="1"/>
  <c r="N737" i="1" s="1"/>
  <c r="K726" i="1"/>
  <c r="M726" i="1" s="1"/>
  <c r="N726" i="1" s="1"/>
  <c r="K373" i="1"/>
  <c r="M373" i="1" s="1"/>
  <c r="N373" i="1" s="1"/>
  <c r="K362" i="1"/>
  <c r="M362" i="1" s="1"/>
  <c r="N362" i="1" s="1"/>
  <c r="K329" i="1"/>
  <c r="M329" i="1" s="1"/>
  <c r="N329" i="1" s="1"/>
  <c r="K313" i="1"/>
  <c r="M313" i="1" s="1"/>
  <c r="N313" i="1" s="1"/>
  <c r="K224" i="1"/>
  <c r="M224" i="1" s="1"/>
  <c r="N224" i="1" s="1"/>
  <c r="K220" i="1"/>
  <c r="M220" i="1" s="1"/>
  <c r="N220" i="1" s="1"/>
  <c r="K192" i="1"/>
  <c r="M192" i="1" s="1"/>
  <c r="N192" i="1" s="1"/>
  <c r="J291" i="1"/>
  <c r="K291" i="1" s="1"/>
  <c r="M291" i="1" s="1"/>
  <c r="N291" i="1" s="1"/>
  <c r="K1380" i="1"/>
  <c r="M1380" i="1" s="1"/>
  <c r="N1380" i="1" s="1"/>
  <c r="K1295" i="1"/>
  <c r="M1295" i="1" s="1"/>
  <c r="N1295" i="1" s="1"/>
  <c r="K1231" i="1"/>
  <c r="M1231" i="1" s="1"/>
  <c r="N1231" i="1" s="1"/>
  <c r="K1168" i="1"/>
  <c r="M1168" i="1" s="1"/>
  <c r="N1168" i="1" s="1"/>
  <c r="K1158" i="1"/>
  <c r="M1158" i="1" s="1"/>
  <c r="N1158" i="1" s="1"/>
  <c r="K889" i="1"/>
  <c r="M889" i="1" s="1"/>
  <c r="N889" i="1" s="1"/>
  <c r="K848" i="1"/>
  <c r="M848" i="1" s="1"/>
  <c r="N848" i="1" s="1"/>
  <c r="K845" i="1"/>
  <c r="M845" i="1" s="1"/>
  <c r="N845" i="1" s="1"/>
  <c r="K836" i="1"/>
  <c r="M836" i="1" s="1"/>
  <c r="N836" i="1" s="1"/>
  <c r="K825" i="1"/>
  <c r="M825" i="1" s="1"/>
  <c r="N825" i="1" s="1"/>
  <c r="K818" i="1"/>
  <c r="M818" i="1" s="1"/>
  <c r="N818" i="1" s="1"/>
  <c r="K812" i="1"/>
  <c r="M812" i="1" s="1"/>
  <c r="N812" i="1" s="1"/>
  <c r="K798" i="1"/>
  <c r="M798" i="1" s="1"/>
  <c r="N798" i="1" s="1"/>
  <c r="K793" i="1"/>
  <c r="M793" i="1" s="1"/>
  <c r="N793" i="1" s="1"/>
  <c r="K786" i="1"/>
  <c r="M786" i="1" s="1"/>
  <c r="N786" i="1" s="1"/>
  <c r="K780" i="1"/>
  <c r="M780" i="1" s="1"/>
  <c r="N780" i="1" s="1"/>
  <c r="K766" i="1"/>
  <c r="M766" i="1" s="1"/>
  <c r="N766" i="1" s="1"/>
  <c r="K761" i="1"/>
  <c r="M761" i="1" s="1"/>
  <c r="N761" i="1" s="1"/>
  <c r="K754" i="1"/>
  <c r="M754" i="1" s="1"/>
  <c r="N754" i="1" s="1"/>
  <c r="K748" i="1"/>
  <c r="M748" i="1" s="1"/>
  <c r="N748" i="1" s="1"/>
  <c r="K740" i="1"/>
  <c r="M740" i="1" s="1"/>
  <c r="N740" i="1" s="1"/>
  <c r="J237" i="1"/>
  <c r="K237" i="1" s="1"/>
  <c r="M237" i="1" s="1"/>
  <c r="N237" i="1" s="1"/>
  <c r="J184" i="1"/>
  <c r="K184" i="1" s="1"/>
  <c r="M184" i="1" s="1"/>
  <c r="N184" i="1" s="1"/>
  <c r="K1337" i="1"/>
  <c r="M1337" i="1" s="1"/>
  <c r="N1337" i="1" s="1"/>
  <c r="K1251" i="1"/>
  <c r="M1251" i="1" s="1"/>
  <c r="N1251" i="1" s="1"/>
  <c r="K1187" i="1"/>
  <c r="M1187" i="1" s="1"/>
  <c r="N1187" i="1" s="1"/>
  <c r="K896" i="1"/>
  <c r="M896" i="1" s="1"/>
  <c r="N896" i="1" s="1"/>
  <c r="K893" i="1"/>
  <c r="M893" i="1" s="1"/>
  <c r="N893" i="1" s="1"/>
  <c r="K884" i="1"/>
  <c r="M884" i="1" s="1"/>
  <c r="N884" i="1" s="1"/>
  <c r="K873" i="1"/>
  <c r="M873" i="1" s="1"/>
  <c r="N873" i="1" s="1"/>
  <c r="K832" i="1"/>
  <c r="M832" i="1" s="1"/>
  <c r="N832" i="1" s="1"/>
  <c r="K829" i="1"/>
  <c r="M829" i="1" s="1"/>
  <c r="N829" i="1" s="1"/>
  <c r="K820" i="1"/>
  <c r="M820" i="1" s="1"/>
  <c r="N820" i="1" s="1"/>
  <c r="K806" i="1"/>
  <c r="M806" i="1" s="1"/>
  <c r="N806" i="1" s="1"/>
  <c r="K801" i="1"/>
  <c r="M801" i="1" s="1"/>
  <c r="N801" i="1" s="1"/>
  <c r="K794" i="1"/>
  <c r="M794" i="1" s="1"/>
  <c r="N794" i="1" s="1"/>
  <c r="K788" i="1"/>
  <c r="M788" i="1" s="1"/>
  <c r="N788" i="1" s="1"/>
  <c r="K774" i="1"/>
  <c r="M774" i="1" s="1"/>
  <c r="N774" i="1" s="1"/>
  <c r="K769" i="1"/>
  <c r="M769" i="1" s="1"/>
  <c r="N769" i="1" s="1"/>
  <c r="K762" i="1"/>
  <c r="M762" i="1" s="1"/>
  <c r="N762" i="1" s="1"/>
  <c r="K756" i="1"/>
  <c r="M756" i="1" s="1"/>
  <c r="N756" i="1" s="1"/>
  <c r="K742" i="1"/>
  <c r="M742" i="1" s="1"/>
  <c r="N742" i="1" s="1"/>
  <c r="J734" i="1"/>
  <c r="K734" i="1" s="1"/>
  <c r="M734" i="1" s="1"/>
  <c r="N734" i="1" s="1"/>
  <c r="J722" i="1"/>
  <c r="K722" i="1" s="1"/>
  <c r="M722" i="1" s="1"/>
  <c r="N722" i="1" s="1"/>
  <c r="J698" i="1"/>
  <c r="K698" i="1" s="1"/>
  <c r="M698" i="1" s="1"/>
  <c r="N698" i="1" s="1"/>
  <c r="J666" i="1"/>
  <c r="K666" i="1" s="1"/>
  <c r="M666" i="1" s="1"/>
  <c r="N666" i="1" s="1"/>
  <c r="J273" i="1"/>
  <c r="K273" i="1" s="1"/>
  <c r="M273" i="1" s="1"/>
  <c r="N273" i="1" s="1"/>
  <c r="J217" i="1"/>
  <c r="K217" i="1" s="1"/>
  <c r="M217" i="1" s="1"/>
  <c r="N217" i="1" s="1"/>
  <c r="J200" i="1"/>
  <c r="K200" i="1" s="1"/>
  <c r="M200" i="1" s="1"/>
  <c r="N200" i="1" s="1"/>
  <c r="J177" i="1"/>
  <c r="K177" i="1" s="1"/>
  <c r="M177" i="1" s="1"/>
  <c r="N177" i="1" s="1"/>
  <c r="J168" i="1"/>
  <c r="K168" i="1" s="1"/>
  <c r="M168" i="1" s="1"/>
  <c r="N168" i="1" s="1"/>
  <c r="J78" i="1"/>
  <c r="K78" i="1" s="1"/>
  <c r="M78" i="1" s="1"/>
  <c r="N78" i="1" s="1"/>
  <c r="J736" i="1"/>
  <c r="K736" i="1" s="1"/>
  <c r="M736" i="1" s="1"/>
  <c r="N736" i="1" s="1"/>
  <c r="J392" i="1"/>
  <c r="K392" i="1" s="1"/>
  <c r="M392" i="1" s="1"/>
  <c r="N392" i="1" s="1"/>
  <c r="J355" i="1"/>
  <c r="K355" i="1" s="1"/>
  <c r="M355" i="1" s="1"/>
  <c r="N355" i="1" s="1"/>
  <c r="J209" i="1"/>
  <c r="K209" i="1" s="1"/>
  <c r="M209" i="1" s="1"/>
  <c r="N209" i="1" s="1"/>
  <c r="J85" i="1"/>
  <c r="K85" i="1" s="1"/>
  <c r="M85" i="1" s="1"/>
  <c r="N85" i="1" s="1"/>
  <c r="J26" i="1"/>
  <c r="K26" i="1" s="1"/>
  <c r="M26" i="1" s="1"/>
  <c r="N26" i="1" s="1"/>
  <c r="K1238" i="1"/>
  <c r="M1238" i="1" s="1"/>
  <c r="N1238" i="1" s="1"/>
  <c r="K1108" i="1"/>
  <c r="M1108" i="1" s="1"/>
  <c r="N1108" i="1" s="1"/>
  <c r="K1085" i="1"/>
  <c r="M1085" i="1" s="1"/>
  <c r="N1085" i="1" s="1"/>
  <c r="K880" i="1"/>
  <c r="M880" i="1" s="1"/>
  <c r="N880" i="1" s="1"/>
  <c r="K868" i="1"/>
  <c r="M868" i="1" s="1"/>
  <c r="N868" i="1" s="1"/>
  <c r="K857" i="1"/>
  <c r="M857" i="1" s="1"/>
  <c r="N857" i="1" s="1"/>
  <c r="J841" i="1"/>
  <c r="K841" i="1" s="1"/>
  <c r="M841" i="1" s="1"/>
  <c r="N841" i="1" s="1"/>
  <c r="K814" i="1"/>
  <c r="M814" i="1" s="1"/>
  <c r="N814" i="1" s="1"/>
  <c r="K796" i="1"/>
  <c r="M796" i="1" s="1"/>
  <c r="N796" i="1" s="1"/>
  <c r="J790" i="1"/>
  <c r="K790" i="1" s="1"/>
  <c r="M790" i="1" s="1"/>
  <c r="N790" i="1" s="1"/>
  <c r="K782" i="1"/>
  <c r="M782" i="1" s="1"/>
  <c r="N782" i="1" s="1"/>
  <c r="K764" i="1"/>
  <c r="M764" i="1" s="1"/>
  <c r="N764" i="1" s="1"/>
  <c r="J758" i="1"/>
  <c r="K758" i="1" s="1"/>
  <c r="M758" i="1" s="1"/>
  <c r="N758" i="1" s="1"/>
  <c r="K750" i="1"/>
  <c r="M750" i="1" s="1"/>
  <c r="N750" i="1" s="1"/>
  <c r="J337" i="1"/>
  <c r="K337" i="1" s="1"/>
  <c r="M337" i="1" s="1"/>
  <c r="N337" i="1" s="1"/>
  <c r="J226" i="1"/>
  <c r="K226" i="1" s="1"/>
  <c r="M226" i="1" s="1"/>
  <c r="N226" i="1" s="1"/>
  <c r="J70" i="1"/>
  <c r="K70" i="1" s="1"/>
  <c r="M70" i="1" s="1"/>
  <c r="N70" i="1" s="1"/>
  <c r="J57" i="1"/>
  <c r="K57" i="1" s="1"/>
  <c r="M57" i="1" s="1"/>
  <c r="N57" i="1" s="1"/>
  <c r="J46" i="1"/>
  <c r="K46" i="1" s="1"/>
  <c r="M46" i="1" s="1"/>
  <c r="N46" i="1" s="1"/>
  <c r="K733" i="1"/>
  <c r="M733" i="1" s="1"/>
  <c r="N733" i="1" s="1"/>
  <c r="K714" i="1"/>
  <c r="M714" i="1" s="1"/>
  <c r="N714" i="1" s="1"/>
  <c r="K682" i="1"/>
  <c r="M682" i="1" s="1"/>
  <c r="N682" i="1" s="1"/>
  <c r="K658" i="1"/>
  <c r="M658" i="1" s="1"/>
  <c r="N658" i="1" s="1"/>
  <c r="K391" i="1"/>
  <c r="M391" i="1" s="1"/>
  <c r="N391" i="1" s="1"/>
  <c r="K342" i="1"/>
  <c r="M342" i="1" s="1"/>
  <c r="N342" i="1" s="1"/>
  <c r="K339" i="1"/>
  <c r="M339" i="1" s="1"/>
  <c r="N339" i="1" s="1"/>
  <c r="K334" i="1"/>
  <c r="M334" i="1" s="1"/>
  <c r="N334" i="1" s="1"/>
  <c r="K305" i="1"/>
  <c r="M305" i="1" s="1"/>
  <c r="N305" i="1" s="1"/>
  <c r="K278" i="1"/>
  <c r="M278" i="1" s="1"/>
  <c r="N278" i="1" s="1"/>
  <c r="K275" i="1"/>
  <c r="M275" i="1" s="1"/>
  <c r="N275" i="1" s="1"/>
  <c r="K267" i="1"/>
  <c r="M267" i="1" s="1"/>
  <c r="N267" i="1" s="1"/>
  <c r="K212" i="1"/>
  <c r="M212" i="1" s="1"/>
  <c r="N212" i="1" s="1"/>
  <c r="K152" i="1"/>
  <c r="M152" i="1" s="1"/>
  <c r="N152" i="1" s="1"/>
  <c r="K136" i="1"/>
  <c r="M136" i="1" s="1"/>
  <c r="N136" i="1" s="1"/>
  <c r="K120" i="1"/>
  <c r="M120" i="1" s="1"/>
  <c r="N120" i="1" s="1"/>
  <c r="K96" i="1"/>
  <c r="M96" i="1" s="1"/>
  <c r="N96" i="1" s="1"/>
  <c r="K90" i="1"/>
  <c r="M90" i="1" s="1"/>
  <c r="N90" i="1" s="1"/>
  <c r="K77" i="1"/>
  <c r="M77" i="1" s="1"/>
  <c r="N77" i="1" s="1"/>
  <c r="K69" i="1"/>
  <c r="M69" i="1" s="1"/>
  <c r="N69" i="1" s="1"/>
  <c r="K45" i="1"/>
  <c r="M45" i="1" s="1"/>
  <c r="N45" i="1" s="1"/>
  <c r="K25" i="1"/>
  <c r="M25" i="1" s="1"/>
  <c r="N25" i="1" s="1"/>
  <c r="K9" i="1"/>
  <c r="M9" i="1" s="1"/>
  <c r="N9" i="1" s="1"/>
  <c r="K361" i="1"/>
  <c r="M361" i="1" s="1"/>
  <c r="N361" i="1" s="1"/>
  <c r="K289" i="1"/>
  <c r="M289" i="1" s="1"/>
  <c r="N289" i="1" s="1"/>
  <c r="K281" i="1"/>
  <c r="M281" i="1" s="1"/>
  <c r="N281" i="1" s="1"/>
  <c r="K254" i="1"/>
  <c r="M254" i="1" s="1"/>
  <c r="N254" i="1" s="1"/>
  <c r="K241" i="1"/>
  <c r="M241" i="1" s="1"/>
  <c r="N241" i="1" s="1"/>
  <c r="K238" i="1"/>
  <c r="M238" i="1" s="1"/>
  <c r="N238" i="1" s="1"/>
  <c r="K228" i="1"/>
  <c r="M228" i="1" s="1"/>
  <c r="N228" i="1" s="1"/>
  <c r="K218" i="1"/>
  <c r="M218" i="1" s="1"/>
  <c r="N218" i="1" s="1"/>
  <c r="K210" i="1"/>
  <c r="M210" i="1" s="1"/>
  <c r="N210" i="1" s="1"/>
  <c r="K201" i="1"/>
  <c r="M201" i="1" s="1"/>
  <c r="N201" i="1" s="1"/>
  <c r="K160" i="1"/>
  <c r="M160" i="1" s="1"/>
  <c r="N160" i="1" s="1"/>
  <c r="K144" i="1"/>
  <c r="M144" i="1" s="1"/>
  <c r="N144" i="1" s="1"/>
  <c r="K128" i="1"/>
  <c r="M128" i="1" s="1"/>
  <c r="N128" i="1" s="1"/>
  <c r="K112" i="1"/>
  <c r="M112" i="1" s="1"/>
  <c r="N112" i="1" s="1"/>
  <c r="K98" i="1"/>
  <c r="M98" i="1" s="1"/>
  <c r="N98" i="1" s="1"/>
  <c r="K30" i="1"/>
  <c r="M30" i="1" s="1"/>
  <c r="N30" i="1" s="1"/>
  <c r="K310" i="1"/>
  <c r="M310" i="1" s="1"/>
  <c r="N310" i="1" s="1"/>
  <c r="K302" i="1"/>
  <c r="M302" i="1" s="1"/>
  <c r="N302" i="1" s="1"/>
  <c r="K202" i="1"/>
  <c r="M202" i="1" s="1"/>
  <c r="N202" i="1" s="1"/>
  <c r="K101" i="1"/>
  <c r="M101" i="1" s="1"/>
  <c r="N101" i="1" s="1"/>
  <c r="J367" i="1"/>
  <c r="K367" i="1" s="1"/>
  <c r="M367" i="1" s="1"/>
  <c r="N367" i="1" s="1"/>
  <c r="J354" i="1"/>
  <c r="K354" i="1" s="1"/>
  <c r="M354" i="1" s="1"/>
  <c r="N354" i="1" s="1"/>
  <c r="J269" i="1"/>
  <c r="K269" i="1" s="1"/>
  <c r="M269" i="1" s="1"/>
  <c r="N269" i="1" s="1"/>
  <c r="K1292" i="1"/>
  <c r="M1292" i="1" s="1"/>
  <c r="N1292" i="1" s="1"/>
  <c r="K1211" i="1"/>
  <c r="M1211" i="1" s="1"/>
  <c r="N1211" i="1" s="1"/>
  <c r="K1144" i="1"/>
  <c r="M1144" i="1" s="1"/>
  <c r="N1144" i="1" s="1"/>
  <c r="J670" i="1"/>
  <c r="K670" i="1" s="1"/>
  <c r="M670" i="1" s="1"/>
  <c r="N670" i="1" s="1"/>
  <c r="J395" i="1"/>
  <c r="K395" i="1" s="1"/>
  <c r="M395" i="1" s="1"/>
  <c r="N395" i="1" s="1"/>
  <c r="J301" i="1"/>
  <c r="K301" i="1" s="1"/>
  <c r="M301" i="1" s="1"/>
  <c r="N301" i="1" s="1"/>
  <c r="J271" i="1"/>
  <c r="K271" i="1" s="1"/>
  <c r="M271" i="1" s="1"/>
  <c r="N271" i="1" s="1"/>
  <c r="J258" i="1"/>
  <c r="K258" i="1" s="1"/>
  <c r="M258" i="1" s="1"/>
  <c r="N258" i="1" s="1"/>
  <c r="K1459" i="1"/>
  <c r="M1459" i="1" s="1"/>
  <c r="N1459" i="1" s="1"/>
  <c r="K1328" i="1"/>
  <c r="M1328" i="1" s="1"/>
  <c r="N1328" i="1" s="1"/>
  <c r="K1548" i="1"/>
  <c r="M1548" i="1" s="1"/>
  <c r="N1548" i="1" s="1"/>
  <c r="K1488" i="1"/>
  <c r="M1488" i="1" s="1"/>
  <c r="N1488" i="1" s="1"/>
  <c r="K1245" i="1"/>
  <c r="M1245" i="1" s="1"/>
  <c r="N1245" i="1" s="1"/>
  <c r="K1242" i="1"/>
  <c r="M1242" i="1" s="1"/>
  <c r="N1242" i="1" s="1"/>
  <c r="K1234" i="1"/>
  <c r="M1234" i="1" s="1"/>
  <c r="N1234" i="1" s="1"/>
  <c r="K1227" i="1"/>
  <c r="M1227" i="1" s="1"/>
  <c r="N1227" i="1" s="1"/>
  <c r="K1215" i="1"/>
  <c r="M1215" i="1" s="1"/>
  <c r="N1215" i="1" s="1"/>
  <c r="K1194" i="1"/>
  <c r="M1194" i="1" s="1"/>
  <c r="N1194" i="1" s="1"/>
  <c r="K1141" i="1"/>
  <c r="M1141" i="1" s="1"/>
  <c r="N1141" i="1" s="1"/>
  <c r="K1123" i="1"/>
  <c r="M1123" i="1" s="1"/>
  <c r="N1123" i="1" s="1"/>
  <c r="K901" i="1"/>
  <c r="M901" i="1" s="1"/>
  <c r="N901" i="1" s="1"/>
  <c r="K888" i="1"/>
  <c r="M888" i="1" s="1"/>
  <c r="N888" i="1" s="1"/>
  <c r="K885" i="1"/>
  <c r="M885" i="1" s="1"/>
  <c r="N885" i="1" s="1"/>
  <c r="K872" i="1"/>
  <c r="M872" i="1" s="1"/>
  <c r="N872" i="1" s="1"/>
  <c r="K869" i="1"/>
  <c r="M869" i="1" s="1"/>
  <c r="N869" i="1" s="1"/>
  <c r="K856" i="1"/>
  <c r="M856" i="1" s="1"/>
  <c r="N856" i="1" s="1"/>
  <c r="K853" i="1"/>
  <c r="M853" i="1" s="1"/>
  <c r="N853" i="1" s="1"/>
  <c r="K840" i="1"/>
  <c r="M840" i="1" s="1"/>
  <c r="N840" i="1" s="1"/>
  <c r="K837" i="1"/>
  <c r="M837" i="1" s="1"/>
  <c r="N837" i="1" s="1"/>
  <c r="K821" i="1"/>
  <c r="M821" i="1" s="1"/>
  <c r="N821" i="1" s="1"/>
  <c r="K813" i="1"/>
  <c r="M813" i="1" s="1"/>
  <c r="N813" i="1" s="1"/>
  <c r="K805" i="1"/>
  <c r="M805" i="1" s="1"/>
  <c r="N805" i="1" s="1"/>
  <c r="K797" i="1"/>
  <c r="M797" i="1" s="1"/>
  <c r="N797" i="1" s="1"/>
  <c r="K789" i="1"/>
  <c r="M789" i="1" s="1"/>
  <c r="N789" i="1" s="1"/>
  <c r="K781" i="1"/>
  <c r="M781" i="1" s="1"/>
  <c r="N781" i="1" s="1"/>
  <c r="K773" i="1"/>
  <c r="M773" i="1" s="1"/>
  <c r="N773" i="1" s="1"/>
  <c r="K765" i="1"/>
  <c r="M765" i="1" s="1"/>
  <c r="N765" i="1" s="1"/>
  <c r="K757" i="1"/>
  <c r="M757" i="1" s="1"/>
  <c r="N757" i="1" s="1"/>
  <c r="K749" i="1"/>
  <c r="M749" i="1" s="1"/>
  <c r="N749" i="1" s="1"/>
  <c r="K741" i="1"/>
  <c r="M741" i="1" s="1"/>
  <c r="N741" i="1" s="1"/>
  <c r="K738" i="1"/>
  <c r="M738" i="1" s="1"/>
  <c r="N738" i="1" s="1"/>
  <c r="J333" i="1"/>
  <c r="K333" i="1" s="1"/>
  <c r="M333" i="1" s="1"/>
  <c r="N333" i="1" s="1"/>
  <c r="J303" i="1"/>
  <c r="K303" i="1" s="1"/>
  <c r="M303" i="1" s="1"/>
  <c r="N303" i="1" s="1"/>
  <c r="J290" i="1"/>
  <c r="K290" i="1" s="1"/>
  <c r="M290" i="1" s="1"/>
  <c r="N290" i="1" s="1"/>
  <c r="J245" i="1"/>
  <c r="K245" i="1" s="1"/>
  <c r="M245" i="1" s="1"/>
  <c r="N245" i="1" s="1"/>
  <c r="J242" i="1"/>
  <c r="K242" i="1" s="1"/>
  <c r="M242" i="1" s="1"/>
  <c r="N242" i="1" s="1"/>
  <c r="J1535" i="1"/>
  <c r="K1535" i="1" s="1"/>
  <c r="M1535" i="1" s="1"/>
  <c r="N1535" i="1" s="1"/>
  <c r="J1512" i="1"/>
  <c r="K1512" i="1" s="1"/>
  <c r="M1512" i="1" s="1"/>
  <c r="N1512" i="1" s="1"/>
  <c r="J1482" i="1"/>
  <c r="K1482" i="1" s="1"/>
  <c r="M1482" i="1" s="1"/>
  <c r="N1482" i="1" s="1"/>
  <c r="K1480" i="1"/>
  <c r="M1480" i="1" s="1"/>
  <c r="N1480" i="1" s="1"/>
  <c r="K1445" i="1"/>
  <c r="M1445" i="1" s="1"/>
  <c r="N1445" i="1" s="1"/>
  <c r="K1432" i="1"/>
  <c r="M1432" i="1" s="1"/>
  <c r="N1432" i="1" s="1"/>
  <c r="J1352" i="1"/>
  <c r="K1352" i="1" s="1"/>
  <c r="M1352" i="1" s="1"/>
  <c r="N1352" i="1" s="1"/>
  <c r="J1338" i="1"/>
  <c r="K1338" i="1" s="1"/>
  <c r="M1338" i="1" s="1"/>
  <c r="N1338" i="1" s="1"/>
  <c r="J1315" i="1"/>
  <c r="K1315" i="1" s="1"/>
  <c r="M1315" i="1" s="1"/>
  <c r="N1315" i="1" s="1"/>
  <c r="K1301" i="1"/>
  <c r="M1301" i="1" s="1"/>
  <c r="N1301" i="1" s="1"/>
  <c r="K1247" i="1"/>
  <c r="M1247" i="1" s="1"/>
  <c r="N1247" i="1" s="1"/>
  <c r="K1240" i="1"/>
  <c r="M1240" i="1" s="1"/>
  <c r="N1240" i="1" s="1"/>
  <c r="J1185" i="1"/>
  <c r="K1185" i="1" s="1"/>
  <c r="M1185" i="1" s="1"/>
  <c r="N1185" i="1" s="1"/>
  <c r="J1136" i="1"/>
  <c r="K1136" i="1" s="1"/>
  <c r="M1136" i="1" s="1"/>
  <c r="N1136" i="1" s="1"/>
  <c r="K1125" i="1"/>
  <c r="M1125" i="1" s="1"/>
  <c r="N1125" i="1" s="1"/>
  <c r="J1110" i="1"/>
  <c r="K1110" i="1" s="1"/>
  <c r="M1110" i="1" s="1"/>
  <c r="N1110" i="1" s="1"/>
  <c r="K892" i="1"/>
  <c r="M892" i="1" s="1"/>
  <c r="N892" i="1" s="1"/>
  <c r="K876" i="1"/>
  <c r="M876" i="1" s="1"/>
  <c r="N876" i="1" s="1"/>
  <c r="K860" i="1"/>
  <c r="M860" i="1" s="1"/>
  <c r="N860" i="1" s="1"/>
  <c r="K844" i="1"/>
  <c r="M844" i="1" s="1"/>
  <c r="N844" i="1" s="1"/>
  <c r="K828" i="1"/>
  <c r="M828" i="1" s="1"/>
  <c r="N828" i="1" s="1"/>
  <c r="K816" i="1"/>
  <c r="M816" i="1" s="1"/>
  <c r="N816" i="1" s="1"/>
  <c r="K808" i="1"/>
  <c r="M808" i="1" s="1"/>
  <c r="N808" i="1" s="1"/>
  <c r="K800" i="1"/>
  <c r="M800" i="1" s="1"/>
  <c r="N800" i="1" s="1"/>
  <c r="K792" i="1"/>
  <c r="M792" i="1" s="1"/>
  <c r="N792" i="1" s="1"/>
  <c r="K784" i="1"/>
  <c r="M784" i="1" s="1"/>
  <c r="N784" i="1" s="1"/>
  <c r="K776" i="1"/>
  <c r="M776" i="1" s="1"/>
  <c r="N776" i="1" s="1"/>
  <c r="K768" i="1"/>
  <c r="M768" i="1" s="1"/>
  <c r="N768" i="1" s="1"/>
  <c r="K760" i="1"/>
  <c r="M760" i="1" s="1"/>
  <c r="N760" i="1" s="1"/>
  <c r="K752" i="1"/>
  <c r="M752" i="1" s="1"/>
  <c r="N752" i="1" s="1"/>
  <c r="K744" i="1"/>
  <c r="M744" i="1" s="1"/>
  <c r="N744" i="1" s="1"/>
  <c r="K706" i="1"/>
  <c r="M706" i="1" s="1"/>
  <c r="N706" i="1" s="1"/>
  <c r="K690" i="1"/>
  <c r="M690" i="1" s="1"/>
  <c r="N690" i="1" s="1"/>
  <c r="J365" i="1"/>
  <c r="K365" i="1" s="1"/>
  <c r="M365" i="1" s="1"/>
  <c r="N365" i="1" s="1"/>
  <c r="J335" i="1"/>
  <c r="K335" i="1" s="1"/>
  <c r="M335" i="1" s="1"/>
  <c r="N335" i="1" s="1"/>
  <c r="J322" i="1"/>
  <c r="K322" i="1" s="1"/>
  <c r="M322" i="1" s="1"/>
  <c r="N322" i="1" s="1"/>
  <c r="K387" i="1"/>
  <c r="M387" i="1" s="1"/>
  <c r="N387" i="1" s="1"/>
  <c r="K386" i="1"/>
  <c r="M386" i="1" s="1"/>
  <c r="N386" i="1" s="1"/>
  <c r="K379" i="1"/>
  <c r="M379" i="1" s="1"/>
  <c r="N379" i="1" s="1"/>
  <c r="K378" i="1"/>
  <c r="M378" i="1" s="1"/>
  <c r="N378" i="1" s="1"/>
  <c r="K358" i="1"/>
  <c r="M358" i="1" s="1"/>
  <c r="N358" i="1" s="1"/>
  <c r="K351" i="1"/>
  <c r="M351" i="1" s="1"/>
  <c r="N351" i="1" s="1"/>
  <c r="J341" i="1"/>
  <c r="K341" i="1" s="1"/>
  <c r="M341" i="1" s="1"/>
  <c r="N341" i="1" s="1"/>
  <c r="K338" i="1"/>
  <c r="M338" i="1" s="1"/>
  <c r="N338" i="1" s="1"/>
  <c r="K326" i="1"/>
  <c r="M326" i="1" s="1"/>
  <c r="N326" i="1" s="1"/>
  <c r="K319" i="1"/>
  <c r="M319" i="1" s="1"/>
  <c r="N319" i="1" s="1"/>
  <c r="J309" i="1"/>
  <c r="K309" i="1" s="1"/>
  <c r="M309" i="1" s="1"/>
  <c r="N309" i="1" s="1"/>
  <c r="K306" i="1"/>
  <c r="M306" i="1" s="1"/>
  <c r="N306" i="1" s="1"/>
  <c r="K294" i="1"/>
  <c r="M294" i="1" s="1"/>
  <c r="N294" i="1" s="1"/>
  <c r="K287" i="1"/>
  <c r="M287" i="1" s="1"/>
  <c r="N287" i="1" s="1"/>
  <c r="J277" i="1"/>
  <c r="K277" i="1" s="1"/>
  <c r="M277" i="1" s="1"/>
  <c r="N277" i="1" s="1"/>
  <c r="K274" i="1"/>
  <c r="M274" i="1" s="1"/>
  <c r="N274" i="1" s="1"/>
  <c r="K255" i="1"/>
  <c r="M255" i="1" s="1"/>
  <c r="N255" i="1" s="1"/>
  <c r="J189" i="1"/>
  <c r="K189" i="1" s="1"/>
  <c r="M189" i="1" s="1"/>
  <c r="N189" i="1" s="1"/>
  <c r="J180" i="1"/>
  <c r="K180" i="1" s="1"/>
  <c r="M180" i="1" s="1"/>
  <c r="N180" i="1" s="1"/>
  <c r="J148" i="1"/>
  <c r="K148" i="1" s="1"/>
  <c r="M148" i="1" s="1"/>
  <c r="N148" i="1" s="1"/>
  <c r="J132" i="1"/>
  <c r="K132" i="1" s="1"/>
  <c r="M132" i="1" s="1"/>
  <c r="N132" i="1" s="1"/>
  <c r="J116" i="1"/>
  <c r="K116" i="1" s="1"/>
  <c r="M116" i="1" s="1"/>
  <c r="N116" i="1" s="1"/>
  <c r="J13" i="1"/>
  <c r="K13" i="1" s="1"/>
  <c r="M13" i="1" s="1"/>
  <c r="N13" i="1" s="1"/>
  <c r="K385" i="1"/>
  <c r="M385" i="1" s="1"/>
  <c r="N385" i="1" s="1"/>
  <c r="K377" i="1"/>
  <c r="M377" i="1" s="1"/>
  <c r="N377" i="1" s="1"/>
  <c r="K359" i="1"/>
  <c r="M359" i="1" s="1"/>
  <c r="N359" i="1" s="1"/>
  <c r="J349" i="1"/>
  <c r="K349" i="1" s="1"/>
  <c r="M349" i="1" s="1"/>
  <c r="N349" i="1" s="1"/>
  <c r="K346" i="1"/>
  <c r="M346" i="1" s="1"/>
  <c r="N346" i="1" s="1"/>
  <c r="K327" i="1"/>
  <c r="M327" i="1" s="1"/>
  <c r="N327" i="1" s="1"/>
  <c r="J317" i="1"/>
  <c r="K317" i="1" s="1"/>
  <c r="M317" i="1" s="1"/>
  <c r="N317" i="1" s="1"/>
  <c r="K314" i="1"/>
  <c r="M314" i="1" s="1"/>
  <c r="N314" i="1" s="1"/>
  <c r="K295" i="1"/>
  <c r="M295" i="1" s="1"/>
  <c r="N295" i="1" s="1"/>
  <c r="J285" i="1"/>
  <c r="K285" i="1" s="1"/>
  <c r="M285" i="1" s="1"/>
  <c r="N285" i="1" s="1"/>
  <c r="K282" i="1"/>
  <c r="M282" i="1" s="1"/>
  <c r="N282" i="1" s="1"/>
  <c r="K263" i="1"/>
  <c r="M263" i="1" s="1"/>
  <c r="N263" i="1" s="1"/>
  <c r="J253" i="1"/>
  <c r="K253" i="1" s="1"/>
  <c r="M253" i="1" s="1"/>
  <c r="N253" i="1" s="1"/>
  <c r="J232" i="1"/>
  <c r="K232" i="1" s="1"/>
  <c r="M232" i="1" s="1"/>
  <c r="N232" i="1" s="1"/>
  <c r="J197" i="1"/>
  <c r="K197" i="1" s="1"/>
  <c r="M197" i="1" s="1"/>
  <c r="N197" i="1" s="1"/>
  <c r="J357" i="1"/>
  <c r="K357" i="1" s="1"/>
  <c r="M357" i="1" s="1"/>
  <c r="N357" i="1" s="1"/>
  <c r="J325" i="1"/>
  <c r="K325" i="1" s="1"/>
  <c r="M325" i="1" s="1"/>
  <c r="N325" i="1" s="1"/>
  <c r="J293" i="1"/>
  <c r="K293" i="1" s="1"/>
  <c r="M293" i="1" s="1"/>
  <c r="N293" i="1" s="1"/>
  <c r="J261" i="1"/>
  <c r="K261" i="1" s="1"/>
  <c r="M261" i="1" s="1"/>
  <c r="N261" i="1" s="1"/>
  <c r="K240" i="1"/>
  <c r="M240" i="1" s="1"/>
  <c r="N240" i="1" s="1"/>
  <c r="J188" i="1"/>
  <c r="K188" i="1" s="1"/>
  <c r="M188" i="1" s="1"/>
  <c r="N188" i="1" s="1"/>
  <c r="J174" i="1"/>
  <c r="K174" i="1" s="1"/>
  <c r="M174" i="1" s="1"/>
  <c r="N174" i="1" s="1"/>
  <c r="J156" i="1"/>
  <c r="K156" i="1" s="1"/>
  <c r="M156" i="1" s="1"/>
  <c r="N156" i="1" s="1"/>
  <c r="J140" i="1"/>
  <c r="K140" i="1" s="1"/>
  <c r="M140" i="1" s="1"/>
  <c r="N140" i="1" s="1"/>
  <c r="J124" i="1"/>
  <c r="K124" i="1" s="1"/>
  <c r="M124" i="1" s="1"/>
  <c r="N124" i="1" s="1"/>
  <c r="J108" i="1"/>
  <c r="K108" i="1" s="1"/>
  <c r="M108" i="1" s="1"/>
  <c r="N108" i="1" s="1"/>
  <c r="K86" i="1"/>
  <c r="M86" i="1" s="1"/>
  <c r="N86" i="1" s="1"/>
  <c r="J66" i="1"/>
  <c r="K66" i="1" s="1"/>
  <c r="M66" i="1" s="1"/>
  <c r="N66" i="1" s="1"/>
  <c r="K54" i="1"/>
  <c r="M54" i="1" s="1"/>
  <c r="N54" i="1" s="1"/>
  <c r="J50" i="1"/>
  <c r="K50" i="1" s="1"/>
  <c r="M50" i="1" s="1"/>
  <c r="N50" i="1" s="1"/>
  <c r="K38" i="1"/>
  <c r="M38" i="1" s="1"/>
  <c r="N38" i="1" s="1"/>
  <c r="J29" i="1"/>
  <c r="K29" i="1" s="1"/>
  <c r="M29" i="1" s="1"/>
  <c r="N29" i="1" s="1"/>
  <c r="J18" i="1"/>
  <c r="K18" i="1" s="1"/>
  <c r="M18" i="1" s="1"/>
  <c r="N18" i="1" s="1"/>
  <c r="J196" i="1"/>
  <c r="K196" i="1" s="1"/>
  <c r="M196" i="1" s="1"/>
  <c r="N196" i="1" s="1"/>
  <c r="J182" i="1"/>
  <c r="K182" i="1" s="1"/>
  <c r="M182" i="1" s="1"/>
  <c r="N182" i="1" s="1"/>
  <c r="J173" i="1"/>
  <c r="K173" i="1" s="1"/>
  <c r="M173" i="1" s="1"/>
  <c r="N173" i="1" s="1"/>
  <c r="J164" i="1"/>
  <c r="K164" i="1" s="1"/>
  <c r="M164" i="1" s="1"/>
  <c r="N164" i="1" s="1"/>
  <c r="J82" i="1"/>
  <c r="K82" i="1" s="1"/>
  <c r="M82" i="1" s="1"/>
  <c r="N82" i="1" s="1"/>
  <c r="J37" i="1"/>
  <c r="K37" i="1" s="1"/>
  <c r="M37" i="1" s="1"/>
  <c r="N37" i="1" s="1"/>
  <c r="J190" i="1"/>
  <c r="K190" i="1" s="1"/>
  <c r="M190" i="1" s="1"/>
  <c r="N190" i="1" s="1"/>
  <c r="J181" i="1"/>
  <c r="K181" i="1" s="1"/>
  <c r="M181" i="1" s="1"/>
  <c r="N181" i="1" s="1"/>
  <c r="J172" i="1"/>
  <c r="K172" i="1" s="1"/>
  <c r="M172" i="1" s="1"/>
  <c r="N172" i="1" s="1"/>
  <c r="K97" i="1"/>
  <c r="M97" i="1" s="1"/>
  <c r="N97" i="1" s="1"/>
  <c r="K89" i="1"/>
  <c r="M89" i="1" s="1"/>
  <c r="N89" i="1" s="1"/>
  <c r="K73" i="1"/>
  <c r="M73" i="1" s="1"/>
  <c r="N73" i="1" s="1"/>
  <c r="K41" i="1"/>
  <c r="M41" i="1" s="1"/>
  <c r="N41" i="1" s="1"/>
  <c r="K33" i="1"/>
  <c r="M33" i="1" s="1"/>
  <c r="N33" i="1" s="1"/>
  <c r="K53" i="1"/>
  <c r="M53" i="1" s="1"/>
  <c r="N53" i="1" s="1"/>
  <c r="K49" i="1"/>
  <c r="M49" i="1" s="1"/>
  <c r="N49" i="1" s="1"/>
  <c r="K17" i="1"/>
  <c r="M17" i="1" s="1"/>
  <c r="N17" i="1" s="1"/>
  <c r="K1564" i="1"/>
  <c r="M1564" i="1" s="1"/>
  <c r="N1564" i="1" s="1"/>
  <c r="J1553" i="1"/>
  <c r="K1553" i="1" s="1"/>
  <c r="M1553" i="1" s="1"/>
  <c r="N1553" i="1" s="1"/>
  <c r="K1552" i="1"/>
  <c r="M1552" i="1" s="1"/>
  <c r="N1552" i="1" s="1"/>
  <c r="J1549" i="1"/>
  <c r="K1549" i="1" s="1"/>
  <c r="M1549" i="1" s="1"/>
  <c r="N1549" i="1" s="1"/>
  <c r="J1545" i="1"/>
  <c r="K1545" i="1" s="1"/>
  <c r="M1545" i="1" s="1"/>
  <c r="N1545" i="1" s="1"/>
  <c r="J1541" i="1"/>
  <c r="K1541" i="1" s="1"/>
  <c r="M1541" i="1" s="1"/>
  <c r="N1541" i="1" s="1"/>
  <c r="K1540" i="1"/>
  <c r="M1540" i="1" s="1"/>
  <c r="N1540" i="1" s="1"/>
  <c r="J1537" i="1"/>
  <c r="K1537" i="1" s="1"/>
  <c r="M1537" i="1" s="1"/>
  <c r="N1537" i="1" s="1"/>
  <c r="K1536" i="1"/>
  <c r="M1536" i="1" s="1"/>
  <c r="N1536" i="1" s="1"/>
  <c r="K1532" i="1"/>
  <c r="M1532" i="1" s="1"/>
  <c r="N1532" i="1" s="1"/>
  <c r="J1529" i="1"/>
  <c r="K1529" i="1" s="1"/>
  <c r="M1529" i="1" s="1"/>
  <c r="N1529" i="1" s="1"/>
  <c r="K1528" i="1"/>
  <c r="M1528" i="1" s="1"/>
  <c r="N1528" i="1" s="1"/>
  <c r="J1525" i="1"/>
  <c r="K1525" i="1" s="1"/>
  <c r="M1525" i="1" s="1"/>
  <c r="N1525" i="1" s="1"/>
  <c r="K1524" i="1"/>
  <c r="M1524" i="1" s="1"/>
  <c r="N1524" i="1" s="1"/>
  <c r="K1520" i="1"/>
  <c r="M1520" i="1" s="1"/>
  <c r="N1520" i="1" s="1"/>
  <c r="J1517" i="1"/>
  <c r="K1517" i="1" s="1"/>
  <c r="M1517" i="1" s="1"/>
  <c r="N1517" i="1" s="1"/>
  <c r="J1509" i="1"/>
  <c r="K1509" i="1" s="1"/>
  <c r="M1509" i="1" s="1"/>
  <c r="N1509" i="1" s="1"/>
  <c r="K1508" i="1"/>
  <c r="M1508" i="1" s="1"/>
  <c r="N1508" i="1" s="1"/>
  <c r="J1505" i="1"/>
  <c r="K1505" i="1" s="1"/>
  <c r="M1505" i="1" s="1"/>
  <c r="N1505" i="1" s="1"/>
  <c r="K1500" i="1"/>
  <c r="M1500" i="1" s="1"/>
  <c r="N1500" i="1" s="1"/>
  <c r="K1496" i="1"/>
  <c r="M1496" i="1" s="1"/>
  <c r="N1496" i="1" s="1"/>
  <c r="J1493" i="1"/>
  <c r="K1493" i="1" s="1"/>
  <c r="M1493" i="1" s="1"/>
  <c r="N1493" i="1" s="1"/>
  <c r="K1492" i="1"/>
  <c r="M1492" i="1" s="1"/>
  <c r="N1492" i="1" s="1"/>
  <c r="J1489" i="1"/>
  <c r="K1489" i="1" s="1"/>
  <c r="M1489" i="1" s="1"/>
  <c r="N1489" i="1" s="1"/>
  <c r="J1485" i="1"/>
  <c r="K1485" i="1" s="1"/>
  <c r="M1485" i="1" s="1"/>
  <c r="N1485" i="1" s="1"/>
  <c r="J1473" i="1"/>
  <c r="K1473" i="1" s="1"/>
  <c r="M1473" i="1" s="1"/>
  <c r="N1473" i="1" s="1"/>
  <c r="K1472" i="1"/>
  <c r="M1472" i="1" s="1"/>
  <c r="N1472" i="1" s="1"/>
  <c r="J1469" i="1"/>
  <c r="K1469" i="1" s="1"/>
  <c r="M1469" i="1" s="1"/>
  <c r="N1469" i="1" s="1"/>
  <c r="K1468" i="1"/>
  <c r="M1468" i="1" s="1"/>
  <c r="N1468" i="1" s="1"/>
  <c r="J1465" i="1"/>
  <c r="K1465" i="1" s="1"/>
  <c r="M1465" i="1" s="1"/>
  <c r="N1465" i="1" s="1"/>
  <c r="K1464" i="1"/>
  <c r="M1464" i="1" s="1"/>
  <c r="N1464" i="1" s="1"/>
  <c r="J1461" i="1"/>
  <c r="K1461" i="1" s="1"/>
  <c r="M1461" i="1" s="1"/>
  <c r="N1461" i="1" s="1"/>
  <c r="K1460" i="1"/>
  <c r="M1460" i="1" s="1"/>
  <c r="N1460" i="1" s="1"/>
  <c r="J1457" i="1"/>
  <c r="K1457" i="1" s="1"/>
  <c r="M1457" i="1" s="1"/>
  <c r="N1457" i="1" s="1"/>
  <c r="J1453" i="1"/>
  <c r="K1453" i="1" s="1"/>
  <c r="M1453" i="1" s="1"/>
  <c r="N1453" i="1" s="1"/>
  <c r="K1452" i="1"/>
  <c r="M1452" i="1" s="1"/>
  <c r="N1452" i="1" s="1"/>
  <c r="K1448" i="1"/>
  <c r="M1448" i="1" s="1"/>
  <c r="N1448" i="1" s="1"/>
  <c r="J1441" i="1"/>
  <c r="K1441" i="1" s="1"/>
  <c r="M1441" i="1" s="1"/>
  <c r="N1441" i="1" s="1"/>
  <c r="K1436" i="1"/>
  <c r="M1436" i="1" s="1"/>
  <c r="N1436" i="1" s="1"/>
  <c r="J1433" i="1"/>
  <c r="K1433" i="1" s="1"/>
  <c r="M1433" i="1" s="1"/>
  <c r="N1433" i="1" s="1"/>
  <c r="K1567" i="1"/>
  <c r="M1567" i="1" s="1"/>
  <c r="N1567" i="1" s="1"/>
  <c r="K1563" i="1"/>
  <c r="M1563" i="1" s="1"/>
  <c r="N1563" i="1" s="1"/>
  <c r="K1527" i="1"/>
  <c r="M1527" i="1" s="1"/>
  <c r="N1527" i="1" s="1"/>
  <c r="K1523" i="1"/>
  <c r="M1523" i="1" s="1"/>
  <c r="N1523" i="1" s="1"/>
  <c r="K1507" i="1"/>
  <c r="M1507" i="1" s="1"/>
  <c r="N1507" i="1" s="1"/>
  <c r="K1503" i="1"/>
  <c r="M1503" i="1" s="1"/>
  <c r="N1503" i="1" s="1"/>
  <c r="K1499" i="1"/>
  <c r="M1499" i="1" s="1"/>
  <c r="N1499" i="1" s="1"/>
  <c r="K1491" i="1"/>
  <c r="M1491" i="1" s="1"/>
  <c r="N1491" i="1" s="1"/>
  <c r="K1479" i="1"/>
  <c r="M1479" i="1" s="1"/>
  <c r="N1479" i="1" s="1"/>
  <c r="K1475" i="1"/>
  <c r="M1475" i="1" s="1"/>
  <c r="N1475" i="1" s="1"/>
  <c r="K1471" i="1"/>
  <c r="M1471" i="1" s="1"/>
  <c r="N1471" i="1" s="1"/>
  <c r="K1467" i="1"/>
  <c r="M1467" i="1" s="1"/>
  <c r="N1467" i="1" s="1"/>
  <c r="K1463" i="1"/>
  <c r="M1463" i="1" s="1"/>
  <c r="N1463" i="1" s="1"/>
  <c r="K1447" i="1"/>
  <c r="M1447" i="1" s="1"/>
  <c r="N1447" i="1" s="1"/>
  <c r="K1439" i="1"/>
  <c r="M1439" i="1" s="1"/>
  <c r="N1439" i="1" s="1"/>
  <c r="K1562" i="1"/>
  <c r="M1562" i="1" s="1"/>
  <c r="N1562" i="1" s="1"/>
  <c r="K1558" i="1"/>
  <c r="M1558" i="1" s="1"/>
  <c r="N1558" i="1" s="1"/>
  <c r="K1554" i="1"/>
  <c r="M1554" i="1" s="1"/>
  <c r="N1554" i="1" s="1"/>
  <c r="K1550" i="1"/>
  <c r="M1550" i="1" s="1"/>
  <c r="N1550" i="1" s="1"/>
  <c r="K1546" i="1"/>
  <c r="M1546" i="1" s="1"/>
  <c r="N1546" i="1" s="1"/>
  <c r="K1526" i="1"/>
  <c r="M1526" i="1" s="1"/>
  <c r="N1526" i="1" s="1"/>
  <c r="K1522" i="1"/>
  <c r="M1522" i="1" s="1"/>
  <c r="N1522" i="1" s="1"/>
  <c r="K1510" i="1"/>
  <c r="M1510" i="1" s="1"/>
  <c r="N1510" i="1" s="1"/>
  <c r="K1506" i="1"/>
  <c r="M1506" i="1" s="1"/>
  <c r="N1506" i="1" s="1"/>
  <c r="K1502" i="1"/>
  <c r="M1502" i="1" s="1"/>
  <c r="N1502" i="1" s="1"/>
  <c r="K1494" i="1"/>
  <c r="M1494" i="1" s="1"/>
  <c r="N1494" i="1" s="1"/>
  <c r="K1490" i="1"/>
  <c r="M1490" i="1" s="1"/>
  <c r="N1490" i="1" s="1"/>
  <c r="K1486" i="1"/>
  <c r="M1486" i="1" s="1"/>
  <c r="N1486" i="1" s="1"/>
  <c r="K1474" i="1"/>
  <c r="M1474" i="1" s="1"/>
  <c r="N1474" i="1" s="1"/>
  <c r="K1470" i="1"/>
  <c r="M1470" i="1" s="1"/>
  <c r="N1470" i="1" s="1"/>
  <c r="K1462" i="1"/>
  <c r="M1462" i="1" s="1"/>
  <c r="N1462" i="1" s="1"/>
  <c r="K1458" i="1"/>
  <c r="M1458" i="1" s="1"/>
  <c r="N1458" i="1" s="1"/>
  <c r="K1442" i="1"/>
  <c r="M1442" i="1" s="1"/>
  <c r="N1442" i="1" s="1"/>
  <c r="K1438" i="1"/>
  <c r="M1438" i="1" s="1"/>
  <c r="N1438" i="1" s="1"/>
  <c r="K1434" i="1"/>
  <c r="M1434" i="1" s="1"/>
  <c r="N1434" i="1" s="1"/>
  <c r="J1427" i="1"/>
  <c r="K1427" i="1" s="1"/>
  <c r="M1427" i="1" s="1"/>
  <c r="N1427" i="1" s="1"/>
  <c r="K1426" i="1"/>
  <c r="M1426" i="1" s="1"/>
  <c r="N1426" i="1" s="1"/>
  <c r="J1419" i="1"/>
  <c r="K1419" i="1" s="1"/>
  <c r="M1419" i="1" s="1"/>
  <c r="N1419" i="1" s="1"/>
  <c r="K1414" i="1"/>
  <c r="M1414" i="1" s="1"/>
  <c r="N1414" i="1" s="1"/>
  <c r="J1411" i="1"/>
  <c r="K1411" i="1" s="1"/>
  <c r="M1411" i="1" s="1"/>
  <c r="N1411" i="1" s="1"/>
  <c r="K1410" i="1"/>
  <c r="M1410" i="1" s="1"/>
  <c r="N1410" i="1" s="1"/>
  <c r="J1403" i="1"/>
  <c r="K1403" i="1" s="1"/>
  <c r="M1403" i="1" s="1"/>
  <c r="N1403" i="1" s="1"/>
  <c r="K1386" i="1"/>
  <c r="M1386" i="1" s="1"/>
  <c r="N1386" i="1" s="1"/>
  <c r="J1383" i="1"/>
  <c r="K1383" i="1" s="1"/>
  <c r="M1383" i="1" s="1"/>
  <c r="N1383" i="1" s="1"/>
  <c r="K1378" i="1"/>
  <c r="M1378" i="1" s="1"/>
  <c r="N1378" i="1" s="1"/>
  <c r="J1375" i="1"/>
  <c r="K1375" i="1" s="1"/>
  <c r="M1375" i="1" s="1"/>
  <c r="N1375" i="1" s="1"/>
  <c r="K1374" i="1"/>
  <c r="M1374" i="1" s="1"/>
  <c r="N1374" i="1" s="1"/>
  <c r="J1371" i="1"/>
  <c r="K1371" i="1" s="1"/>
  <c r="M1371" i="1" s="1"/>
  <c r="N1371" i="1" s="1"/>
  <c r="J1367" i="1"/>
  <c r="K1367" i="1" s="1"/>
  <c r="M1367" i="1" s="1"/>
  <c r="N1367" i="1" s="1"/>
  <c r="J1363" i="1"/>
  <c r="K1363" i="1" s="1"/>
  <c r="M1363" i="1" s="1"/>
  <c r="N1363" i="1" s="1"/>
  <c r="J1359" i="1"/>
  <c r="K1359" i="1" s="1"/>
  <c r="M1359" i="1" s="1"/>
  <c r="N1359" i="1" s="1"/>
  <c r="K1358" i="1"/>
  <c r="M1358" i="1" s="1"/>
  <c r="N1358" i="1" s="1"/>
  <c r="J1355" i="1"/>
  <c r="K1355" i="1" s="1"/>
  <c r="M1355" i="1" s="1"/>
  <c r="N1355" i="1" s="1"/>
  <c r="K1354" i="1"/>
  <c r="M1354" i="1" s="1"/>
  <c r="N1354" i="1" s="1"/>
  <c r="K1346" i="1"/>
  <c r="M1346" i="1" s="1"/>
  <c r="N1346" i="1" s="1"/>
  <c r="J1343" i="1"/>
  <c r="K1343" i="1" s="1"/>
  <c r="M1343" i="1" s="1"/>
  <c r="N1343" i="1" s="1"/>
  <c r="J1339" i="1"/>
  <c r="K1339" i="1" s="1"/>
  <c r="M1339" i="1" s="1"/>
  <c r="N1339" i="1" s="1"/>
  <c r="J1335" i="1"/>
  <c r="K1335" i="1" s="1"/>
  <c r="M1335" i="1" s="1"/>
  <c r="N1335" i="1" s="1"/>
  <c r="K1334" i="1"/>
  <c r="M1334" i="1" s="1"/>
  <c r="N1334" i="1" s="1"/>
  <c r="J1331" i="1"/>
  <c r="K1331" i="1" s="1"/>
  <c r="M1331" i="1" s="1"/>
  <c r="N1331" i="1" s="1"/>
  <c r="K1330" i="1"/>
  <c r="M1330" i="1" s="1"/>
  <c r="N1330" i="1" s="1"/>
  <c r="K1326" i="1"/>
  <c r="M1326" i="1" s="1"/>
  <c r="N1326" i="1" s="1"/>
  <c r="K1322" i="1"/>
  <c r="M1322" i="1" s="1"/>
  <c r="N1322" i="1" s="1"/>
  <c r="J1319" i="1"/>
  <c r="K1319" i="1" s="1"/>
  <c r="M1319" i="1" s="1"/>
  <c r="N1319" i="1" s="1"/>
  <c r="K1318" i="1"/>
  <c r="M1318" i="1" s="1"/>
  <c r="N1318" i="1" s="1"/>
  <c r="J1311" i="1"/>
  <c r="K1311" i="1" s="1"/>
  <c r="M1311" i="1" s="1"/>
  <c r="N1311" i="1" s="1"/>
  <c r="J1307" i="1"/>
  <c r="K1307" i="1" s="1"/>
  <c r="M1307" i="1" s="1"/>
  <c r="N1307" i="1" s="1"/>
  <c r="J1303" i="1"/>
  <c r="K1303" i="1" s="1"/>
  <c r="M1303" i="1" s="1"/>
  <c r="N1303" i="1" s="1"/>
  <c r="K1302" i="1"/>
  <c r="M1302" i="1" s="1"/>
  <c r="N1302" i="1" s="1"/>
  <c r="J1299" i="1"/>
  <c r="K1299" i="1" s="1"/>
  <c r="M1299" i="1" s="1"/>
  <c r="N1299" i="1" s="1"/>
  <c r="K1298" i="1"/>
  <c r="M1298" i="1" s="1"/>
  <c r="N1298" i="1" s="1"/>
  <c r="K1294" i="1"/>
  <c r="M1294" i="1" s="1"/>
  <c r="N1294" i="1" s="1"/>
  <c r="J1291" i="1"/>
  <c r="K1291" i="1" s="1"/>
  <c r="M1291" i="1" s="1"/>
  <c r="N1291" i="1" s="1"/>
  <c r="K1290" i="1"/>
  <c r="M1290" i="1" s="1"/>
  <c r="N1290" i="1" s="1"/>
  <c r="J1287" i="1"/>
  <c r="K1287" i="1" s="1"/>
  <c r="M1287" i="1" s="1"/>
  <c r="N1287" i="1" s="1"/>
  <c r="K1286" i="1"/>
  <c r="M1286" i="1" s="1"/>
  <c r="N1286" i="1" s="1"/>
  <c r="J1283" i="1"/>
  <c r="K1283" i="1" s="1"/>
  <c r="M1283" i="1" s="1"/>
  <c r="N1283" i="1" s="1"/>
  <c r="K1282" i="1"/>
  <c r="M1282" i="1" s="1"/>
  <c r="N1282" i="1" s="1"/>
  <c r="J1279" i="1"/>
  <c r="K1279" i="1" s="1"/>
  <c r="M1279" i="1" s="1"/>
  <c r="N1279" i="1" s="1"/>
  <c r="J1271" i="1"/>
  <c r="K1271" i="1" s="1"/>
  <c r="M1271" i="1" s="1"/>
  <c r="N1271" i="1" s="1"/>
  <c r="J1267" i="1"/>
  <c r="K1267" i="1" s="1"/>
  <c r="M1267" i="1" s="1"/>
  <c r="N1267" i="1" s="1"/>
  <c r="K1262" i="1"/>
  <c r="M1262" i="1" s="1"/>
  <c r="N1262" i="1" s="1"/>
  <c r="K1258" i="1"/>
  <c r="M1258" i="1" s="1"/>
  <c r="N1258" i="1" s="1"/>
  <c r="J1255" i="1"/>
  <c r="K1255" i="1" s="1"/>
  <c r="M1255" i="1" s="1"/>
  <c r="N1255" i="1" s="1"/>
  <c r="K1254" i="1"/>
  <c r="M1254" i="1" s="1"/>
  <c r="N1254" i="1" s="1"/>
  <c r="K1246" i="1"/>
  <c r="M1246" i="1" s="1"/>
  <c r="N1246" i="1" s="1"/>
  <c r="J1235" i="1"/>
  <c r="K1235" i="1" s="1"/>
  <c r="M1235" i="1" s="1"/>
  <c r="N1235" i="1" s="1"/>
  <c r="K1230" i="1"/>
  <c r="M1230" i="1" s="1"/>
  <c r="N1230" i="1" s="1"/>
  <c r="K1226" i="1"/>
  <c r="M1226" i="1" s="1"/>
  <c r="N1226" i="1" s="1"/>
  <c r="K1222" i="1"/>
  <c r="M1222" i="1" s="1"/>
  <c r="N1222" i="1" s="1"/>
  <c r="J1219" i="1"/>
  <c r="K1219" i="1" s="1"/>
  <c r="M1219" i="1" s="1"/>
  <c r="N1219" i="1" s="1"/>
  <c r="K1218" i="1"/>
  <c r="M1218" i="1" s="1"/>
  <c r="N1218" i="1" s="1"/>
  <c r="K1206" i="1"/>
  <c r="M1206" i="1" s="1"/>
  <c r="N1206" i="1" s="1"/>
  <c r="J1203" i="1"/>
  <c r="K1203" i="1" s="1"/>
  <c r="M1203" i="1" s="1"/>
  <c r="N1203" i="1" s="1"/>
  <c r="K1202" i="1"/>
  <c r="M1202" i="1" s="1"/>
  <c r="N1202" i="1" s="1"/>
  <c r="J1199" i="1"/>
  <c r="K1199" i="1" s="1"/>
  <c r="M1199" i="1" s="1"/>
  <c r="N1199" i="1" s="1"/>
  <c r="K1198" i="1"/>
  <c r="M1198" i="1" s="1"/>
  <c r="N1198" i="1" s="1"/>
  <c r="J1195" i="1"/>
  <c r="K1195" i="1" s="1"/>
  <c r="M1195" i="1" s="1"/>
  <c r="N1195" i="1" s="1"/>
  <c r="J1191" i="1"/>
  <c r="K1191" i="1" s="1"/>
  <c r="M1191" i="1" s="1"/>
  <c r="N1191" i="1" s="1"/>
  <c r="K1190" i="1"/>
  <c r="M1190" i="1" s="1"/>
  <c r="N1190" i="1" s="1"/>
  <c r="K1186" i="1"/>
  <c r="M1186" i="1" s="1"/>
  <c r="N1186" i="1" s="1"/>
  <c r="J1179" i="1"/>
  <c r="K1179" i="1" s="1"/>
  <c r="M1179" i="1" s="1"/>
  <c r="N1179" i="1" s="1"/>
  <c r="K1178" i="1"/>
  <c r="M1178" i="1" s="1"/>
  <c r="N1178" i="1" s="1"/>
  <c r="K1174" i="1"/>
  <c r="M1174" i="1" s="1"/>
  <c r="N1174" i="1" s="1"/>
  <c r="J1171" i="1"/>
  <c r="K1171" i="1" s="1"/>
  <c r="M1171" i="1" s="1"/>
  <c r="N1171" i="1" s="1"/>
  <c r="K1170" i="1"/>
  <c r="M1170" i="1" s="1"/>
  <c r="N1170" i="1" s="1"/>
  <c r="K1166" i="1"/>
  <c r="M1166" i="1" s="1"/>
  <c r="N1166" i="1" s="1"/>
  <c r="K1162" i="1"/>
  <c r="M1162" i="1" s="1"/>
  <c r="N1162" i="1" s="1"/>
  <c r="J1159" i="1"/>
  <c r="K1159" i="1" s="1"/>
  <c r="M1159" i="1" s="1"/>
  <c r="N1159" i="1" s="1"/>
  <c r="J1155" i="1"/>
  <c r="K1155" i="1" s="1"/>
  <c r="M1155" i="1" s="1"/>
  <c r="N1155" i="1" s="1"/>
  <c r="J1151" i="1"/>
  <c r="K1151" i="1" s="1"/>
  <c r="M1151" i="1" s="1"/>
  <c r="N1151" i="1" s="1"/>
  <c r="K1150" i="1"/>
  <c r="M1150" i="1" s="1"/>
  <c r="N1150" i="1" s="1"/>
  <c r="K1146" i="1"/>
  <c r="M1146" i="1" s="1"/>
  <c r="N1146" i="1" s="1"/>
  <c r="K1142" i="1"/>
  <c r="M1142" i="1" s="1"/>
  <c r="N1142" i="1" s="1"/>
  <c r="J1139" i="1"/>
  <c r="K1139" i="1" s="1"/>
  <c r="M1139" i="1" s="1"/>
  <c r="N1139" i="1" s="1"/>
  <c r="K1138" i="1"/>
  <c r="M1138" i="1" s="1"/>
  <c r="N1138" i="1" s="1"/>
  <c r="K1130" i="1"/>
  <c r="M1130" i="1" s="1"/>
  <c r="N1130" i="1" s="1"/>
  <c r="K1122" i="1"/>
  <c r="M1122" i="1" s="1"/>
  <c r="N1122" i="1" s="1"/>
  <c r="J1119" i="1"/>
  <c r="K1119" i="1" s="1"/>
  <c r="M1119" i="1" s="1"/>
  <c r="N1119" i="1" s="1"/>
  <c r="K1114" i="1"/>
  <c r="M1114" i="1" s="1"/>
  <c r="N1114" i="1" s="1"/>
  <c r="J1111" i="1"/>
  <c r="K1111" i="1" s="1"/>
  <c r="M1111" i="1" s="1"/>
  <c r="N1111" i="1" s="1"/>
  <c r="K1106" i="1"/>
  <c r="M1106" i="1" s="1"/>
  <c r="N1106" i="1" s="1"/>
  <c r="K1102" i="1"/>
  <c r="M1102" i="1" s="1"/>
  <c r="N1102" i="1" s="1"/>
  <c r="J1079" i="1"/>
  <c r="K1079" i="1" s="1"/>
  <c r="M1079" i="1" s="1"/>
  <c r="N1079" i="1" s="1"/>
  <c r="J1072" i="1"/>
  <c r="K1072" i="1" s="1"/>
  <c r="M1072" i="1" s="1"/>
  <c r="N1072" i="1" s="1"/>
  <c r="J1065" i="1"/>
  <c r="K1065" i="1" s="1"/>
  <c r="M1065" i="1" s="1"/>
  <c r="N1065" i="1" s="1"/>
  <c r="J1063" i="1"/>
  <c r="K1063" i="1" s="1"/>
  <c r="M1063" i="1" s="1"/>
  <c r="N1063" i="1" s="1"/>
  <c r="J1056" i="1"/>
  <c r="K1056" i="1" s="1"/>
  <c r="M1056" i="1" s="1"/>
  <c r="N1056" i="1" s="1"/>
  <c r="J1043" i="1"/>
  <c r="K1043" i="1" s="1"/>
  <c r="M1043" i="1" s="1"/>
  <c r="N1043" i="1" s="1"/>
  <c r="J1040" i="1"/>
  <c r="K1040" i="1" s="1"/>
  <c r="M1040" i="1" s="1"/>
  <c r="N1040" i="1" s="1"/>
  <c r="J1037" i="1"/>
  <c r="K1037" i="1" s="1"/>
  <c r="M1037" i="1" s="1"/>
  <c r="N1037" i="1" s="1"/>
  <c r="J1027" i="1"/>
  <c r="K1027" i="1" s="1"/>
  <c r="M1027" i="1" s="1"/>
  <c r="N1027" i="1" s="1"/>
  <c r="J1024" i="1"/>
  <c r="K1024" i="1" s="1"/>
  <c r="M1024" i="1" s="1"/>
  <c r="N1024" i="1" s="1"/>
  <c r="J1021" i="1"/>
  <c r="K1021" i="1" s="1"/>
  <c r="M1021" i="1" s="1"/>
  <c r="N1021" i="1" s="1"/>
  <c r="J1011" i="1"/>
  <c r="K1011" i="1" s="1"/>
  <c r="M1011" i="1" s="1"/>
  <c r="N1011" i="1" s="1"/>
  <c r="J1008" i="1"/>
  <c r="K1008" i="1" s="1"/>
  <c r="M1008" i="1" s="1"/>
  <c r="N1008" i="1" s="1"/>
  <c r="J1005" i="1"/>
  <c r="K1005" i="1" s="1"/>
  <c r="M1005" i="1" s="1"/>
  <c r="N1005" i="1" s="1"/>
  <c r="J995" i="1"/>
  <c r="K995" i="1" s="1"/>
  <c r="M995" i="1" s="1"/>
  <c r="N995" i="1" s="1"/>
  <c r="J992" i="1"/>
  <c r="K992" i="1" s="1"/>
  <c r="M992" i="1" s="1"/>
  <c r="N992" i="1" s="1"/>
  <c r="J989" i="1"/>
  <c r="K989" i="1" s="1"/>
  <c r="M989" i="1" s="1"/>
  <c r="N989" i="1" s="1"/>
  <c r="J979" i="1"/>
  <c r="K979" i="1" s="1"/>
  <c r="M979" i="1" s="1"/>
  <c r="N979" i="1" s="1"/>
  <c r="J976" i="1"/>
  <c r="K976" i="1" s="1"/>
  <c r="M976" i="1" s="1"/>
  <c r="N976" i="1" s="1"/>
  <c r="J973" i="1"/>
  <c r="K973" i="1" s="1"/>
  <c r="M973" i="1" s="1"/>
  <c r="N973" i="1" s="1"/>
  <c r="J963" i="1"/>
  <c r="K963" i="1" s="1"/>
  <c r="M963" i="1" s="1"/>
  <c r="N963" i="1" s="1"/>
  <c r="J960" i="1"/>
  <c r="K960" i="1" s="1"/>
  <c r="M960" i="1" s="1"/>
  <c r="N960" i="1" s="1"/>
  <c r="J957" i="1"/>
  <c r="K957" i="1" s="1"/>
  <c r="M957" i="1" s="1"/>
  <c r="N957" i="1" s="1"/>
  <c r="J947" i="1"/>
  <c r="K947" i="1" s="1"/>
  <c r="M947" i="1" s="1"/>
  <c r="N947" i="1" s="1"/>
  <c r="J944" i="1"/>
  <c r="K944" i="1" s="1"/>
  <c r="M944" i="1" s="1"/>
  <c r="N944" i="1" s="1"/>
  <c r="J941" i="1"/>
  <c r="K941" i="1" s="1"/>
  <c r="M941" i="1" s="1"/>
  <c r="N941" i="1" s="1"/>
  <c r="J931" i="1"/>
  <c r="K931" i="1" s="1"/>
  <c r="M931" i="1" s="1"/>
  <c r="N931" i="1" s="1"/>
  <c r="J928" i="1"/>
  <c r="K928" i="1" s="1"/>
  <c r="M928" i="1" s="1"/>
  <c r="N928" i="1" s="1"/>
  <c r="J925" i="1"/>
  <c r="K925" i="1" s="1"/>
  <c r="M925" i="1" s="1"/>
  <c r="N925" i="1" s="1"/>
  <c r="K1425" i="1"/>
  <c r="M1425" i="1" s="1"/>
  <c r="N1425" i="1" s="1"/>
  <c r="K1421" i="1"/>
  <c r="M1421" i="1" s="1"/>
  <c r="N1421" i="1" s="1"/>
  <c r="K1413" i="1"/>
  <c r="M1413" i="1" s="1"/>
  <c r="N1413" i="1" s="1"/>
  <c r="K1409" i="1"/>
  <c r="M1409" i="1" s="1"/>
  <c r="N1409" i="1" s="1"/>
  <c r="K1397" i="1"/>
  <c r="M1397" i="1" s="1"/>
  <c r="N1397" i="1" s="1"/>
  <c r="K1393" i="1"/>
  <c r="M1393" i="1" s="1"/>
  <c r="N1393" i="1" s="1"/>
  <c r="K1389" i="1"/>
  <c r="M1389" i="1" s="1"/>
  <c r="N1389" i="1" s="1"/>
  <c r="K1381" i="1"/>
  <c r="M1381" i="1" s="1"/>
  <c r="N1381" i="1" s="1"/>
  <c r="K1377" i="1"/>
  <c r="M1377" i="1" s="1"/>
  <c r="N1377" i="1" s="1"/>
  <c r="K1373" i="1"/>
  <c r="M1373" i="1" s="1"/>
  <c r="N1373" i="1" s="1"/>
  <c r="K1361" i="1"/>
  <c r="M1361" i="1" s="1"/>
  <c r="N1361" i="1" s="1"/>
  <c r="K1357" i="1"/>
  <c r="M1357" i="1" s="1"/>
  <c r="N1357" i="1" s="1"/>
  <c r="K1353" i="1"/>
  <c r="M1353" i="1" s="1"/>
  <c r="N1353" i="1" s="1"/>
  <c r="K1349" i="1"/>
  <c r="M1349" i="1" s="1"/>
  <c r="N1349" i="1" s="1"/>
  <c r="K1345" i="1"/>
  <c r="M1345" i="1" s="1"/>
  <c r="N1345" i="1" s="1"/>
  <c r="K1333" i="1"/>
  <c r="M1333" i="1" s="1"/>
  <c r="N1333" i="1" s="1"/>
  <c r="K1329" i="1"/>
  <c r="M1329" i="1" s="1"/>
  <c r="N1329" i="1" s="1"/>
  <c r="K1325" i="1"/>
  <c r="M1325" i="1" s="1"/>
  <c r="N1325" i="1" s="1"/>
  <c r="K1321" i="1"/>
  <c r="M1321" i="1" s="1"/>
  <c r="N1321" i="1" s="1"/>
  <c r="K1317" i="1"/>
  <c r="M1317" i="1" s="1"/>
  <c r="N1317" i="1" s="1"/>
  <c r="K1305" i="1"/>
  <c r="M1305" i="1" s="1"/>
  <c r="N1305" i="1" s="1"/>
  <c r="K1297" i="1"/>
  <c r="M1297" i="1" s="1"/>
  <c r="N1297" i="1" s="1"/>
  <c r="K1293" i="1"/>
  <c r="M1293" i="1" s="1"/>
  <c r="N1293" i="1" s="1"/>
  <c r="K1289" i="1"/>
  <c r="M1289" i="1" s="1"/>
  <c r="N1289" i="1" s="1"/>
  <c r="K1277" i="1"/>
  <c r="M1277" i="1" s="1"/>
  <c r="N1277" i="1" s="1"/>
  <c r="K1273" i="1"/>
  <c r="M1273" i="1" s="1"/>
  <c r="N1273" i="1" s="1"/>
  <c r="K1269" i="1"/>
  <c r="M1269" i="1" s="1"/>
  <c r="N1269" i="1" s="1"/>
  <c r="K1265" i="1"/>
  <c r="M1265" i="1" s="1"/>
  <c r="N1265" i="1" s="1"/>
  <c r="K1257" i="1"/>
  <c r="M1257" i="1" s="1"/>
  <c r="N1257" i="1" s="1"/>
  <c r="K1249" i="1"/>
  <c r="M1249" i="1" s="1"/>
  <c r="N1249" i="1" s="1"/>
  <c r="K1241" i="1"/>
  <c r="M1241" i="1" s="1"/>
  <c r="N1241" i="1" s="1"/>
  <c r="K1233" i="1"/>
  <c r="M1233" i="1" s="1"/>
  <c r="N1233" i="1" s="1"/>
  <c r="K1229" i="1"/>
  <c r="M1229" i="1" s="1"/>
  <c r="N1229" i="1" s="1"/>
  <c r="K1225" i="1"/>
  <c r="M1225" i="1" s="1"/>
  <c r="N1225" i="1" s="1"/>
  <c r="K1221" i="1"/>
  <c r="M1221" i="1" s="1"/>
  <c r="N1221" i="1" s="1"/>
  <c r="K1217" i="1"/>
  <c r="M1217" i="1" s="1"/>
  <c r="N1217" i="1" s="1"/>
  <c r="K1209" i="1"/>
  <c r="M1209" i="1" s="1"/>
  <c r="N1209" i="1" s="1"/>
  <c r="K1205" i="1"/>
  <c r="M1205" i="1" s="1"/>
  <c r="N1205" i="1" s="1"/>
  <c r="K1201" i="1"/>
  <c r="M1201" i="1" s="1"/>
  <c r="N1201" i="1" s="1"/>
  <c r="K1193" i="1"/>
  <c r="M1193" i="1" s="1"/>
  <c r="N1193" i="1" s="1"/>
  <c r="K1189" i="1"/>
  <c r="M1189" i="1" s="1"/>
  <c r="N1189" i="1" s="1"/>
  <c r="K1181" i="1"/>
  <c r="M1181" i="1" s="1"/>
  <c r="N1181" i="1" s="1"/>
  <c r="K1177" i="1"/>
  <c r="M1177" i="1" s="1"/>
  <c r="N1177" i="1" s="1"/>
  <c r="K1173" i="1"/>
  <c r="M1173" i="1" s="1"/>
  <c r="N1173" i="1" s="1"/>
  <c r="K1165" i="1"/>
  <c r="M1165" i="1" s="1"/>
  <c r="N1165" i="1" s="1"/>
  <c r="K1161" i="1"/>
  <c r="M1161" i="1" s="1"/>
  <c r="N1161" i="1" s="1"/>
  <c r="K1149" i="1"/>
  <c r="M1149" i="1" s="1"/>
  <c r="N1149" i="1" s="1"/>
  <c r="K1145" i="1"/>
  <c r="M1145" i="1" s="1"/>
  <c r="N1145" i="1" s="1"/>
  <c r="K1137" i="1"/>
  <c r="M1137" i="1" s="1"/>
  <c r="N1137" i="1" s="1"/>
  <c r="K1133" i="1"/>
  <c r="M1133" i="1" s="1"/>
  <c r="N1133" i="1" s="1"/>
  <c r="K1129" i="1"/>
  <c r="M1129" i="1" s="1"/>
  <c r="N1129" i="1" s="1"/>
  <c r="K1121" i="1"/>
  <c r="M1121" i="1" s="1"/>
  <c r="N1121" i="1" s="1"/>
  <c r="K1117" i="1"/>
  <c r="M1117" i="1" s="1"/>
  <c r="N1117" i="1" s="1"/>
  <c r="K1095" i="1"/>
  <c r="M1095" i="1" s="1"/>
  <c r="N1095" i="1" s="1"/>
  <c r="K1091" i="1"/>
  <c r="M1091" i="1" s="1"/>
  <c r="N1091" i="1" s="1"/>
  <c r="K1087" i="1"/>
  <c r="M1087" i="1" s="1"/>
  <c r="N1087" i="1" s="1"/>
  <c r="K1083" i="1"/>
  <c r="M1083" i="1" s="1"/>
  <c r="N1083" i="1" s="1"/>
  <c r="J1077" i="1"/>
  <c r="K1077" i="1" s="1"/>
  <c r="M1077" i="1" s="1"/>
  <c r="N1077" i="1" s="1"/>
  <c r="J1075" i="1"/>
  <c r="K1075" i="1" s="1"/>
  <c r="M1075" i="1" s="1"/>
  <c r="N1075" i="1" s="1"/>
  <c r="J1068" i="1"/>
  <c r="K1068" i="1" s="1"/>
  <c r="M1068" i="1" s="1"/>
  <c r="N1068" i="1" s="1"/>
  <c r="J1061" i="1"/>
  <c r="K1061" i="1" s="1"/>
  <c r="M1061" i="1" s="1"/>
  <c r="N1061" i="1" s="1"/>
  <c r="J1059" i="1"/>
  <c r="K1059" i="1" s="1"/>
  <c r="M1059" i="1" s="1"/>
  <c r="N1059" i="1" s="1"/>
  <c r="J1052" i="1"/>
  <c r="K1052" i="1" s="1"/>
  <c r="M1052" i="1" s="1"/>
  <c r="N1052" i="1" s="1"/>
  <c r="J1049" i="1"/>
  <c r="K1049" i="1" s="1"/>
  <c r="M1049" i="1" s="1"/>
  <c r="N1049" i="1" s="1"/>
  <c r="J1039" i="1"/>
  <c r="K1039" i="1" s="1"/>
  <c r="M1039" i="1" s="1"/>
  <c r="N1039" i="1" s="1"/>
  <c r="J1036" i="1"/>
  <c r="K1036" i="1" s="1"/>
  <c r="M1036" i="1" s="1"/>
  <c r="N1036" i="1" s="1"/>
  <c r="J1033" i="1"/>
  <c r="K1033" i="1" s="1"/>
  <c r="M1033" i="1" s="1"/>
  <c r="N1033" i="1" s="1"/>
  <c r="J1023" i="1"/>
  <c r="K1023" i="1" s="1"/>
  <c r="M1023" i="1" s="1"/>
  <c r="N1023" i="1" s="1"/>
  <c r="J1020" i="1"/>
  <c r="K1020" i="1" s="1"/>
  <c r="M1020" i="1" s="1"/>
  <c r="N1020" i="1" s="1"/>
  <c r="J1017" i="1"/>
  <c r="K1017" i="1" s="1"/>
  <c r="M1017" i="1" s="1"/>
  <c r="N1017" i="1" s="1"/>
  <c r="J1007" i="1"/>
  <c r="K1007" i="1" s="1"/>
  <c r="M1007" i="1" s="1"/>
  <c r="N1007" i="1" s="1"/>
  <c r="J1004" i="1"/>
  <c r="K1004" i="1" s="1"/>
  <c r="M1004" i="1" s="1"/>
  <c r="N1004" i="1" s="1"/>
  <c r="J1001" i="1"/>
  <c r="K1001" i="1" s="1"/>
  <c r="M1001" i="1" s="1"/>
  <c r="N1001" i="1" s="1"/>
  <c r="J991" i="1"/>
  <c r="K991" i="1" s="1"/>
  <c r="M991" i="1" s="1"/>
  <c r="N991" i="1" s="1"/>
  <c r="J988" i="1"/>
  <c r="K988" i="1" s="1"/>
  <c r="M988" i="1" s="1"/>
  <c r="N988" i="1" s="1"/>
  <c r="J985" i="1"/>
  <c r="K985" i="1" s="1"/>
  <c r="M985" i="1" s="1"/>
  <c r="N985" i="1" s="1"/>
  <c r="J975" i="1"/>
  <c r="K975" i="1" s="1"/>
  <c r="M975" i="1" s="1"/>
  <c r="N975" i="1" s="1"/>
  <c r="J972" i="1"/>
  <c r="K972" i="1" s="1"/>
  <c r="M972" i="1" s="1"/>
  <c r="N972" i="1" s="1"/>
  <c r="J969" i="1"/>
  <c r="K969" i="1" s="1"/>
  <c r="M969" i="1" s="1"/>
  <c r="N969" i="1" s="1"/>
  <c r="J959" i="1"/>
  <c r="K959" i="1" s="1"/>
  <c r="M959" i="1" s="1"/>
  <c r="N959" i="1" s="1"/>
  <c r="J956" i="1"/>
  <c r="K956" i="1" s="1"/>
  <c r="M956" i="1" s="1"/>
  <c r="N956" i="1" s="1"/>
  <c r="J953" i="1"/>
  <c r="K953" i="1" s="1"/>
  <c r="M953" i="1" s="1"/>
  <c r="N953" i="1" s="1"/>
  <c r="J943" i="1"/>
  <c r="K943" i="1" s="1"/>
  <c r="M943" i="1" s="1"/>
  <c r="N943" i="1" s="1"/>
  <c r="J940" i="1"/>
  <c r="K940" i="1" s="1"/>
  <c r="M940" i="1" s="1"/>
  <c r="N940" i="1" s="1"/>
  <c r="J937" i="1"/>
  <c r="K937" i="1" s="1"/>
  <c r="M937" i="1" s="1"/>
  <c r="N937" i="1" s="1"/>
  <c r="J927" i="1"/>
  <c r="K927" i="1" s="1"/>
  <c r="M927" i="1" s="1"/>
  <c r="N927" i="1" s="1"/>
  <c r="K1428" i="1"/>
  <c r="M1428" i="1" s="1"/>
  <c r="N1428" i="1" s="1"/>
  <c r="K1424" i="1"/>
  <c r="M1424" i="1" s="1"/>
  <c r="N1424" i="1" s="1"/>
  <c r="K1416" i="1"/>
  <c r="M1416" i="1" s="1"/>
  <c r="N1416" i="1" s="1"/>
  <c r="K1412" i="1"/>
  <c r="M1412" i="1" s="1"/>
  <c r="N1412" i="1" s="1"/>
  <c r="K1408" i="1"/>
  <c r="M1408" i="1" s="1"/>
  <c r="N1408" i="1" s="1"/>
  <c r="K1404" i="1"/>
  <c r="M1404" i="1" s="1"/>
  <c r="N1404" i="1" s="1"/>
  <c r="K1400" i="1"/>
  <c r="M1400" i="1" s="1"/>
  <c r="N1400" i="1" s="1"/>
  <c r="K1392" i="1"/>
  <c r="M1392" i="1" s="1"/>
  <c r="N1392" i="1" s="1"/>
  <c r="K1388" i="1"/>
  <c r="M1388" i="1" s="1"/>
  <c r="N1388" i="1" s="1"/>
  <c r="K1384" i="1"/>
  <c r="M1384" i="1" s="1"/>
  <c r="N1384" i="1" s="1"/>
  <c r="K1376" i="1"/>
  <c r="M1376" i="1" s="1"/>
  <c r="N1376" i="1" s="1"/>
  <c r="K1372" i="1"/>
  <c r="M1372" i="1" s="1"/>
  <c r="N1372" i="1" s="1"/>
  <c r="K1368" i="1"/>
  <c r="M1368" i="1" s="1"/>
  <c r="N1368" i="1" s="1"/>
  <c r="K1364" i="1"/>
  <c r="M1364" i="1" s="1"/>
  <c r="N1364" i="1" s="1"/>
  <c r="K1356" i="1"/>
  <c r="M1356" i="1" s="1"/>
  <c r="N1356" i="1" s="1"/>
  <c r="K1332" i="1"/>
  <c r="M1332" i="1" s="1"/>
  <c r="N1332" i="1" s="1"/>
  <c r="K1324" i="1"/>
  <c r="M1324" i="1" s="1"/>
  <c r="N1324" i="1" s="1"/>
  <c r="K1320" i="1"/>
  <c r="M1320" i="1" s="1"/>
  <c r="N1320" i="1" s="1"/>
  <c r="K1316" i="1"/>
  <c r="M1316" i="1" s="1"/>
  <c r="N1316" i="1" s="1"/>
  <c r="K1312" i="1"/>
  <c r="M1312" i="1" s="1"/>
  <c r="N1312" i="1" s="1"/>
  <c r="K1308" i="1"/>
  <c r="M1308" i="1" s="1"/>
  <c r="N1308" i="1" s="1"/>
  <c r="K1304" i="1"/>
  <c r="M1304" i="1" s="1"/>
  <c r="N1304" i="1" s="1"/>
  <c r="K1296" i="1"/>
  <c r="M1296" i="1" s="1"/>
  <c r="N1296" i="1" s="1"/>
  <c r="K1288" i="1"/>
  <c r="M1288" i="1" s="1"/>
  <c r="N1288" i="1" s="1"/>
  <c r="K1284" i="1"/>
  <c r="M1284" i="1" s="1"/>
  <c r="N1284" i="1" s="1"/>
  <c r="K1276" i="1"/>
  <c r="M1276" i="1" s="1"/>
  <c r="N1276" i="1" s="1"/>
  <c r="K1272" i="1"/>
  <c r="M1272" i="1" s="1"/>
  <c r="N1272" i="1" s="1"/>
  <c r="K1268" i="1"/>
  <c r="M1268" i="1" s="1"/>
  <c r="N1268" i="1" s="1"/>
  <c r="K1248" i="1"/>
  <c r="M1248" i="1" s="1"/>
  <c r="N1248" i="1" s="1"/>
  <c r="K1236" i="1"/>
  <c r="M1236" i="1" s="1"/>
  <c r="N1236" i="1" s="1"/>
  <c r="K1220" i="1"/>
  <c r="M1220" i="1" s="1"/>
  <c r="N1220" i="1" s="1"/>
  <c r="K1212" i="1"/>
  <c r="M1212" i="1" s="1"/>
  <c r="N1212" i="1" s="1"/>
  <c r="K1208" i="1"/>
  <c r="M1208" i="1" s="1"/>
  <c r="N1208" i="1" s="1"/>
  <c r="K1192" i="1"/>
  <c r="M1192" i="1" s="1"/>
  <c r="N1192" i="1" s="1"/>
  <c r="K1184" i="1"/>
  <c r="M1184" i="1" s="1"/>
  <c r="N1184" i="1" s="1"/>
  <c r="K1176" i="1"/>
  <c r="M1176" i="1" s="1"/>
  <c r="N1176" i="1" s="1"/>
  <c r="K1160" i="1"/>
  <c r="M1160" i="1" s="1"/>
  <c r="N1160" i="1" s="1"/>
  <c r="K1156" i="1"/>
  <c r="M1156" i="1" s="1"/>
  <c r="N1156" i="1" s="1"/>
  <c r="K1152" i="1"/>
  <c r="M1152" i="1" s="1"/>
  <c r="N1152" i="1" s="1"/>
  <c r="K1132" i="1"/>
  <c r="M1132" i="1" s="1"/>
  <c r="N1132" i="1" s="1"/>
  <c r="K1128" i="1"/>
  <c r="M1128" i="1" s="1"/>
  <c r="N1128" i="1" s="1"/>
  <c r="K1124" i="1"/>
  <c r="M1124" i="1" s="1"/>
  <c r="N1124" i="1" s="1"/>
  <c r="K1120" i="1"/>
  <c r="M1120" i="1" s="1"/>
  <c r="N1120" i="1" s="1"/>
  <c r="K1116" i="1"/>
  <c r="M1116" i="1" s="1"/>
  <c r="N1116" i="1" s="1"/>
  <c r="K1112" i="1"/>
  <c r="M1112" i="1" s="1"/>
  <c r="N1112" i="1" s="1"/>
  <c r="K1097" i="1"/>
  <c r="M1097" i="1" s="1"/>
  <c r="N1097" i="1" s="1"/>
  <c r="K1096" i="1"/>
  <c r="M1096" i="1" s="1"/>
  <c r="N1096" i="1" s="1"/>
  <c r="K1093" i="1"/>
  <c r="M1093" i="1" s="1"/>
  <c r="N1093" i="1" s="1"/>
  <c r="K1092" i="1"/>
  <c r="M1092" i="1" s="1"/>
  <c r="N1092" i="1" s="1"/>
  <c r="K1088" i="1"/>
  <c r="M1088" i="1" s="1"/>
  <c r="N1088" i="1" s="1"/>
  <c r="K1084" i="1"/>
  <c r="M1084" i="1" s="1"/>
  <c r="N1084" i="1" s="1"/>
  <c r="K1080" i="1"/>
  <c r="M1080" i="1" s="1"/>
  <c r="N1080" i="1" s="1"/>
  <c r="J1073" i="1"/>
  <c r="K1073" i="1" s="1"/>
  <c r="M1073" i="1" s="1"/>
  <c r="N1073" i="1" s="1"/>
  <c r="J1071" i="1"/>
  <c r="K1071" i="1" s="1"/>
  <c r="M1071" i="1" s="1"/>
  <c r="N1071" i="1" s="1"/>
  <c r="J1064" i="1"/>
  <c r="K1064" i="1" s="1"/>
  <c r="M1064" i="1" s="1"/>
  <c r="N1064" i="1" s="1"/>
  <c r="J1057" i="1"/>
  <c r="K1057" i="1" s="1"/>
  <c r="M1057" i="1" s="1"/>
  <c r="N1057" i="1" s="1"/>
  <c r="J1055" i="1"/>
  <c r="K1055" i="1" s="1"/>
  <c r="M1055" i="1" s="1"/>
  <c r="N1055" i="1" s="1"/>
  <c r="J1051" i="1"/>
  <c r="K1051" i="1" s="1"/>
  <c r="M1051" i="1" s="1"/>
  <c r="N1051" i="1" s="1"/>
  <c r="J1048" i="1"/>
  <c r="K1048" i="1" s="1"/>
  <c r="M1048" i="1" s="1"/>
  <c r="N1048" i="1" s="1"/>
  <c r="J1045" i="1"/>
  <c r="K1045" i="1" s="1"/>
  <c r="M1045" i="1" s="1"/>
  <c r="N1045" i="1" s="1"/>
  <c r="J1035" i="1"/>
  <c r="K1035" i="1" s="1"/>
  <c r="M1035" i="1" s="1"/>
  <c r="N1035" i="1" s="1"/>
  <c r="J1032" i="1"/>
  <c r="K1032" i="1" s="1"/>
  <c r="M1032" i="1" s="1"/>
  <c r="N1032" i="1" s="1"/>
  <c r="J1029" i="1"/>
  <c r="K1029" i="1" s="1"/>
  <c r="M1029" i="1" s="1"/>
  <c r="N1029" i="1" s="1"/>
  <c r="J1019" i="1"/>
  <c r="K1019" i="1" s="1"/>
  <c r="M1019" i="1" s="1"/>
  <c r="N1019" i="1" s="1"/>
  <c r="J1016" i="1"/>
  <c r="K1016" i="1" s="1"/>
  <c r="M1016" i="1" s="1"/>
  <c r="N1016" i="1" s="1"/>
  <c r="J1013" i="1"/>
  <c r="K1013" i="1" s="1"/>
  <c r="M1013" i="1" s="1"/>
  <c r="N1013" i="1" s="1"/>
  <c r="J1003" i="1"/>
  <c r="K1003" i="1" s="1"/>
  <c r="M1003" i="1" s="1"/>
  <c r="N1003" i="1" s="1"/>
  <c r="J1000" i="1"/>
  <c r="K1000" i="1" s="1"/>
  <c r="M1000" i="1" s="1"/>
  <c r="N1000" i="1" s="1"/>
  <c r="J997" i="1"/>
  <c r="K997" i="1" s="1"/>
  <c r="M997" i="1" s="1"/>
  <c r="N997" i="1" s="1"/>
  <c r="J987" i="1"/>
  <c r="K987" i="1" s="1"/>
  <c r="M987" i="1" s="1"/>
  <c r="N987" i="1" s="1"/>
  <c r="J984" i="1"/>
  <c r="K984" i="1" s="1"/>
  <c r="M984" i="1" s="1"/>
  <c r="N984" i="1" s="1"/>
  <c r="J981" i="1"/>
  <c r="K981" i="1" s="1"/>
  <c r="M981" i="1" s="1"/>
  <c r="N981" i="1" s="1"/>
  <c r="J971" i="1"/>
  <c r="K971" i="1" s="1"/>
  <c r="M971" i="1" s="1"/>
  <c r="N971" i="1" s="1"/>
  <c r="J968" i="1"/>
  <c r="K968" i="1" s="1"/>
  <c r="M968" i="1" s="1"/>
  <c r="N968" i="1" s="1"/>
  <c r="J965" i="1"/>
  <c r="K965" i="1" s="1"/>
  <c r="M965" i="1" s="1"/>
  <c r="N965" i="1" s="1"/>
  <c r="J955" i="1"/>
  <c r="K955" i="1" s="1"/>
  <c r="M955" i="1" s="1"/>
  <c r="N955" i="1" s="1"/>
  <c r="J952" i="1"/>
  <c r="K952" i="1" s="1"/>
  <c r="M952" i="1" s="1"/>
  <c r="N952" i="1" s="1"/>
  <c r="J949" i="1"/>
  <c r="K949" i="1" s="1"/>
  <c r="M949" i="1" s="1"/>
  <c r="N949" i="1" s="1"/>
  <c r="J939" i="1"/>
  <c r="K939" i="1" s="1"/>
  <c r="M939" i="1" s="1"/>
  <c r="N939" i="1" s="1"/>
  <c r="J936" i="1"/>
  <c r="K936" i="1" s="1"/>
  <c r="M936" i="1" s="1"/>
  <c r="N936" i="1" s="1"/>
  <c r="J933" i="1"/>
  <c r="K933" i="1" s="1"/>
  <c r="M933" i="1" s="1"/>
  <c r="N933" i="1" s="1"/>
  <c r="J1076" i="1"/>
  <c r="K1076" i="1" s="1"/>
  <c r="M1076" i="1" s="1"/>
  <c r="N1076" i="1" s="1"/>
  <c r="J1069" i="1"/>
  <c r="K1069" i="1" s="1"/>
  <c r="M1069" i="1" s="1"/>
  <c r="N1069" i="1" s="1"/>
  <c r="J1067" i="1"/>
  <c r="K1067" i="1" s="1"/>
  <c r="M1067" i="1" s="1"/>
  <c r="N1067" i="1" s="1"/>
  <c r="J1060" i="1"/>
  <c r="K1060" i="1" s="1"/>
  <c r="M1060" i="1" s="1"/>
  <c r="N1060" i="1" s="1"/>
  <c r="J1053" i="1"/>
  <c r="K1053" i="1" s="1"/>
  <c r="M1053" i="1" s="1"/>
  <c r="N1053" i="1" s="1"/>
  <c r="J1047" i="1"/>
  <c r="K1047" i="1" s="1"/>
  <c r="M1047" i="1" s="1"/>
  <c r="N1047" i="1" s="1"/>
  <c r="J1044" i="1"/>
  <c r="K1044" i="1" s="1"/>
  <c r="M1044" i="1" s="1"/>
  <c r="N1044" i="1" s="1"/>
  <c r="J1041" i="1"/>
  <c r="K1041" i="1" s="1"/>
  <c r="M1041" i="1" s="1"/>
  <c r="N1041" i="1" s="1"/>
  <c r="J1031" i="1"/>
  <c r="K1031" i="1" s="1"/>
  <c r="M1031" i="1" s="1"/>
  <c r="N1031" i="1" s="1"/>
  <c r="J1028" i="1"/>
  <c r="K1028" i="1" s="1"/>
  <c r="M1028" i="1" s="1"/>
  <c r="N1028" i="1" s="1"/>
  <c r="J1025" i="1"/>
  <c r="K1025" i="1" s="1"/>
  <c r="M1025" i="1" s="1"/>
  <c r="N1025" i="1" s="1"/>
  <c r="J1015" i="1"/>
  <c r="K1015" i="1" s="1"/>
  <c r="M1015" i="1" s="1"/>
  <c r="N1015" i="1" s="1"/>
  <c r="J1012" i="1"/>
  <c r="K1012" i="1" s="1"/>
  <c r="M1012" i="1" s="1"/>
  <c r="N1012" i="1" s="1"/>
  <c r="J1009" i="1"/>
  <c r="K1009" i="1" s="1"/>
  <c r="M1009" i="1" s="1"/>
  <c r="N1009" i="1" s="1"/>
  <c r="J999" i="1"/>
  <c r="K999" i="1" s="1"/>
  <c r="M999" i="1" s="1"/>
  <c r="N999" i="1" s="1"/>
  <c r="J996" i="1"/>
  <c r="K996" i="1" s="1"/>
  <c r="M996" i="1" s="1"/>
  <c r="N996" i="1" s="1"/>
  <c r="J993" i="1"/>
  <c r="K993" i="1" s="1"/>
  <c r="M993" i="1" s="1"/>
  <c r="N993" i="1" s="1"/>
  <c r="J983" i="1"/>
  <c r="K983" i="1" s="1"/>
  <c r="M983" i="1" s="1"/>
  <c r="N983" i="1" s="1"/>
  <c r="J980" i="1"/>
  <c r="K980" i="1" s="1"/>
  <c r="M980" i="1" s="1"/>
  <c r="N980" i="1" s="1"/>
  <c r="J977" i="1"/>
  <c r="K977" i="1" s="1"/>
  <c r="M977" i="1" s="1"/>
  <c r="N977" i="1" s="1"/>
  <c r="J967" i="1"/>
  <c r="K967" i="1" s="1"/>
  <c r="M967" i="1" s="1"/>
  <c r="N967" i="1" s="1"/>
  <c r="J964" i="1"/>
  <c r="K964" i="1" s="1"/>
  <c r="M964" i="1" s="1"/>
  <c r="N964" i="1" s="1"/>
  <c r="J961" i="1"/>
  <c r="K961" i="1" s="1"/>
  <c r="M961" i="1" s="1"/>
  <c r="N961" i="1" s="1"/>
  <c r="J951" i="1"/>
  <c r="K951" i="1" s="1"/>
  <c r="M951" i="1" s="1"/>
  <c r="N951" i="1" s="1"/>
  <c r="J948" i="1"/>
  <c r="K948" i="1" s="1"/>
  <c r="M948" i="1" s="1"/>
  <c r="N948" i="1" s="1"/>
  <c r="J945" i="1"/>
  <c r="K945" i="1" s="1"/>
  <c r="M945" i="1" s="1"/>
  <c r="N945" i="1" s="1"/>
  <c r="J935" i="1"/>
  <c r="K935" i="1" s="1"/>
  <c r="M935" i="1" s="1"/>
  <c r="N935" i="1" s="1"/>
  <c r="J932" i="1"/>
  <c r="K932" i="1" s="1"/>
  <c r="M932" i="1" s="1"/>
  <c r="N932" i="1" s="1"/>
  <c r="J929" i="1"/>
  <c r="K929" i="1" s="1"/>
  <c r="M929" i="1" s="1"/>
  <c r="N929" i="1" s="1"/>
  <c r="K923" i="1"/>
  <c r="M923" i="1" s="1"/>
  <c r="N923" i="1" s="1"/>
  <c r="K919" i="1"/>
  <c r="M919" i="1" s="1"/>
  <c r="N919" i="1" s="1"/>
  <c r="K915" i="1"/>
  <c r="M915" i="1" s="1"/>
  <c r="N915" i="1" s="1"/>
  <c r="K911" i="1"/>
  <c r="M911" i="1" s="1"/>
  <c r="N911" i="1" s="1"/>
  <c r="K907" i="1"/>
  <c r="M907" i="1" s="1"/>
  <c r="N907" i="1" s="1"/>
  <c r="K903" i="1"/>
  <c r="M903" i="1" s="1"/>
  <c r="N903" i="1" s="1"/>
  <c r="J728" i="1"/>
  <c r="K728" i="1" s="1"/>
  <c r="M728" i="1" s="1"/>
  <c r="N728" i="1" s="1"/>
  <c r="J724" i="1"/>
  <c r="K724" i="1" s="1"/>
  <c r="M724" i="1" s="1"/>
  <c r="N724" i="1" s="1"/>
  <c r="J720" i="1"/>
  <c r="K720" i="1" s="1"/>
  <c r="M720" i="1" s="1"/>
  <c r="N720" i="1" s="1"/>
  <c r="J716" i="1"/>
  <c r="K716" i="1" s="1"/>
  <c r="M716" i="1" s="1"/>
  <c r="N716" i="1" s="1"/>
  <c r="J924" i="1"/>
  <c r="K924" i="1" s="1"/>
  <c r="M924" i="1" s="1"/>
  <c r="N924" i="1" s="1"/>
  <c r="K921" i="1"/>
  <c r="M921" i="1" s="1"/>
  <c r="N921" i="1" s="1"/>
  <c r="K917" i="1"/>
  <c r="M917" i="1" s="1"/>
  <c r="N917" i="1" s="1"/>
  <c r="K913" i="1"/>
  <c r="M913" i="1" s="1"/>
  <c r="N913" i="1" s="1"/>
  <c r="K909" i="1"/>
  <c r="M909" i="1" s="1"/>
  <c r="N909" i="1" s="1"/>
  <c r="K905" i="1"/>
  <c r="M905" i="1" s="1"/>
  <c r="N905" i="1" s="1"/>
  <c r="K920" i="1"/>
  <c r="M920" i="1" s="1"/>
  <c r="N920" i="1" s="1"/>
  <c r="K916" i="1"/>
  <c r="M916" i="1" s="1"/>
  <c r="N916" i="1" s="1"/>
  <c r="K912" i="1"/>
  <c r="M912" i="1" s="1"/>
  <c r="N912" i="1" s="1"/>
  <c r="K908" i="1"/>
  <c r="M908" i="1" s="1"/>
  <c r="N908" i="1" s="1"/>
  <c r="K904" i="1"/>
  <c r="M904" i="1" s="1"/>
  <c r="N904" i="1" s="1"/>
  <c r="K899" i="1"/>
  <c r="M899" i="1" s="1"/>
  <c r="N899" i="1" s="1"/>
  <c r="K895" i="1"/>
  <c r="M895" i="1" s="1"/>
  <c r="N895" i="1" s="1"/>
  <c r="K891" i="1"/>
  <c r="M891" i="1" s="1"/>
  <c r="N891" i="1" s="1"/>
  <c r="K887" i="1"/>
  <c r="M887" i="1" s="1"/>
  <c r="N887" i="1" s="1"/>
  <c r="K883" i="1"/>
  <c r="M883" i="1" s="1"/>
  <c r="N883" i="1" s="1"/>
  <c r="K879" i="1"/>
  <c r="M879" i="1" s="1"/>
  <c r="N879" i="1" s="1"/>
  <c r="K875" i="1"/>
  <c r="M875" i="1" s="1"/>
  <c r="N875" i="1" s="1"/>
  <c r="K871" i="1"/>
  <c r="M871" i="1" s="1"/>
  <c r="N871" i="1" s="1"/>
  <c r="K867" i="1"/>
  <c r="M867" i="1" s="1"/>
  <c r="N867" i="1" s="1"/>
  <c r="K863" i="1"/>
  <c r="M863" i="1" s="1"/>
  <c r="N863" i="1" s="1"/>
  <c r="K859" i="1"/>
  <c r="M859" i="1" s="1"/>
  <c r="N859" i="1" s="1"/>
  <c r="K855" i="1"/>
  <c r="M855" i="1" s="1"/>
  <c r="N855" i="1" s="1"/>
  <c r="K851" i="1"/>
  <c r="M851" i="1" s="1"/>
  <c r="N851" i="1" s="1"/>
  <c r="K847" i="1"/>
  <c r="M847" i="1" s="1"/>
  <c r="N847" i="1" s="1"/>
  <c r="K843" i="1"/>
  <c r="M843" i="1" s="1"/>
  <c r="N843" i="1" s="1"/>
  <c r="K839" i="1"/>
  <c r="M839" i="1" s="1"/>
  <c r="N839" i="1" s="1"/>
  <c r="K835" i="1"/>
  <c r="M835" i="1" s="1"/>
  <c r="N835" i="1" s="1"/>
  <c r="K831" i="1"/>
  <c r="M831" i="1" s="1"/>
  <c r="N831" i="1" s="1"/>
  <c r="K827" i="1"/>
  <c r="M827" i="1" s="1"/>
  <c r="N827" i="1" s="1"/>
  <c r="K823" i="1"/>
  <c r="M823" i="1" s="1"/>
  <c r="N823" i="1" s="1"/>
  <c r="K727" i="1"/>
  <c r="M727" i="1" s="1"/>
  <c r="N727" i="1" s="1"/>
  <c r="K723" i="1"/>
  <c r="M723" i="1" s="1"/>
  <c r="N723" i="1" s="1"/>
  <c r="K719" i="1"/>
  <c r="M719" i="1" s="1"/>
  <c r="N719" i="1" s="1"/>
  <c r="K715" i="1"/>
  <c r="M715" i="1" s="1"/>
  <c r="N715" i="1" s="1"/>
  <c r="J656" i="1"/>
  <c r="K656" i="1" s="1"/>
  <c r="M656" i="1" s="1"/>
  <c r="N656" i="1" s="1"/>
  <c r="J654" i="1"/>
  <c r="K654" i="1" s="1"/>
  <c r="M654" i="1" s="1"/>
  <c r="N654" i="1" s="1"/>
  <c r="J652" i="1"/>
  <c r="K652" i="1" s="1"/>
  <c r="M652" i="1" s="1"/>
  <c r="N652" i="1" s="1"/>
  <c r="J650" i="1"/>
  <c r="K650" i="1" s="1"/>
  <c r="M650" i="1" s="1"/>
  <c r="N650" i="1" s="1"/>
  <c r="J648" i="1"/>
  <c r="K648" i="1" s="1"/>
  <c r="M648" i="1" s="1"/>
  <c r="N648" i="1" s="1"/>
  <c r="J646" i="1"/>
  <c r="K646" i="1" s="1"/>
  <c r="M646" i="1" s="1"/>
  <c r="N646" i="1" s="1"/>
  <c r="J644" i="1"/>
  <c r="K644" i="1" s="1"/>
  <c r="M644" i="1" s="1"/>
  <c r="N644" i="1" s="1"/>
  <c r="J642" i="1"/>
  <c r="K642" i="1" s="1"/>
  <c r="M642" i="1" s="1"/>
  <c r="N642" i="1" s="1"/>
  <c r="J640" i="1"/>
  <c r="K640" i="1" s="1"/>
  <c r="M640" i="1" s="1"/>
  <c r="N640" i="1" s="1"/>
  <c r="J638" i="1"/>
  <c r="K638" i="1" s="1"/>
  <c r="M638" i="1" s="1"/>
  <c r="N638" i="1" s="1"/>
  <c r="J636" i="1"/>
  <c r="K636" i="1" s="1"/>
  <c r="M636" i="1" s="1"/>
  <c r="N636" i="1" s="1"/>
  <c r="J634" i="1"/>
  <c r="K634" i="1" s="1"/>
  <c r="M634" i="1" s="1"/>
  <c r="N634" i="1" s="1"/>
  <c r="J632" i="1"/>
  <c r="K632" i="1" s="1"/>
  <c r="M632" i="1" s="1"/>
  <c r="N632" i="1" s="1"/>
  <c r="J630" i="1"/>
  <c r="K630" i="1" s="1"/>
  <c r="M630" i="1" s="1"/>
  <c r="N630" i="1" s="1"/>
  <c r="J628" i="1"/>
  <c r="K628" i="1" s="1"/>
  <c r="M628" i="1" s="1"/>
  <c r="N628" i="1" s="1"/>
  <c r="J626" i="1"/>
  <c r="K626" i="1" s="1"/>
  <c r="M626" i="1" s="1"/>
  <c r="N626" i="1" s="1"/>
  <c r="J624" i="1"/>
  <c r="K624" i="1" s="1"/>
  <c r="M624" i="1" s="1"/>
  <c r="N624" i="1" s="1"/>
  <c r="J622" i="1"/>
  <c r="K622" i="1" s="1"/>
  <c r="M622" i="1" s="1"/>
  <c r="N622" i="1" s="1"/>
  <c r="J620" i="1"/>
  <c r="K620" i="1" s="1"/>
  <c r="M620" i="1" s="1"/>
  <c r="N620" i="1" s="1"/>
  <c r="J618" i="1"/>
  <c r="K618" i="1" s="1"/>
  <c r="M618" i="1" s="1"/>
  <c r="N618" i="1" s="1"/>
  <c r="J616" i="1"/>
  <c r="K616" i="1" s="1"/>
  <c r="M616" i="1" s="1"/>
  <c r="N616" i="1" s="1"/>
  <c r="J614" i="1"/>
  <c r="K614" i="1" s="1"/>
  <c r="M614" i="1" s="1"/>
  <c r="N614" i="1" s="1"/>
  <c r="J612" i="1"/>
  <c r="K612" i="1" s="1"/>
  <c r="M612" i="1" s="1"/>
  <c r="N612" i="1" s="1"/>
  <c r="J610" i="1"/>
  <c r="K610" i="1" s="1"/>
  <c r="M610" i="1" s="1"/>
  <c r="N610" i="1" s="1"/>
  <c r="J608" i="1"/>
  <c r="K608" i="1" s="1"/>
  <c r="M608" i="1" s="1"/>
  <c r="N608" i="1" s="1"/>
  <c r="J606" i="1"/>
  <c r="K606" i="1" s="1"/>
  <c r="M606" i="1" s="1"/>
  <c r="N606" i="1" s="1"/>
  <c r="J604" i="1"/>
  <c r="K604" i="1" s="1"/>
  <c r="M604" i="1" s="1"/>
  <c r="N604" i="1" s="1"/>
  <c r="J602" i="1"/>
  <c r="K602" i="1" s="1"/>
  <c r="M602" i="1" s="1"/>
  <c r="N602" i="1" s="1"/>
  <c r="J600" i="1"/>
  <c r="K600" i="1" s="1"/>
  <c r="M600" i="1" s="1"/>
  <c r="N600" i="1" s="1"/>
  <c r="J598" i="1"/>
  <c r="K598" i="1" s="1"/>
  <c r="M598" i="1" s="1"/>
  <c r="N598" i="1" s="1"/>
  <c r="J596" i="1"/>
  <c r="K596" i="1" s="1"/>
  <c r="M596" i="1" s="1"/>
  <c r="N596" i="1" s="1"/>
  <c r="J594" i="1"/>
  <c r="K594" i="1" s="1"/>
  <c r="M594" i="1" s="1"/>
  <c r="N594" i="1" s="1"/>
  <c r="J592" i="1"/>
  <c r="K592" i="1" s="1"/>
  <c r="M592" i="1" s="1"/>
  <c r="N592" i="1" s="1"/>
  <c r="J590" i="1"/>
  <c r="K590" i="1" s="1"/>
  <c r="M590" i="1" s="1"/>
  <c r="N590" i="1" s="1"/>
  <c r="J588" i="1"/>
  <c r="K588" i="1" s="1"/>
  <c r="M588" i="1" s="1"/>
  <c r="N588" i="1" s="1"/>
  <c r="J586" i="1"/>
  <c r="K586" i="1" s="1"/>
  <c r="M586" i="1" s="1"/>
  <c r="N586" i="1" s="1"/>
  <c r="J584" i="1"/>
  <c r="K584" i="1" s="1"/>
  <c r="M584" i="1" s="1"/>
  <c r="N584" i="1" s="1"/>
  <c r="J582" i="1"/>
  <c r="K582" i="1" s="1"/>
  <c r="M582" i="1" s="1"/>
  <c r="N582" i="1" s="1"/>
  <c r="J580" i="1"/>
  <c r="K580" i="1" s="1"/>
  <c r="M580" i="1" s="1"/>
  <c r="N580" i="1" s="1"/>
  <c r="J578" i="1"/>
  <c r="K578" i="1" s="1"/>
  <c r="M578" i="1" s="1"/>
  <c r="N578" i="1" s="1"/>
  <c r="J576" i="1"/>
  <c r="K576" i="1" s="1"/>
  <c r="M576" i="1" s="1"/>
  <c r="N576" i="1" s="1"/>
  <c r="J574" i="1"/>
  <c r="K574" i="1" s="1"/>
  <c r="M574" i="1" s="1"/>
  <c r="N574" i="1" s="1"/>
  <c r="J572" i="1"/>
  <c r="K572" i="1" s="1"/>
  <c r="M572" i="1" s="1"/>
  <c r="N572" i="1" s="1"/>
  <c r="J570" i="1"/>
  <c r="K570" i="1" s="1"/>
  <c r="M570" i="1" s="1"/>
  <c r="N570" i="1" s="1"/>
  <c r="J568" i="1"/>
  <c r="K568" i="1" s="1"/>
  <c r="M568" i="1" s="1"/>
  <c r="N568" i="1" s="1"/>
  <c r="J566" i="1"/>
  <c r="K566" i="1" s="1"/>
  <c r="M566" i="1" s="1"/>
  <c r="N566" i="1" s="1"/>
  <c r="J564" i="1"/>
  <c r="K564" i="1" s="1"/>
  <c r="M564" i="1" s="1"/>
  <c r="N564" i="1" s="1"/>
  <c r="J562" i="1"/>
  <c r="K562" i="1" s="1"/>
  <c r="M562" i="1" s="1"/>
  <c r="N562" i="1" s="1"/>
  <c r="J560" i="1"/>
  <c r="K560" i="1" s="1"/>
  <c r="M560" i="1" s="1"/>
  <c r="N560" i="1" s="1"/>
  <c r="J558" i="1"/>
  <c r="K558" i="1" s="1"/>
  <c r="M558" i="1" s="1"/>
  <c r="N558" i="1" s="1"/>
  <c r="J556" i="1"/>
  <c r="K556" i="1" s="1"/>
  <c r="M556" i="1" s="1"/>
  <c r="N556" i="1" s="1"/>
  <c r="J554" i="1"/>
  <c r="K554" i="1" s="1"/>
  <c r="M554" i="1" s="1"/>
  <c r="N554" i="1" s="1"/>
  <c r="J552" i="1"/>
  <c r="K552" i="1" s="1"/>
  <c r="M552" i="1" s="1"/>
  <c r="N552" i="1" s="1"/>
  <c r="J550" i="1"/>
  <c r="K550" i="1" s="1"/>
  <c r="M550" i="1" s="1"/>
  <c r="N550" i="1" s="1"/>
  <c r="J548" i="1"/>
  <c r="K548" i="1" s="1"/>
  <c r="M548" i="1" s="1"/>
  <c r="N548" i="1" s="1"/>
  <c r="J546" i="1"/>
  <c r="K546" i="1" s="1"/>
  <c r="M546" i="1" s="1"/>
  <c r="N546" i="1" s="1"/>
  <c r="J544" i="1"/>
  <c r="K544" i="1" s="1"/>
  <c r="M544" i="1" s="1"/>
  <c r="N544" i="1" s="1"/>
  <c r="K819" i="1"/>
  <c r="M819" i="1" s="1"/>
  <c r="N819" i="1" s="1"/>
  <c r="K815" i="1"/>
  <c r="M815" i="1" s="1"/>
  <c r="N815" i="1" s="1"/>
  <c r="K811" i="1"/>
  <c r="M811" i="1" s="1"/>
  <c r="N811" i="1" s="1"/>
  <c r="K807" i="1"/>
  <c r="M807" i="1" s="1"/>
  <c r="N807" i="1" s="1"/>
  <c r="K803" i="1"/>
  <c r="M803" i="1" s="1"/>
  <c r="N803" i="1" s="1"/>
  <c r="K799" i="1"/>
  <c r="M799" i="1" s="1"/>
  <c r="N799" i="1" s="1"/>
  <c r="K795" i="1"/>
  <c r="M795" i="1" s="1"/>
  <c r="N795" i="1" s="1"/>
  <c r="K791" i="1"/>
  <c r="M791" i="1" s="1"/>
  <c r="N791" i="1" s="1"/>
  <c r="K787" i="1"/>
  <c r="M787" i="1" s="1"/>
  <c r="N787" i="1" s="1"/>
  <c r="K783" i="1"/>
  <c r="M783" i="1" s="1"/>
  <c r="N783" i="1" s="1"/>
  <c r="K779" i="1"/>
  <c r="M779" i="1" s="1"/>
  <c r="N779" i="1" s="1"/>
  <c r="K775" i="1"/>
  <c r="M775" i="1" s="1"/>
  <c r="N775" i="1" s="1"/>
  <c r="K771" i="1"/>
  <c r="M771" i="1" s="1"/>
  <c r="N771" i="1" s="1"/>
  <c r="K767" i="1"/>
  <c r="M767" i="1" s="1"/>
  <c r="N767" i="1" s="1"/>
  <c r="K763" i="1"/>
  <c r="M763" i="1" s="1"/>
  <c r="N763" i="1" s="1"/>
  <c r="K759" i="1"/>
  <c r="M759" i="1" s="1"/>
  <c r="N759" i="1" s="1"/>
  <c r="K755" i="1"/>
  <c r="M755" i="1" s="1"/>
  <c r="N755" i="1" s="1"/>
  <c r="K751" i="1"/>
  <c r="M751" i="1" s="1"/>
  <c r="N751" i="1" s="1"/>
  <c r="K747" i="1"/>
  <c r="M747" i="1" s="1"/>
  <c r="N747" i="1" s="1"/>
  <c r="K743" i="1"/>
  <c r="M743" i="1" s="1"/>
  <c r="N743" i="1" s="1"/>
  <c r="K739" i="1"/>
  <c r="M739" i="1" s="1"/>
  <c r="N739" i="1" s="1"/>
  <c r="K735" i="1"/>
  <c r="M735" i="1" s="1"/>
  <c r="N735" i="1" s="1"/>
  <c r="K731" i="1"/>
  <c r="M731" i="1" s="1"/>
  <c r="N731" i="1" s="1"/>
  <c r="J540" i="1"/>
  <c r="K540" i="1" s="1"/>
  <c r="M540" i="1" s="1"/>
  <c r="N540" i="1" s="1"/>
  <c r="K709" i="1"/>
  <c r="M709" i="1" s="1"/>
  <c r="N709" i="1" s="1"/>
  <c r="K705" i="1"/>
  <c r="M705" i="1" s="1"/>
  <c r="N705" i="1" s="1"/>
  <c r="K701" i="1"/>
  <c r="M701" i="1" s="1"/>
  <c r="N701" i="1" s="1"/>
  <c r="K697" i="1"/>
  <c r="M697" i="1" s="1"/>
  <c r="N697" i="1" s="1"/>
  <c r="K693" i="1"/>
  <c r="M693" i="1" s="1"/>
  <c r="N693" i="1" s="1"/>
  <c r="K689" i="1"/>
  <c r="M689" i="1" s="1"/>
  <c r="N689" i="1" s="1"/>
  <c r="K685" i="1"/>
  <c r="M685" i="1" s="1"/>
  <c r="N685" i="1" s="1"/>
  <c r="K681" i="1"/>
  <c r="M681" i="1" s="1"/>
  <c r="N681" i="1" s="1"/>
  <c r="K677" i="1"/>
  <c r="M677" i="1" s="1"/>
  <c r="N677" i="1" s="1"/>
  <c r="K673" i="1"/>
  <c r="M673" i="1" s="1"/>
  <c r="N673" i="1" s="1"/>
  <c r="K669" i="1"/>
  <c r="M669" i="1" s="1"/>
  <c r="N669" i="1" s="1"/>
  <c r="K665" i="1"/>
  <c r="M665" i="1" s="1"/>
  <c r="N665" i="1" s="1"/>
  <c r="K661" i="1"/>
  <c r="M661" i="1" s="1"/>
  <c r="N661" i="1" s="1"/>
  <c r="K657" i="1"/>
  <c r="M657" i="1" s="1"/>
  <c r="N657" i="1" s="1"/>
  <c r="K653" i="1"/>
  <c r="M653" i="1" s="1"/>
  <c r="N653" i="1" s="1"/>
  <c r="K649" i="1"/>
  <c r="M649" i="1" s="1"/>
  <c r="N649" i="1" s="1"/>
  <c r="K645" i="1"/>
  <c r="M645" i="1" s="1"/>
  <c r="N645" i="1" s="1"/>
  <c r="K641" i="1"/>
  <c r="M641" i="1" s="1"/>
  <c r="N641" i="1" s="1"/>
  <c r="K637" i="1"/>
  <c r="M637" i="1" s="1"/>
  <c r="N637" i="1" s="1"/>
  <c r="K633" i="1"/>
  <c r="M633" i="1" s="1"/>
  <c r="N633" i="1" s="1"/>
  <c r="K629" i="1"/>
  <c r="M629" i="1" s="1"/>
  <c r="N629" i="1" s="1"/>
  <c r="K625" i="1"/>
  <c r="M625" i="1" s="1"/>
  <c r="N625" i="1" s="1"/>
  <c r="K621" i="1"/>
  <c r="M621" i="1" s="1"/>
  <c r="N621" i="1" s="1"/>
  <c r="K617" i="1"/>
  <c r="M617" i="1" s="1"/>
  <c r="N617" i="1" s="1"/>
  <c r="K613" i="1"/>
  <c r="M613" i="1" s="1"/>
  <c r="N613" i="1" s="1"/>
  <c r="K609" i="1"/>
  <c r="M609" i="1" s="1"/>
  <c r="N609" i="1" s="1"/>
  <c r="K605" i="1"/>
  <c r="M605" i="1" s="1"/>
  <c r="N605" i="1" s="1"/>
  <c r="K601" i="1"/>
  <c r="M601" i="1" s="1"/>
  <c r="N601" i="1" s="1"/>
  <c r="K597" i="1"/>
  <c r="M597" i="1" s="1"/>
  <c r="N597" i="1" s="1"/>
  <c r="K593" i="1"/>
  <c r="M593" i="1" s="1"/>
  <c r="N593" i="1" s="1"/>
  <c r="K589" i="1"/>
  <c r="M589" i="1" s="1"/>
  <c r="N589" i="1" s="1"/>
  <c r="K585" i="1"/>
  <c r="M585" i="1" s="1"/>
  <c r="N585" i="1" s="1"/>
  <c r="K581" i="1"/>
  <c r="M581" i="1" s="1"/>
  <c r="N581" i="1" s="1"/>
  <c r="K577" i="1"/>
  <c r="M577" i="1" s="1"/>
  <c r="N577" i="1" s="1"/>
  <c r="K573" i="1"/>
  <c r="M573" i="1" s="1"/>
  <c r="N573" i="1" s="1"/>
  <c r="K569" i="1"/>
  <c r="M569" i="1" s="1"/>
  <c r="N569" i="1" s="1"/>
  <c r="K565" i="1"/>
  <c r="M565" i="1" s="1"/>
  <c r="N565" i="1" s="1"/>
  <c r="K561" i="1"/>
  <c r="M561" i="1" s="1"/>
  <c r="N561" i="1" s="1"/>
  <c r="K557" i="1"/>
  <c r="M557" i="1" s="1"/>
  <c r="N557" i="1" s="1"/>
  <c r="K553" i="1"/>
  <c r="M553" i="1" s="1"/>
  <c r="N553" i="1" s="1"/>
  <c r="K549" i="1"/>
  <c r="M549" i="1" s="1"/>
  <c r="N549" i="1" s="1"/>
  <c r="K545" i="1"/>
  <c r="M545" i="1" s="1"/>
  <c r="N545" i="1" s="1"/>
  <c r="K542" i="1"/>
  <c r="M542" i="1" s="1"/>
  <c r="N542" i="1" s="1"/>
  <c r="K541" i="1"/>
  <c r="M541" i="1" s="1"/>
  <c r="N541" i="1" s="1"/>
  <c r="K538" i="1"/>
  <c r="M538" i="1" s="1"/>
  <c r="N538" i="1" s="1"/>
  <c r="K537" i="1"/>
  <c r="M537" i="1" s="1"/>
  <c r="N537" i="1" s="1"/>
  <c r="K534" i="1"/>
  <c r="M534" i="1" s="1"/>
  <c r="N534" i="1" s="1"/>
  <c r="K533" i="1"/>
  <c r="M533" i="1" s="1"/>
  <c r="N533" i="1" s="1"/>
  <c r="K530" i="1"/>
  <c r="M530" i="1" s="1"/>
  <c r="N530" i="1" s="1"/>
  <c r="K529" i="1"/>
  <c r="M529" i="1" s="1"/>
  <c r="N529" i="1" s="1"/>
  <c r="K526" i="1"/>
  <c r="M526" i="1" s="1"/>
  <c r="N526" i="1" s="1"/>
  <c r="K525" i="1"/>
  <c r="M525" i="1" s="1"/>
  <c r="N525" i="1" s="1"/>
  <c r="K522" i="1"/>
  <c r="M522" i="1" s="1"/>
  <c r="N522" i="1" s="1"/>
  <c r="K521" i="1"/>
  <c r="M521" i="1" s="1"/>
  <c r="N521" i="1" s="1"/>
  <c r="K518" i="1"/>
  <c r="M518" i="1" s="1"/>
  <c r="N518" i="1" s="1"/>
  <c r="K517" i="1"/>
  <c r="M517" i="1" s="1"/>
  <c r="N517" i="1" s="1"/>
  <c r="K514" i="1"/>
  <c r="M514" i="1" s="1"/>
  <c r="N514" i="1" s="1"/>
  <c r="K513" i="1"/>
  <c r="M513" i="1" s="1"/>
  <c r="N513" i="1" s="1"/>
  <c r="K510" i="1"/>
  <c r="M510" i="1" s="1"/>
  <c r="N510" i="1" s="1"/>
  <c r="K509" i="1"/>
  <c r="M509" i="1" s="1"/>
  <c r="N509" i="1" s="1"/>
  <c r="K506" i="1"/>
  <c r="M506" i="1" s="1"/>
  <c r="N506" i="1" s="1"/>
  <c r="K505" i="1"/>
  <c r="M505" i="1" s="1"/>
  <c r="N505" i="1" s="1"/>
  <c r="K502" i="1"/>
  <c r="M502" i="1" s="1"/>
  <c r="N502" i="1" s="1"/>
  <c r="K501" i="1"/>
  <c r="M501" i="1" s="1"/>
  <c r="N501" i="1" s="1"/>
  <c r="K498" i="1"/>
  <c r="M498" i="1" s="1"/>
  <c r="N498" i="1" s="1"/>
  <c r="K497" i="1"/>
  <c r="M497" i="1" s="1"/>
  <c r="N497" i="1" s="1"/>
  <c r="K494" i="1"/>
  <c r="M494" i="1" s="1"/>
  <c r="N494" i="1" s="1"/>
  <c r="K493" i="1"/>
  <c r="M493" i="1" s="1"/>
  <c r="N493" i="1" s="1"/>
  <c r="K490" i="1"/>
  <c r="M490" i="1" s="1"/>
  <c r="N490" i="1" s="1"/>
  <c r="K489" i="1"/>
  <c r="M489" i="1" s="1"/>
  <c r="N489" i="1" s="1"/>
  <c r="K486" i="1"/>
  <c r="M486" i="1" s="1"/>
  <c r="N486" i="1" s="1"/>
  <c r="K485" i="1"/>
  <c r="M485" i="1" s="1"/>
  <c r="N485" i="1" s="1"/>
  <c r="K482" i="1"/>
  <c r="M482" i="1" s="1"/>
  <c r="N482" i="1" s="1"/>
  <c r="K481" i="1"/>
  <c r="M481" i="1" s="1"/>
  <c r="N481" i="1" s="1"/>
  <c r="K478" i="1"/>
  <c r="M478" i="1" s="1"/>
  <c r="N478" i="1" s="1"/>
  <c r="K477" i="1"/>
  <c r="M477" i="1" s="1"/>
  <c r="N477" i="1" s="1"/>
  <c r="K474" i="1"/>
  <c r="M474" i="1" s="1"/>
  <c r="N474" i="1" s="1"/>
  <c r="K473" i="1"/>
  <c r="M473" i="1" s="1"/>
  <c r="N473" i="1" s="1"/>
  <c r="K470" i="1"/>
  <c r="M470" i="1" s="1"/>
  <c r="N470" i="1" s="1"/>
  <c r="K469" i="1"/>
  <c r="M469" i="1" s="1"/>
  <c r="N469" i="1" s="1"/>
  <c r="K466" i="1"/>
  <c r="M466" i="1" s="1"/>
  <c r="N466" i="1" s="1"/>
  <c r="K465" i="1"/>
  <c r="M465" i="1" s="1"/>
  <c r="N465" i="1" s="1"/>
  <c r="K462" i="1"/>
  <c r="M462" i="1" s="1"/>
  <c r="N462" i="1" s="1"/>
  <c r="K461" i="1"/>
  <c r="M461" i="1" s="1"/>
  <c r="N461" i="1" s="1"/>
  <c r="K458" i="1"/>
  <c r="M458" i="1" s="1"/>
  <c r="N458" i="1" s="1"/>
  <c r="K457" i="1"/>
  <c r="M457" i="1" s="1"/>
  <c r="N457" i="1" s="1"/>
  <c r="K454" i="1"/>
  <c r="M454" i="1" s="1"/>
  <c r="N454" i="1" s="1"/>
  <c r="K453" i="1"/>
  <c r="M453" i="1" s="1"/>
  <c r="N453" i="1" s="1"/>
  <c r="K450" i="1"/>
  <c r="M450" i="1" s="1"/>
  <c r="N450" i="1" s="1"/>
  <c r="K449" i="1"/>
  <c r="M449" i="1" s="1"/>
  <c r="N449" i="1" s="1"/>
  <c r="K446" i="1"/>
  <c r="M446" i="1" s="1"/>
  <c r="N446" i="1" s="1"/>
  <c r="K445" i="1"/>
  <c r="M445" i="1" s="1"/>
  <c r="N445" i="1" s="1"/>
  <c r="K442" i="1"/>
  <c r="M442" i="1" s="1"/>
  <c r="N442" i="1" s="1"/>
  <c r="K441" i="1"/>
  <c r="M441" i="1" s="1"/>
  <c r="N441" i="1" s="1"/>
  <c r="K438" i="1"/>
  <c r="M438" i="1" s="1"/>
  <c r="N438" i="1" s="1"/>
  <c r="K437" i="1"/>
  <c r="M437" i="1" s="1"/>
  <c r="N437" i="1" s="1"/>
  <c r="K434" i="1"/>
  <c r="M434" i="1" s="1"/>
  <c r="N434" i="1" s="1"/>
  <c r="K433" i="1"/>
  <c r="M433" i="1" s="1"/>
  <c r="N433" i="1" s="1"/>
  <c r="K430" i="1"/>
  <c r="M430" i="1" s="1"/>
  <c r="N430" i="1" s="1"/>
  <c r="K429" i="1"/>
  <c r="M429" i="1" s="1"/>
  <c r="N429" i="1" s="1"/>
  <c r="K426" i="1"/>
  <c r="M426" i="1" s="1"/>
  <c r="N426" i="1" s="1"/>
  <c r="K425" i="1"/>
  <c r="M425" i="1" s="1"/>
  <c r="N425" i="1" s="1"/>
  <c r="K422" i="1"/>
  <c r="M422" i="1" s="1"/>
  <c r="N422" i="1" s="1"/>
  <c r="K421" i="1"/>
  <c r="M421" i="1" s="1"/>
  <c r="N421" i="1" s="1"/>
  <c r="K418" i="1"/>
  <c r="M418" i="1" s="1"/>
  <c r="N418" i="1" s="1"/>
  <c r="K417" i="1"/>
  <c r="M417" i="1" s="1"/>
  <c r="N417" i="1" s="1"/>
  <c r="K414" i="1"/>
  <c r="M414" i="1" s="1"/>
  <c r="N414" i="1" s="1"/>
  <c r="K413" i="1"/>
  <c r="M413" i="1" s="1"/>
  <c r="N413" i="1" s="1"/>
  <c r="K410" i="1"/>
  <c r="M410" i="1" s="1"/>
  <c r="N410" i="1" s="1"/>
  <c r="K409" i="1"/>
  <c r="M409" i="1" s="1"/>
  <c r="N409" i="1" s="1"/>
  <c r="K406" i="1"/>
  <c r="M406" i="1" s="1"/>
  <c r="N406" i="1" s="1"/>
  <c r="K405" i="1"/>
  <c r="M405" i="1" s="1"/>
  <c r="N405" i="1" s="1"/>
  <c r="K402" i="1"/>
  <c r="M402" i="1" s="1"/>
  <c r="N402" i="1" s="1"/>
  <c r="K401" i="1"/>
  <c r="M401" i="1" s="1"/>
  <c r="N401" i="1" s="1"/>
  <c r="K398" i="1"/>
  <c r="M398" i="1" s="1"/>
  <c r="N398" i="1" s="1"/>
  <c r="K389" i="1"/>
  <c r="M389" i="1" s="1"/>
  <c r="N389" i="1" s="1"/>
  <c r="J394" i="1"/>
  <c r="K394" i="1" s="1"/>
  <c r="M394" i="1" s="1"/>
  <c r="N394" i="1" s="1"/>
  <c r="K536" i="1"/>
  <c r="M536" i="1" s="1"/>
  <c r="N536" i="1" s="1"/>
  <c r="K532" i="1"/>
  <c r="M532" i="1" s="1"/>
  <c r="N532" i="1" s="1"/>
  <c r="K528" i="1"/>
  <c r="M528" i="1" s="1"/>
  <c r="N528" i="1" s="1"/>
  <c r="K524" i="1"/>
  <c r="M524" i="1" s="1"/>
  <c r="N524" i="1" s="1"/>
  <c r="K520" i="1"/>
  <c r="M520" i="1" s="1"/>
  <c r="N520" i="1" s="1"/>
  <c r="K516" i="1"/>
  <c r="M516" i="1" s="1"/>
  <c r="N516" i="1" s="1"/>
  <c r="K512" i="1"/>
  <c r="M512" i="1" s="1"/>
  <c r="N512" i="1" s="1"/>
  <c r="K508" i="1"/>
  <c r="M508" i="1" s="1"/>
  <c r="N508" i="1" s="1"/>
  <c r="K504" i="1"/>
  <c r="M504" i="1" s="1"/>
  <c r="N504" i="1" s="1"/>
  <c r="K500" i="1"/>
  <c r="M500" i="1" s="1"/>
  <c r="N500" i="1" s="1"/>
  <c r="K496" i="1"/>
  <c r="M496" i="1" s="1"/>
  <c r="N496" i="1" s="1"/>
  <c r="K492" i="1"/>
  <c r="M492" i="1" s="1"/>
  <c r="N492" i="1" s="1"/>
  <c r="K488" i="1"/>
  <c r="M488" i="1" s="1"/>
  <c r="N488" i="1" s="1"/>
  <c r="K484" i="1"/>
  <c r="M484" i="1" s="1"/>
  <c r="N484" i="1" s="1"/>
  <c r="K480" i="1"/>
  <c r="M480" i="1" s="1"/>
  <c r="N480" i="1" s="1"/>
  <c r="K476" i="1"/>
  <c r="M476" i="1" s="1"/>
  <c r="N476" i="1" s="1"/>
  <c r="K472" i="1"/>
  <c r="M472" i="1" s="1"/>
  <c r="N472" i="1" s="1"/>
  <c r="K468" i="1"/>
  <c r="M468" i="1" s="1"/>
  <c r="N468" i="1" s="1"/>
  <c r="K464" i="1"/>
  <c r="M464" i="1" s="1"/>
  <c r="N464" i="1" s="1"/>
  <c r="K460" i="1"/>
  <c r="M460" i="1" s="1"/>
  <c r="N460" i="1" s="1"/>
  <c r="K456" i="1"/>
  <c r="M456" i="1" s="1"/>
  <c r="N456" i="1" s="1"/>
  <c r="K452" i="1"/>
  <c r="M452" i="1" s="1"/>
  <c r="N452" i="1" s="1"/>
  <c r="K448" i="1"/>
  <c r="M448" i="1" s="1"/>
  <c r="N448" i="1" s="1"/>
  <c r="K444" i="1"/>
  <c r="M444" i="1" s="1"/>
  <c r="N444" i="1" s="1"/>
  <c r="K440" i="1"/>
  <c r="M440" i="1" s="1"/>
  <c r="N440" i="1" s="1"/>
  <c r="K436" i="1"/>
  <c r="M436" i="1" s="1"/>
  <c r="N436" i="1" s="1"/>
  <c r="K432" i="1"/>
  <c r="M432" i="1" s="1"/>
  <c r="N432" i="1" s="1"/>
  <c r="K428" i="1"/>
  <c r="M428" i="1" s="1"/>
  <c r="N428" i="1" s="1"/>
  <c r="K424" i="1"/>
  <c r="M424" i="1" s="1"/>
  <c r="N424" i="1" s="1"/>
  <c r="K420" i="1"/>
  <c r="M420" i="1" s="1"/>
  <c r="N420" i="1" s="1"/>
  <c r="K416" i="1"/>
  <c r="M416" i="1" s="1"/>
  <c r="N416" i="1" s="1"/>
  <c r="K412" i="1"/>
  <c r="M412" i="1" s="1"/>
  <c r="N412" i="1" s="1"/>
  <c r="K408" i="1"/>
  <c r="M408" i="1" s="1"/>
  <c r="N408" i="1" s="1"/>
  <c r="K404" i="1"/>
  <c r="M404" i="1" s="1"/>
  <c r="N404" i="1" s="1"/>
  <c r="K400" i="1"/>
  <c r="M400" i="1" s="1"/>
  <c r="N400" i="1" s="1"/>
  <c r="J397" i="1"/>
  <c r="K397" i="1" s="1"/>
  <c r="M397" i="1" s="1"/>
  <c r="N397" i="1" s="1"/>
  <c r="K393" i="1"/>
  <c r="M393" i="1" s="1"/>
  <c r="N393" i="1" s="1"/>
  <c r="J390" i="1"/>
  <c r="K390" i="1" s="1"/>
  <c r="M390" i="1" s="1"/>
  <c r="N390" i="1" s="1"/>
  <c r="K384" i="1"/>
  <c r="M384" i="1" s="1"/>
  <c r="N384" i="1" s="1"/>
  <c r="K380" i="1"/>
  <c r="M380" i="1" s="1"/>
  <c r="N380" i="1" s="1"/>
  <c r="K376" i="1"/>
  <c r="M376" i="1" s="1"/>
  <c r="N376" i="1" s="1"/>
  <c r="K372" i="1"/>
  <c r="M372" i="1" s="1"/>
  <c r="N372" i="1" s="1"/>
  <c r="K368" i="1"/>
  <c r="M368" i="1" s="1"/>
  <c r="N368" i="1" s="1"/>
  <c r="K364" i="1"/>
  <c r="M364" i="1" s="1"/>
  <c r="N364" i="1" s="1"/>
  <c r="K360" i="1"/>
  <c r="M360" i="1" s="1"/>
  <c r="N360" i="1" s="1"/>
  <c r="K356" i="1"/>
  <c r="M356" i="1" s="1"/>
  <c r="N356" i="1" s="1"/>
  <c r="K352" i="1"/>
  <c r="M352" i="1" s="1"/>
  <c r="N352" i="1" s="1"/>
  <c r="K348" i="1"/>
  <c r="M348" i="1" s="1"/>
  <c r="N348" i="1" s="1"/>
  <c r="K344" i="1"/>
  <c r="M344" i="1" s="1"/>
  <c r="N344" i="1" s="1"/>
  <c r="K340" i="1"/>
  <c r="M340" i="1" s="1"/>
  <c r="N340" i="1" s="1"/>
  <c r="K336" i="1"/>
  <c r="M336" i="1" s="1"/>
  <c r="N336" i="1" s="1"/>
  <c r="K332" i="1"/>
  <c r="M332" i="1" s="1"/>
  <c r="N332" i="1" s="1"/>
  <c r="K328" i="1"/>
  <c r="M328" i="1" s="1"/>
  <c r="N328" i="1" s="1"/>
  <c r="K324" i="1"/>
  <c r="M324" i="1" s="1"/>
  <c r="N324" i="1" s="1"/>
  <c r="K320" i="1"/>
  <c r="M320" i="1" s="1"/>
  <c r="N320" i="1" s="1"/>
  <c r="K316" i="1"/>
  <c r="M316" i="1" s="1"/>
  <c r="N316" i="1" s="1"/>
  <c r="K312" i="1"/>
  <c r="M312" i="1" s="1"/>
  <c r="N312" i="1" s="1"/>
  <c r="K308" i="1"/>
  <c r="M308" i="1" s="1"/>
  <c r="N308" i="1" s="1"/>
  <c r="K304" i="1"/>
  <c r="M304" i="1" s="1"/>
  <c r="N304" i="1" s="1"/>
  <c r="K300" i="1"/>
  <c r="M300" i="1" s="1"/>
  <c r="N300" i="1" s="1"/>
  <c r="K296" i="1"/>
  <c r="M296" i="1" s="1"/>
  <c r="N296" i="1" s="1"/>
  <c r="K292" i="1"/>
  <c r="M292" i="1" s="1"/>
  <c r="N292" i="1" s="1"/>
  <c r="K288" i="1"/>
  <c r="M288" i="1" s="1"/>
  <c r="N288" i="1" s="1"/>
  <c r="K284" i="1"/>
  <c r="M284" i="1" s="1"/>
  <c r="N284" i="1" s="1"/>
  <c r="K280" i="1"/>
  <c r="M280" i="1" s="1"/>
  <c r="N280" i="1" s="1"/>
  <c r="K276" i="1"/>
  <c r="M276" i="1" s="1"/>
  <c r="N276" i="1" s="1"/>
  <c r="K272" i="1"/>
  <c r="M272" i="1" s="1"/>
  <c r="N272" i="1" s="1"/>
  <c r="K268" i="1"/>
  <c r="M268" i="1" s="1"/>
  <c r="N268" i="1" s="1"/>
  <c r="K264" i="1"/>
  <c r="M264" i="1" s="1"/>
  <c r="N264" i="1" s="1"/>
  <c r="K260" i="1"/>
  <c r="M260" i="1" s="1"/>
  <c r="N260" i="1" s="1"/>
  <c r="K256" i="1"/>
  <c r="M256" i="1" s="1"/>
  <c r="N256" i="1" s="1"/>
  <c r="K252" i="1"/>
  <c r="M252" i="1" s="1"/>
  <c r="N252" i="1" s="1"/>
  <c r="K248" i="1"/>
  <c r="M248" i="1" s="1"/>
  <c r="N248" i="1" s="1"/>
  <c r="K244" i="1"/>
  <c r="M244" i="1" s="1"/>
  <c r="N244" i="1" s="1"/>
  <c r="K239" i="1"/>
  <c r="M239" i="1" s="1"/>
  <c r="N239" i="1" s="1"/>
  <c r="K235" i="1"/>
  <c r="M235" i="1" s="1"/>
  <c r="N235" i="1" s="1"/>
  <c r="K231" i="1"/>
  <c r="M231" i="1" s="1"/>
  <c r="N231" i="1" s="1"/>
  <c r="K227" i="1"/>
  <c r="M227" i="1" s="1"/>
  <c r="N227" i="1" s="1"/>
  <c r="K223" i="1"/>
  <c r="M223" i="1" s="1"/>
  <c r="N223" i="1" s="1"/>
  <c r="K219" i="1"/>
  <c r="M219" i="1" s="1"/>
  <c r="N219" i="1" s="1"/>
  <c r="K215" i="1"/>
  <c r="M215" i="1" s="1"/>
  <c r="N215" i="1" s="1"/>
  <c r="K211" i="1"/>
  <c r="M211" i="1" s="1"/>
  <c r="N211" i="1" s="1"/>
  <c r="K207" i="1"/>
  <c r="M207" i="1" s="1"/>
  <c r="N207" i="1" s="1"/>
  <c r="K203" i="1"/>
  <c r="M203" i="1" s="1"/>
  <c r="N203" i="1" s="1"/>
  <c r="K199" i="1"/>
  <c r="M199" i="1" s="1"/>
  <c r="N199" i="1" s="1"/>
  <c r="K195" i="1"/>
  <c r="M195" i="1" s="1"/>
  <c r="N195" i="1" s="1"/>
  <c r="K191" i="1"/>
  <c r="M191" i="1" s="1"/>
  <c r="N191" i="1" s="1"/>
  <c r="K187" i="1"/>
  <c r="M187" i="1" s="1"/>
  <c r="N187" i="1" s="1"/>
  <c r="K183" i="1"/>
  <c r="M183" i="1" s="1"/>
  <c r="N183" i="1" s="1"/>
  <c r="K179" i="1"/>
  <c r="M179" i="1" s="1"/>
  <c r="N179" i="1" s="1"/>
  <c r="K175" i="1"/>
  <c r="M175" i="1" s="1"/>
  <c r="N175" i="1" s="1"/>
  <c r="K171" i="1"/>
  <c r="M171" i="1" s="1"/>
  <c r="N171" i="1" s="1"/>
  <c r="K167" i="1"/>
  <c r="M167" i="1" s="1"/>
  <c r="N167" i="1" s="1"/>
  <c r="K163" i="1"/>
  <c r="M163" i="1" s="1"/>
  <c r="N163" i="1" s="1"/>
  <c r="K159" i="1"/>
  <c r="M159" i="1" s="1"/>
  <c r="N159" i="1" s="1"/>
  <c r="K155" i="1"/>
  <c r="M155" i="1" s="1"/>
  <c r="N155" i="1" s="1"/>
  <c r="K151" i="1"/>
  <c r="M151" i="1" s="1"/>
  <c r="N151" i="1" s="1"/>
  <c r="K147" i="1"/>
  <c r="M147" i="1" s="1"/>
  <c r="N147" i="1" s="1"/>
  <c r="K143" i="1"/>
  <c r="M143" i="1" s="1"/>
  <c r="N143" i="1" s="1"/>
  <c r="K139" i="1"/>
  <c r="M139" i="1" s="1"/>
  <c r="N139" i="1" s="1"/>
  <c r="K135" i="1"/>
  <c r="M135" i="1" s="1"/>
  <c r="N135" i="1" s="1"/>
  <c r="K131" i="1"/>
  <c r="M131" i="1" s="1"/>
  <c r="N131" i="1" s="1"/>
  <c r="K127" i="1"/>
  <c r="M127" i="1" s="1"/>
  <c r="N127" i="1" s="1"/>
  <c r="K123" i="1"/>
  <c r="M123" i="1" s="1"/>
  <c r="N123" i="1" s="1"/>
  <c r="K119" i="1"/>
  <c r="M119" i="1" s="1"/>
  <c r="N119" i="1" s="1"/>
  <c r="K115" i="1"/>
  <c r="M115" i="1" s="1"/>
  <c r="N115" i="1" s="1"/>
  <c r="K111" i="1"/>
  <c r="M111" i="1" s="1"/>
  <c r="N111" i="1" s="1"/>
  <c r="K107" i="1"/>
  <c r="M107" i="1" s="1"/>
  <c r="N107" i="1" s="1"/>
  <c r="K103" i="1"/>
  <c r="M103" i="1" s="1"/>
  <c r="N103" i="1" s="1"/>
  <c r="K99" i="1"/>
  <c r="M99" i="1" s="1"/>
  <c r="N99" i="1" s="1"/>
  <c r="K95" i="1"/>
  <c r="M95" i="1" s="1"/>
  <c r="N95" i="1" s="1"/>
  <c r="K87" i="1"/>
  <c r="M87" i="1" s="1"/>
  <c r="N87" i="1" s="1"/>
  <c r="K80" i="1"/>
  <c r="M80" i="1" s="1"/>
  <c r="N80" i="1" s="1"/>
  <c r="K71" i="1"/>
  <c r="M71" i="1" s="1"/>
  <c r="N71" i="1" s="1"/>
  <c r="K64" i="1"/>
  <c r="M64" i="1" s="1"/>
  <c r="N64" i="1" s="1"/>
  <c r="K55" i="1"/>
  <c r="M55" i="1" s="1"/>
  <c r="N55" i="1" s="1"/>
  <c r="K48" i="1"/>
  <c r="M48" i="1" s="1"/>
  <c r="N48" i="1" s="1"/>
  <c r="K39" i="1"/>
  <c r="M39" i="1" s="1"/>
  <c r="N39" i="1" s="1"/>
  <c r="J23" i="1"/>
  <c r="K23" i="1" s="1"/>
  <c r="M23" i="1" s="1"/>
  <c r="N23" i="1" s="1"/>
  <c r="K91" i="1"/>
  <c r="M91" i="1" s="1"/>
  <c r="N91" i="1" s="1"/>
  <c r="K84" i="1"/>
  <c r="M84" i="1" s="1"/>
  <c r="N84" i="1" s="1"/>
  <c r="K75" i="1"/>
  <c r="M75" i="1" s="1"/>
  <c r="N75" i="1" s="1"/>
  <c r="K68" i="1"/>
  <c r="M68" i="1" s="1"/>
  <c r="N68" i="1" s="1"/>
  <c r="K59" i="1"/>
  <c r="M59" i="1" s="1"/>
  <c r="N59" i="1" s="1"/>
  <c r="K52" i="1"/>
  <c r="M52" i="1" s="1"/>
  <c r="N52" i="1" s="1"/>
  <c r="K43" i="1"/>
  <c r="M43" i="1" s="1"/>
  <c r="N43" i="1" s="1"/>
  <c r="J19" i="1"/>
  <c r="K19" i="1" s="1"/>
  <c r="M19" i="1" s="1"/>
  <c r="N19" i="1" s="1"/>
  <c r="K88" i="1"/>
  <c r="M88" i="1" s="1"/>
  <c r="N88" i="1" s="1"/>
  <c r="K79" i="1"/>
  <c r="M79" i="1" s="1"/>
  <c r="N79" i="1" s="1"/>
  <c r="K72" i="1"/>
  <c r="M72" i="1" s="1"/>
  <c r="N72" i="1" s="1"/>
  <c r="K63" i="1"/>
  <c r="M63" i="1" s="1"/>
  <c r="N63" i="1" s="1"/>
  <c r="K56" i="1"/>
  <c r="M56" i="1" s="1"/>
  <c r="N56" i="1" s="1"/>
  <c r="K47" i="1"/>
  <c r="M47" i="1" s="1"/>
  <c r="N47" i="1" s="1"/>
  <c r="K40" i="1"/>
  <c r="M40" i="1" s="1"/>
  <c r="N40" i="1" s="1"/>
  <c r="K31" i="1"/>
  <c r="M31" i="1" s="1"/>
  <c r="N31" i="1" s="1"/>
  <c r="J15" i="1"/>
  <c r="K15" i="1" s="1"/>
  <c r="M15" i="1" s="1"/>
  <c r="N15" i="1" s="1"/>
  <c r="K92" i="1"/>
  <c r="M92" i="1" s="1"/>
  <c r="N92" i="1" s="1"/>
  <c r="K83" i="1"/>
  <c r="M83" i="1" s="1"/>
  <c r="N83" i="1" s="1"/>
  <c r="K76" i="1"/>
  <c r="M76" i="1" s="1"/>
  <c r="N76" i="1" s="1"/>
  <c r="K67" i="1"/>
  <c r="M67" i="1" s="1"/>
  <c r="N67" i="1" s="1"/>
  <c r="K60" i="1"/>
  <c r="M60" i="1" s="1"/>
  <c r="N60" i="1" s="1"/>
  <c r="K51" i="1"/>
  <c r="M51" i="1" s="1"/>
  <c r="N51" i="1" s="1"/>
  <c r="K44" i="1"/>
  <c r="M44" i="1" s="1"/>
  <c r="N44" i="1" s="1"/>
  <c r="K35" i="1"/>
  <c r="M35" i="1" s="1"/>
  <c r="N35" i="1" s="1"/>
  <c r="J27" i="1"/>
  <c r="K27" i="1" s="1"/>
  <c r="M27" i="1" s="1"/>
  <c r="N27" i="1" s="1"/>
  <c r="J11" i="1"/>
  <c r="K11" i="1" s="1"/>
  <c r="M11" i="1" s="1"/>
  <c r="N11" i="1" s="1"/>
  <c r="K36" i="1"/>
  <c r="M36" i="1" s="1"/>
  <c r="N36" i="1" s="1"/>
  <c r="K32" i="1"/>
  <c r="M32" i="1" s="1"/>
  <c r="N32" i="1" s="1"/>
  <c r="K28" i="1"/>
  <c r="M28" i="1" s="1"/>
  <c r="N28" i="1" s="1"/>
  <c r="K24" i="1"/>
  <c r="M24" i="1" s="1"/>
  <c r="N24" i="1" s="1"/>
  <c r="K20" i="1"/>
  <c r="M20" i="1" s="1"/>
  <c r="N20" i="1" s="1"/>
  <c r="K16" i="1"/>
  <c r="M16" i="1" s="1"/>
  <c r="N16" i="1" s="1"/>
  <c r="K12" i="1"/>
  <c r="M12" i="1" s="1"/>
  <c r="N12" i="1" s="1"/>
  <c r="K8" i="1"/>
  <c r="M8" i="1" s="1"/>
  <c r="N8" i="1" s="1"/>
  <c r="L21" i="3"/>
  <c r="L28" i="3"/>
  <c r="L30" i="3"/>
  <c r="L25" i="3"/>
  <c r="L29" i="3"/>
  <c r="L23" i="3"/>
  <c r="L24" i="3"/>
  <c r="L22" i="3"/>
  <c r="L27" i="3"/>
  <c r="L26" i="3"/>
  <c r="L20" i="3"/>
  <c r="V16" i="3"/>
  <c r="L19" i="3"/>
  <c r="H11" i="3"/>
  <c r="H12" i="3"/>
  <c r="H13" i="3"/>
  <c r="H14" i="3"/>
  <c r="AE8" i="3"/>
  <c r="AE18" i="3"/>
  <c r="AE10" i="3"/>
  <c r="AE14" i="3"/>
  <c r="AE9" i="3"/>
  <c r="AE17" i="3"/>
  <c r="AE11" i="3"/>
  <c r="AE15" i="3"/>
  <c r="AE13" i="3"/>
  <c r="AE16" i="3"/>
  <c r="AE12" i="3"/>
  <c r="AE7" i="3"/>
  <c r="AD18" i="3"/>
  <c r="AD13" i="3"/>
  <c r="AD8" i="3"/>
  <c r="AD10" i="3"/>
  <c r="AD9" i="3"/>
  <c r="AD14" i="3"/>
  <c r="AD11" i="3"/>
  <c r="AD15" i="3"/>
  <c r="AD16" i="3"/>
  <c r="AD17" i="3"/>
  <c r="AD12" i="3"/>
  <c r="AD7" i="3"/>
  <c r="J2" i="1"/>
  <c r="J6" i="1"/>
  <c r="K6" i="1" s="1"/>
  <c r="M6" i="1" s="1"/>
  <c r="N6" i="1" s="1"/>
  <c r="J3" i="1"/>
  <c r="K3" i="1" s="1"/>
  <c r="M3" i="1" s="1"/>
  <c r="N3" i="1" s="1"/>
  <c r="J7" i="1"/>
  <c r="K7" i="1" s="1"/>
  <c r="M7" i="1" s="1"/>
  <c r="N7" i="1" s="1"/>
  <c r="K2" i="1" l="1"/>
  <c r="M2" i="1" s="1"/>
  <c r="N2" i="1" l="1"/>
</calcChain>
</file>

<file path=xl/sharedStrings.xml><?xml version="1.0" encoding="utf-8"?>
<sst xmlns="http://schemas.openxmlformats.org/spreadsheetml/2006/main" count="14466" uniqueCount="589">
  <si>
    <t>S No</t>
  </si>
  <si>
    <t>Date</t>
  </si>
  <si>
    <t>Salesman</t>
  </si>
  <si>
    <t>Region</t>
  </si>
  <si>
    <t>Item</t>
  </si>
  <si>
    <t>Qty</t>
  </si>
  <si>
    <t>Price</t>
  </si>
  <si>
    <t>Amount</t>
  </si>
  <si>
    <t>Discount %</t>
  </si>
  <si>
    <t>Discount Amount</t>
  </si>
  <si>
    <t>Net Sales</t>
  </si>
  <si>
    <t>Unit Cost</t>
  </si>
  <si>
    <t>Profit</t>
  </si>
  <si>
    <t>Profit Margin %</t>
  </si>
  <si>
    <t>Payment Mode</t>
  </si>
  <si>
    <t>Order Status</t>
  </si>
  <si>
    <t>Customer Type</t>
  </si>
  <si>
    <t>Customer City</t>
  </si>
  <si>
    <t>Customer ID</t>
  </si>
  <si>
    <t>Sales Channel</t>
  </si>
  <si>
    <t>East</t>
  </si>
  <si>
    <t>Mouse</t>
  </si>
  <si>
    <t>Cash</t>
  </si>
  <si>
    <t>Cancelled</t>
  </si>
  <si>
    <t>Government</t>
  </si>
  <si>
    <t>Vidisha</t>
  </si>
  <si>
    <t>CUST1221</t>
  </si>
  <si>
    <t>Direct Sales</t>
  </si>
  <si>
    <t>West</t>
  </si>
  <si>
    <t>Printer</t>
  </si>
  <si>
    <t>UPI</t>
  </si>
  <si>
    <t>Completed</t>
  </si>
  <si>
    <t>Corporate</t>
  </si>
  <si>
    <t>Satna</t>
  </si>
  <si>
    <t>CUST1297</t>
  </si>
  <si>
    <t>Distributor</t>
  </si>
  <si>
    <t>Monitor</t>
  </si>
  <si>
    <t>SME</t>
  </si>
  <si>
    <t>Rewa</t>
  </si>
  <si>
    <t>CUST1284</t>
  </si>
  <si>
    <t>Scanner</t>
  </si>
  <si>
    <t>Credit</t>
  </si>
  <si>
    <t>CUST1220</t>
  </si>
  <si>
    <t>Speaker</t>
  </si>
  <si>
    <t>CUST1025</t>
  </si>
  <si>
    <t>Keyboard</t>
  </si>
  <si>
    <t>Bhopal</t>
  </si>
  <si>
    <t>CUST1149</t>
  </si>
  <si>
    <t>Retail</t>
  </si>
  <si>
    <t>Indore</t>
  </si>
  <si>
    <t>Chhatarpur</t>
  </si>
  <si>
    <t>CUST1282</t>
  </si>
  <si>
    <t>CUST1192</t>
  </si>
  <si>
    <t>Online</t>
  </si>
  <si>
    <t>Bank Transfer</t>
  </si>
  <si>
    <t>CUST1003</t>
  </si>
  <si>
    <t>Jabalpur</t>
  </si>
  <si>
    <t>CUST1228</t>
  </si>
  <si>
    <t>CUST1069</t>
  </si>
  <si>
    <t>Card</t>
  </si>
  <si>
    <t>CUST1227</t>
  </si>
  <si>
    <t>Retail Store</t>
  </si>
  <si>
    <t>Pending</t>
  </si>
  <si>
    <t>Gwalior</t>
  </si>
  <si>
    <t>CUST1014</t>
  </si>
  <si>
    <t>CUST1058</t>
  </si>
  <si>
    <t>Ujjain</t>
  </si>
  <si>
    <t>CUST1148</t>
  </si>
  <si>
    <t>CUST1294</t>
  </si>
  <si>
    <t>CUST1156</t>
  </si>
  <si>
    <t>CUST1068</t>
  </si>
  <si>
    <t>CUST1049</t>
  </si>
  <si>
    <t>CUST1052</t>
  </si>
  <si>
    <t>CUST1186</t>
  </si>
  <si>
    <t>CUST1232</t>
  </si>
  <si>
    <t>CUST1264</t>
  </si>
  <si>
    <t>Returned</t>
  </si>
  <si>
    <t>CUST1238</t>
  </si>
  <si>
    <t>CUST1214</t>
  </si>
  <si>
    <t>CUST1298</t>
  </si>
  <si>
    <t>North</t>
  </si>
  <si>
    <t>CUST1053</t>
  </si>
  <si>
    <t>South</t>
  </si>
  <si>
    <t>CUST1083</t>
  </si>
  <si>
    <t>CUST1142</t>
  </si>
  <si>
    <t>CUST1131</t>
  </si>
  <si>
    <t>CUST1031</t>
  </si>
  <si>
    <t>CUST1078</t>
  </si>
  <si>
    <t>Sagar</t>
  </si>
  <si>
    <t>CUST1203</t>
  </si>
  <si>
    <t>CUST1093</t>
  </si>
  <si>
    <t>CUST1070</t>
  </si>
  <si>
    <t>CUST1002</t>
  </si>
  <si>
    <t>CUST1259</t>
  </si>
  <si>
    <t>CUST1250</t>
  </si>
  <si>
    <t>CUST1116</t>
  </si>
  <si>
    <t>CUST1261</t>
  </si>
  <si>
    <t>CUST1285</t>
  </si>
  <si>
    <t>CUST1185</t>
  </si>
  <si>
    <t>CUST1138</t>
  </si>
  <si>
    <t>CUST1119</t>
  </si>
  <si>
    <t>CUST1236</t>
  </si>
  <si>
    <t>CUST1151</t>
  </si>
  <si>
    <t>CUST1281</t>
  </si>
  <si>
    <t>CUST1296</t>
  </si>
  <si>
    <t>CUST1021</t>
  </si>
  <si>
    <t>CUST1064</t>
  </si>
  <si>
    <t>CUST1023</t>
  </si>
  <si>
    <t>CUST1229</t>
  </si>
  <si>
    <t>CUST1024</t>
  </si>
  <si>
    <t>CUST1146</t>
  </si>
  <si>
    <t>CUST1055</t>
  </si>
  <si>
    <t>CUST1212</t>
  </si>
  <si>
    <t>CUST1059</t>
  </si>
  <si>
    <t>CUST1114</t>
  </si>
  <si>
    <t>CUST1041</t>
  </si>
  <si>
    <t>CUST1160</t>
  </si>
  <si>
    <t>CUST1216</t>
  </si>
  <si>
    <t>CUST1063</t>
  </si>
  <si>
    <t>CUST1174</t>
  </si>
  <si>
    <t>CUST1036</t>
  </si>
  <si>
    <t>CUST1165</t>
  </si>
  <si>
    <t>CUST1129</t>
  </si>
  <si>
    <t>CUST1157</t>
  </si>
  <si>
    <t>CUST1193</t>
  </si>
  <si>
    <t>CUST1062</t>
  </si>
  <si>
    <t>CUST1117</t>
  </si>
  <si>
    <t>CUST1206</t>
  </si>
  <si>
    <t>CUST1241</t>
  </si>
  <si>
    <t>CUST1051</t>
  </si>
  <si>
    <t>CUST1084</t>
  </si>
  <si>
    <t>CUST1123</t>
  </si>
  <si>
    <t>CUST1007</t>
  </si>
  <si>
    <t>CUST1101</t>
  </si>
  <si>
    <t>CUST1189</t>
  </si>
  <si>
    <t>CUST1218</t>
  </si>
  <si>
    <t>CUST1046</t>
  </si>
  <si>
    <t>CUST1029</t>
  </si>
  <si>
    <t>CUST1125</t>
  </si>
  <si>
    <t>CUST1143</t>
  </si>
  <si>
    <t>CUST1188</t>
  </si>
  <si>
    <t>CUST1235</t>
  </si>
  <si>
    <t>CUST1080</t>
  </si>
  <si>
    <t>CUST1128</t>
  </si>
  <si>
    <t>CUST1222</t>
  </si>
  <si>
    <t>CUST1075</t>
  </si>
  <si>
    <t>CUST1246</t>
  </si>
  <si>
    <t>CUST1279</t>
  </si>
  <si>
    <t>CUST1109</t>
  </si>
  <si>
    <t>CUST1066</t>
  </si>
  <si>
    <t>CUST1017</t>
  </si>
  <si>
    <t>CUST1076</t>
  </si>
  <si>
    <t>CUST1104</t>
  </si>
  <si>
    <t>CUST1267</t>
  </si>
  <si>
    <t>CUST1177</t>
  </si>
  <si>
    <t>CUST1201</t>
  </si>
  <si>
    <t>CUST1299</t>
  </si>
  <si>
    <t>CUST1255</t>
  </si>
  <si>
    <t>CUST1268</t>
  </si>
  <si>
    <t>CUST1278</t>
  </si>
  <si>
    <t>CUST1103</t>
  </si>
  <si>
    <t>CUST1161</t>
  </si>
  <si>
    <t>CUST1121</t>
  </si>
  <si>
    <t>CUST1099</t>
  </si>
  <si>
    <t>CUST1223</t>
  </si>
  <si>
    <t>CUST1187</t>
  </si>
  <si>
    <t>CUST1154</t>
  </si>
  <si>
    <t>CUST1273</t>
  </si>
  <si>
    <t>CUST1286</t>
  </si>
  <si>
    <t>CUST1179</t>
  </si>
  <si>
    <t>CUST1073</t>
  </si>
  <si>
    <t>CUST1295</t>
  </si>
  <si>
    <t>CUST1253</t>
  </si>
  <si>
    <t>CUST1178</t>
  </si>
  <si>
    <t>CUST1092</t>
  </si>
  <si>
    <t>CUST1153</t>
  </si>
  <si>
    <t>CUST1289</t>
  </si>
  <si>
    <t>CUST1275</t>
  </si>
  <si>
    <t>CUST1037</t>
  </si>
  <si>
    <t>CUST1012</t>
  </si>
  <si>
    <t>CUST1247</t>
  </si>
  <si>
    <t>CUST1256</t>
  </si>
  <si>
    <t>CUST1118</t>
  </si>
  <si>
    <t>CUST1140</t>
  </si>
  <si>
    <t>CUST1200</t>
  </si>
  <si>
    <t>CUST1291</t>
  </si>
  <si>
    <t>CUST1244</t>
  </si>
  <si>
    <t>CUST1274</t>
  </si>
  <si>
    <t>CUST1197</t>
  </si>
  <si>
    <t>CUST1266</t>
  </si>
  <si>
    <t>CUST1106</t>
  </si>
  <si>
    <t>CUST1085</t>
  </si>
  <si>
    <t>CUST1300</t>
  </si>
  <si>
    <t>CUST1272</t>
  </si>
  <si>
    <t>CUST1110</t>
  </si>
  <si>
    <t>CUST1194</t>
  </si>
  <si>
    <t>CUST1215</t>
  </si>
  <si>
    <t>CUST1057</t>
  </si>
  <si>
    <t>CUST1163</t>
  </si>
  <si>
    <t>CUST1158</t>
  </si>
  <si>
    <t>CUST1030</t>
  </si>
  <si>
    <t>CUST1105</t>
  </si>
  <si>
    <t>CUST1181</t>
  </si>
  <si>
    <t>CUST1033</t>
  </si>
  <si>
    <t>CUST1034</t>
  </si>
  <si>
    <t>CUST1028</t>
  </si>
  <si>
    <t>CUST1098</t>
  </si>
  <si>
    <t>CUST1202</t>
  </si>
  <si>
    <t>CUST1209</t>
  </si>
  <si>
    <t>CUST1115</t>
  </si>
  <si>
    <t>CUST1243</t>
  </si>
  <si>
    <t>CUST1180</t>
  </si>
  <si>
    <t>CUST1168</t>
  </si>
  <si>
    <t>CUST1252</t>
  </si>
  <si>
    <t>CUST1290</t>
  </si>
  <si>
    <t>CUST1207</t>
  </si>
  <si>
    <t>CUST1133</t>
  </si>
  <si>
    <t>CUST1120</t>
  </si>
  <si>
    <t>CUST1196</t>
  </si>
  <si>
    <t>CUST1127</t>
  </si>
  <si>
    <t>CUST1112</t>
  </si>
  <si>
    <t>CUST1020</t>
  </si>
  <si>
    <t>CUST1219</t>
  </si>
  <si>
    <t>CUST1011</t>
  </si>
  <si>
    <t>CUST1065</t>
  </si>
  <si>
    <t>CUST1217</t>
  </si>
  <si>
    <t>CUST1265</t>
  </si>
  <si>
    <t>CUST1276</t>
  </si>
  <si>
    <t>CUST1292</t>
  </si>
  <si>
    <t>CUST1184</t>
  </si>
  <si>
    <t>CUST1096</t>
  </si>
  <si>
    <t>CUST1162</t>
  </si>
  <si>
    <t>CUST1152</t>
  </si>
  <si>
    <t>CUST1008</t>
  </si>
  <si>
    <t>CUST1056</t>
  </si>
  <si>
    <t>CUST1102</t>
  </si>
  <si>
    <t>CUST1027</t>
  </si>
  <si>
    <t>CUST1175</t>
  </si>
  <si>
    <t>CUST1198</t>
  </si>
  <si>
    <t>CUST1042</t>
  </si>
  <si>
    <t>CUST1145</t>
  </si>
  <si>
    <t>CUST1090</t>
  </si>
  <si>
    <t>CUST1035</t>
  </si>
  <si>
    <t>CUST1182</t>
  </si>
  <si>
    <t>CUST1183</t>
  </si>
  <si>
    <t>CUST1167</t>
  </si>
  <si>
    <t>CUST1213</t>
  </si>
  <si>
    <t>CUST1016</t>
  </si>
  <si>
    <t>CUST1026</t>
  </si>
  <si>
    <t>CUST1245</t>
  </si>
  <si>
    <t>CUST1074</t>
  </si>
  <si>
    <t>CUST1199</t>
  </si>
  <si>
    <t>CUST1195</t>
  </si>
  <si>
    <t>CUST1091</t>
  </si>
  <si>
    <t>CUST1263</t>
  </si>
  <si>
    <t>CUST1239</t>
  </si>
  <si>
    <t>CUST1225</t>
  </si>
  <si>
    <t>CUST1135</t>
  </si>
  <si>
    <t>CUST1411</t>
  </si>
  <si>
    <t>CUST1314</t>
  </si>
  <si>
    <t>CUST1405</t>
  </si>
  <si>
    <t>CUST1425</t>
  </si>
  <si>
    <t>CUST1397</t>
  </si>
  <si>
    <t>CUST1449</t>
  </si>
  <si>
    <t>CUST1354</t>
  </si>
  <si>
    <t>CUST1006</t>
  </si>
  <si>
    <t>CUST1224</t>
  </si>
  <si>
    <t>CUST1414</t>
  </si>
  <si>
    <t>CUST1476</t>
  </si>
  <si>
    <t>CUST1170</t>
  </si>
  <si>
    <t>CUST1089</t>
  </si>
  <si>
    <t>CUST1439</t>
  </si>
  <si>
    <t>CUST1338</t>
  </si>
  <si>
    <t>CUST1418</t>
  </si>
  <si>
    <t>CUST1343</t>
  </si>
  <si>
    <t>CUST1349</t>
  </si>
  <si>
    <t>CUST1370</t>
  </si>
  <si>
    <t>CUST1359</t>
  </si>
  <si>
    <t>CUST1479</t>
  </si>
  <si>
    <t>CUST1363</t>
  </si>
  <si>
    <t>CUST1166</t>
  </si>
  <si>
    <t>CUST1257</t>
  </si>
  <si>
    <t>CUST1430</t>
  </si>
  <si>
    <t>CUST1475</t>
  </si>
  <si>
    <t>CUST1258</t>
  </si>
  <si>
    <t>CUST1039</t>
  </si>
  <si>
    <t>CUST1438</t>
  </si>
  <si>
    <t>CUST1100</t>
  </si>
  <si>
    <t>CUST1242</t>
  </si>
  <si>
    <t>CUST1249</t>
  </si>
  <si>
    <t>CUST1471</t>
  </si>
  <si>
    <t>CUST1496</t>
  </si>
  <si>
    <t>CUST1426</t>
  </si>
  <si>
    <t>CUST1358</t>
  </si>
  <si>
    <t>CUST1150</t>
  </si>
  <si>
    <t>CUST1345</t>
  </si>
  <si>
    <t>CUST1097</t>
  </si>
  <si>
    <t>CUST1320</t>
  </si>
  <si>
    <t>CUST1362</t>
  </si>
  <si>
    <t>CUST1369</t>
  </si>
  <si>
    <t>CUST1403</t>
  </si>
  <si>
    <t>CUST1305</t>
  </si>
  <si>
    <t>CUST1473</t>
  </si>
  <si>
    <t>CUST1169</t>
  </si>
  <si>
    <t>CUST1477</t>
  </si>
  <si>
    <t>CUST1095</t>
  </si>
  <si>
    <t>CUST1373</t>
  </si>
  <si>
    <t>CUST1380</t>
  </si>
  <si>
    <t>CUST1130</t>
  </si>
  <si>
    <t>CUST1315</t>
  </si>
  <si>
    <t>CUST1277</t>
  </si>
  <si>
    <t>CUST1316</t>
  </si>
  <si>
    <t>CUST1307</t>
  </si>
  <si>
    <t>CUST1399</t>
  </si>
  <si>
    <t>CUST1331</t>
  </si>
  <si>
    <t>CUST1144</t>
  </si>
  <si>
    <t>CUST1348</t>
  </si>
  <si>
    <t>CUST1421</t>
  </si>
  <si>
    <t>CUST1312</t>
  </si>
  <si>
    <t>CUST1498</t>
  </si>
  <si>
    <t>CUST1456</t>
  </si>
  <si>
    <t>CUST1341</t>
  </si>
  <si>
    <t>CUST1001</t>
  </si>
  <si>
    <t>CUST1351</t>
  </si>
  <si>
    <t>CUST1460</t>
  </si>
  <si>
    <t>CUST1254</t>
  </si>
  <si>
    <t>CUST1086</t>
  </si>
  <si>
    <t>CUST1071</t>
  </si>
  <si>
    <t>CUST1429</t>
  </si>
  <si>
    <t>CUST1336</t>
  </si>
  <si>
    <t>CUST1339</t>
  </si>
  <si>
    <t>CUST1389</t>
  </si>
  <si>
    <t>CUST1383</t>
  </si>
  <si>
    <t>CUST1388</t>
  </si>
  <si>
    <t>CUST1433</t>
  </si>
  <si>
    <t>CUST1077</t>
  </si>
  <si>
    <t>CUST1409</t>
  </si>
  <si>
    <t>CUST1072</t>
  </si>
  <si>
    <t>CUST1492</t>
  </si>
  <si>
    <t>CUST1376</t>
  </si>
  <si>
    <t>CUST1420</t>
  </si>
  <si>
    <t>CUST1329</t>
  </si>
  <si>
    <t>CUST1441</t>
  </si>
  <si>
    <t>CUST1488</t>
  </si>
  <si>
    <t>CUST1004</t>
  </si>
  <si>
    <t>CUST1342</t>
  </si>
  <si>
    <t>CUST1191</t>
  </si>
  <si>
    <t>CUST1484</t>
  </si>
  <si>
    <t>CUST1172</t>
  </si>
  <si>
    <t>CUST1364</t>
  </si>
  <si>
    <t>CUST1330</t>
  </si>
  <si>
    <t>CUST1366</t>
  </si>
  <si>
    <t>CUST1107</t>
  </si>
  <si>
    <t>CUST1497</t>
  </si>
  <si>
    <t>CUST1396</t>
  </si>
  <si>
    <t>CUST1491</t>
  </si>
  <si>
    <t>CUST1412</t>
  </si>
  <si>
    <t>CUST1468</t>
  </si>
  <si>
    <t>CUST1147</t>
  </si>
  <si>
    <t>CUST1327</t>
  </si>
  <si>
    <t>CUST1038</t>
  </si>
  <si>
    <t>CUST1469</t>
  </si>
  <si>
    <t>CUST1132</t>
  </si>
  <si>
    <t>CUST1377</t>
  </si>
  <si>
    <t>CUST1015</t>
  </si>
  <si>
    <t>CUST1087</t>
  </si>
  <si>
    <t>CUST1079</t>
  </si>
  <si>
    <t>CUST1415</t>
  </si>
  <si>
    <t>CUST1401</t>
  </si>
  <si>
    <t>CUST1211</t>
  </si>
  <si>
    <t>CUST1427</t>
  </si>
  <si>
    <t>CUST1310</t>
  </si>
  <si>
    <t>CUST1328</t>
  </si>
  <si>
    <t>CUST1306</t>
  </si>
  <si>
    <t>CUST1234</t>
  </si>
  <si>
    <t>CUST1395</t>
  </si>
  <si>
    <t>CUST1465</t>
  </si>
  <si>
    <t>CUST1322</t>
  </si>
  <si>
    <t>CUST1452</t>
  </si>
  <si>
    <t>CUST1313</t>
  </si>
  <si>
    <t>CUST1374</t>
  </si>
  <si>
    <t>CUST1325</t>
  </si>
  <si>
    <t>CUST1360</t>
  </si>
  <si>
    <t>CUST1378</t>
  </si>
  <si>
    <t>CUST1344</t>
  </si>
  <si>
    <t>CUST1472</t>
  </si>
  <si>
    <t>CUST1400</t>
  </si>
  <si>
    <t>CUST1233</t>
  </si>
  <si>
    <t>CUST1419</t>
  </si>
  <si>
    <t>CUST1455</t>
  </si>
  <si>
    <t>CUST1019</t>
  </si>
  <si>
    <t>CUST1311</t>
  </si>
  <si>
    <t>CUST1032</t>
  </si>
  <si>
    <t>CUST1386</t>
  </si>
  <si>
    <t>CUST1367</t>
  </si>
  <si>
    <t>CUST1424</t>
  </si>
  <si>
    <t>CUST1446</t>
  </si>
  <si>
    <t>CUST1309</t>
  </si>
  <si>
    <t>CUST1009</t>
  </si>
  <si>
    <t>CUST1406</t>
  </si>
  <si>
    <t>CUST1237</t>
  </si>
  <si>
    <t>CUST1499</t>
  </si>
  <si>
    <t>CUST1371</t>
  </si>
  <si>
    <t>CUST1448</t>
  </si>
  <si>
    <t>CUST1136</t>
  </si>
  <si>
    <t>CUST1445</t>
  </si>
  <si>
    <t>CUST1478</t>
  </si>
  <si>
    <t>CUST1337</t>
  </si>
  <si>
    <t>CUST1417</t>
  </si>
  <si>
    <t>CUST1398</t>
  </si>
  <si>
    <t>CUST1453</t>
  </si>
  <si>
    <t>CUST1248</t>
  </si>
  <si>
    <t>CUST1280</t>
  </si>
  <si>
    <t>CUST1134</t>
  </si>
  <si>
    <t>CUST1010</t>
  </si>
  <si>
    <t>CUST1088</t>
  </si>
  <si>
    <t>CUST1382</t>
  </si>
  <si>
    <t>CUST1393</t>
  </si>
  <si>
    <t>CUST1326</t>
  </si>
  <si>
    <t>CUST1482</t>
  </si>
  <si>
    <t>CUST1048</t>
  </si>
  <si>
    <t>CUST1124</t>
  </si>
  <si>
    <t>CUST1353</t>
  </si>
  <si>
    <t>CUST1094</t>
  </si>
  <si>
    <t>CUST1210</t>
  </si>
  <si>
    <t>CUST1450</t>
  </si>
  <si>
    <t>CUST1190</t>
  </si>
  <si>
    <t>CUST1458</t>
  </si>
  <si>
    <t>CUST1287</t>
  </si>
  <si>
    <t>CUST1171</t>
  </si>
  <si>
    <t>CUST1391</t>
  </si>
  <si>
    <t>CUST1404</t>
  </si>
  <si>
    <t>CUST1340</t>
  </si>
  <si>
    <t>CUST1463</t>
  </si>
  <si>
    <t>CUST1122</t>
  </si>
  <si>
    <t>CUST1489</t>
  </si>
  <si>
    <t>CUST1054</t>
  </si>
  <si>
    <t>CUST1466</t>
  </si>
  <si>
    <t>CUST1335</t>
  </si>
  <si>
    <t>CUST1462</t>
  </si>
  <si>
    <t>CUST1384</t>
  </si>
  <si>
    <t>CUST1454</t>
  </si>
  <si>
    <t>CUST1141</t>
  </si>
  <si>
    <t>CUST1321</t>
  </si>
  <si>
    <t>CUST1470</t>
  </si>
  <si>
    <t>CUST1204</t>
  </si>
  <si>
    <t>CUST1205</t>
  </si>
  <si>
    <t>CUST1317</t>
  </si>
  <si>
    <t>CUST1486</t>
  </si>
  <si>
    <t>CUST1159</t>
  </si>
  <si>
    <t>CUST1067</t>
  </si>
  <si>
    <t>CUST1262</t>
  </si>
  <si>
    <t>CUST1413</t>
  </si>
  <si>
    <t>CUST1081</t>
  </si>
  <si>
    <t>CUST1379</t>
  </si>
  <si>
    <t>CUST1060</t>
  </si>
  <si>
    <t>CUST1410</t>
  </si>
  <si>
    <t>CUST1283</t>
  </si>
  <si>
    <t>CUST1356</t>
  </si>
  <si>
    <t>CUST1319</t>
  </si>
  <si>
    <t>CUST1208</t>
  </si>
  <si>
    <t>CUST1137</t>
  </si>
  <si>
    <t>CUST1155</t>
  </si>
  <si>
    <t>CUST1111</t>
  </si>
  <si>
    <t>CUST1251</t>
  </si>
  <si>
    <t>CUST1402</t>
  </si>
  <si>
    <t>CUST1044</t>
  </si>
  <si>
    <t>CUST1442</t>
  </si>
  <si>
    <t>CUST1459</t>
  </si>
  <si>
    <t>CUST1176</t>
  </si>
  <si>
    <t>CUST1270</t>
  </si>
  <si>
    <t>CUST1416</t>
  </si>
  <si>
    <t>CUST1269</t>
  </si>
  <si>
    <t>CUST1440</t>
  </si>
  <si>
    <t>CUST1444</t>
  </si>
  <si>
    <t>CUST1022</t>
  </si>
  <si>
    <t>CUST1390</t>
  </si>
  <si>
    <t>CUST1013</t>
  </si>
  <si>
    <t>CUST1230</t>
  </si>
  <si>
    <t>CUST1139</t>
  </si>
  <si>
    <t>CUST1422</t>
  </si>
  <si>
    <t>CUST1481</t>
  </si>
  <si>
    <t>CUST1385</t>
  </si>
  <si>
    <t>CUST1352</t>
  </si>
  <si>
    <t>CUST1434</t>
  </si>
  <si>
    <t>CUST1304</t>
  </si>
  <si>
    <t>CUST1164</t>
  </si>
  <si>
    <t>CUST1260</t>
  </si>
  <si>
    <t>CUST1240</t>
  </si>
  <si>
    <t>CUST1493</t>
  </si>
  <si>
    <t>CUST1461</t>
  </si>
  <si>
    <t>CUST1293</t>
  </si>
  <si>
    <t>CUST1357</t>
  </si>
  <si>
    <t>CUST1005</t>
  </si>
  <si>
    <t>CUST1431</t>
  </si>
  <si>
    <t>CUST1043</t>
  </si>
  <si>
    <t>CUST1231</t>
  </si>
  <si>
    <t>CUST1436</t>
  </si>
  <si>
    <t>CUST1423</t>
  </si>
  <si>
    <t>CUST1226</t>
  </si>
  <si>
    <t>CUST1323</t>
  </si>
  <si>
    <t>CUST1443</t>
  </si>
  <si>
    <t>CUST1447</t>
  </si>
  <si>
    <t>CUST1500</t>
  </si>
  <si>
    <t>CUST1437</t>
  </si>
  <si>
    <t>CUST1474</t>
  </si>
  <si>
    <t>CUST1451</t>
  </si>
  <si>
    <t>CUST1480</t>
  </si>
  <si>
    <t>CUST1333</t>
  </si>
  <si>
    <t>CUST1061</t>
  </si>
  <si>
    <t>CUST1050</t>
  </si>
  <si>
    <t>CUST1324</t>
  </si>
  <si>
    <t>CUST1394</t>
  </si>
  <si>
    <t>CUST1126</t>
  </si>
  <si>
    <t>CUST1301</t>
  </si>
  <si>
    <t>CUST1308</t>
  </si>
  <si>
    <t>CUST1113</t>
  </si>
  <si>
    <t>CUST1407</t>
  </si>
  <si>
    <t>CUST1040</t>
  </si>
  <si>
    <t>CUST1435</t>
  </si>
  <si>
    <t>CUST1408</t>
  </si>
  <si>
    <t>CUST1487</t>
  </si>
  <si>
    <t>CUST1464</t>
  </si>
  <si>
    <t>CUST1346</t>
  </si>
  <si>
    <t>CUST1361</t>
  </si>
  <si>
    <t>CUST1490</t>
  </si>
  <si>
    <t>CUST1347</t>
  </si>
  <si>
    <t>CUST1018</t>
  </si>
  <si>
    <t>CUST1332</t>
  </si>
  <si>
    <t>Rohan Khanna</t>
  </si>
  <si>
    <t>Anuj Narang</t>
  </si>
  <si>
    <t>Abhishek Raj</t>
  </si>
  <si>
    <t>Rizwan Khan</t>
  </si>
  <si>
    <t>Alok Pal</t>
  </si>
  <si>
    <t>Sandeep Rai</t>
  </si>
  <si>
    <t>Sum of Qty</t>
  </si>
  <si>
    <t>Row Labels</t>
  </si>
  <si>
    <t>Grand Total</t>
  </si>
  <si>
    <t>Sum of Net Sales</t>
  </si>
  <si>
    <t>Jan</t>
  </si>
  <si>
    <t>Feb</t>
  </si>
  <si>
    <t>Mar</t>
  </si>
  <si>
    <t>Apr</t>
  </si>
  <si>
    <t>May</t>
  </si>
  <si>
    <t>Jun</t>
  </si>
  <si>
    <t>Jul</t>
  </si>
  <si>
    <t>Aug</t>
  </si>
  <si>
    <t>Sep</t>
  </si>
  <si>
    <t>Oct</t>
  </si>
  <si>
    <t>Nov</t>
  </si>
  <si>
    <t>Dec</t>
  </si>
  <si>
    <t>Target</t>
  </si>
  <si>
    <t xml:space="preserve">Month </t>
  </si>
  <si>
    <t>Monthly Target</t>
  </si>
  <si>
    <t>Sum of Profit</t>
  </si>
  <si>
    <t>Sum of Target</t>
  </si>
  <si>
    <t>Profit Margin</t>
  </si>
  <si>
    <t>Target Achivement</t>
  </si>
  <si>
    <t>Month</t>
  </si>
  <si>
    <t>Net Sales2</t>
  </si>
  <si>
    <t>Target3</t>
  </si>
  <si>
    <t>City</t>
  </si>
  <si>
    <t xml:space="preserve">PROFIT </t>
  </si>
  <si>
    <t xml:space="preserve">IN LAKH </t>
  </si>
  <si>
    <t>MONTH</t>
  </si>
  <si>
    <t>Sum of PROFIT MARGIN</t>
  </si>
  <si>
    <t>DASHBOARD KPI</t>
  </si>
  <si>
    <t>DASHBOARD SALES BY REGION</t>
  </si>
  <si>
    <t>DASHBOARD PROFIT TREND</t>
  </si>
  <si>
    <t>DASHBOARD SALES BY CITY</t>
  </si>
  <si>
    <t>DASHBOARD MONTHLY SALES</t>
  </si>
  <si>
    <t>DASHBOARD SALES BY CUSTOMER TYPE</t>
  </si>
  <si>
    <t xml:space="preserve">DASHBOARD SALES BY PAYMENT MODE </t>
  </si>
  <si>
    <t>DASHBOARD MONTHLY SALE VS TARGET SALE</t>
  </si>
  <si>
    <t>PROFIT MARGIN</t>
  </si>
  <si>
    <t>DASHBOARD TARGET ACHIEVEMENT KPI</t>
  </si>
  <si>
    <t>Count of S No</t>
  </si>
  <si>
    <t>DASHBOARD ORDER STATUS</t>
  </si>
  <si>
    <t>Column Labels</t>
  </si>
  <si>
    <t>SALESMANT KPI</t>
  </si>
  <si>
    <t>SALESMAN SALES RANKING</t>
  </si>
  <si>
    <t>SALES VS PROFIT</t>
  </si>
  <si>
    <t>SALES MAN PROFIT MARGIN</t>
  </si>
  <si>
    <t>ORDER STATUS BY SALESMAN</t>
  </si>
  <si>
    <t>AOV</t>
  </si>
  <si>
    <t>SALESMAN</t>
  </si>
  <si>
    <t>Column1</t>
  </si>
  <si>
    <t>Column2</t>
  </si>
  <si>
    <t>Column3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</si>
</sst>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
    <numFmt numFmtId="165" formatCode="dd\-mm\-yyyy"/>
    <numFmt numFmtId="166" formatCode="&quot;₹&quot;\ #,##0.00"/>
    <numFmt numFmtId="167" formatCode="&quot;₹&quot;\ #,##0"/>
    <numFmt numFmtId="168" formatCode="&quot;₹&quot;\ #,##0.00\ \L"/>
    <numFmt numFmtId="169" formatCode="0.00\ &quot;L&quot;"/>
    <numFmt numFmtId="170" formatCode="&quot;₹&quot;\ 0.00\ \L"/>
  </numFmts>
  <fonts count="14" x14ac:knownFonts="1">
    <font>
      <sz val="14"/>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4"/>
      <color theme="1"/>
      <name val="Aptos Narrow"/>
      <family val="2"/>
      <scheme val="minor"/>
    </font>
    <font>
      <sz val="8"/>
      <name val="Aptos Narrow"/>
      <family val="2"/>
      <scheme val="minor"/>
    </font>
    <font>
      <sz val="10"/>
      <color theme="1"/>
      <name val="Aptos Narrow"/>
      <family val="2"/>
      <scheme val="minor"/>
    </font>
    <font>
      <b/>
      <sz val="11"/>
      <color theme="1"/>
      <name val="Aptos Narrow"/>
      <family val="2"/>
      <scheme val="minor"/>
    </font>
    <font>
      <b/>
      <sz val="12"/>
      <color theme="1"/>
      <name val="Aptos Narrow"/>
      <family val="2"/>
      <scheme val="minor"/>
    </font>
    <font>
      <sz val="12"/>
      <color theme="1"/>
      <name val="Aptos Narrow"/>
      <family val="2"/>
      <scheme val="minor"/>
    </font>
    <font>
      <b/>
      <sz val="14"/>
      <color theme="0"/>
      <name val="Aptos Narrow"/>
      <family val="2"/>
      <scheme val="minor"/>
    </font>
    <font>
      <b/>
      <sz val="14"/>
      <color theme="1"/>
      <name val="Aptos Display"/>
      <family val="2"/>
      <scheme val="major"/>
    </font>
    <font>
      <b/>
      <sz val="16"/>
      <color theme="1"/>
      <name val="Aptos Display"/>
      <family val="2"/>
      <scheme val="major"/>
    </font>
    <font>
      <b/>
      <sz val="16"/>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4"/>
        <bgColor theme="4"/>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0" fontId="3" fillId="0" borderId="0"/>
  </cellStyleXfs>
  <cellXfs count="107">
    <xf numFmtId="0" fontId="0" fillId="0" borderId="0" xfId="0"/>
    <xf numFmtId="0" fontId="0" fillId="0" borderId="1" xfId="0" applyBorder="1"/>
    <xf numFmtId="164" fontId="0" fillId="0" borderId="1" xfId="0" applyNumberFormat="1" applyBorder="1"/>
    <xf numFmtId="164" fontId="0" fillId="0" borderId="0" xfId="0" applyNumberFormat="1"/>
    <xf numFmtId="165" fontId="0" fillId="0" borderId="1" xfId="0" applyNumberFormat="1" applyBorder="1" applyAlignment="1">
      <alignment horizontal="center"/>
    </xf>
    <xf numFmtId="4" fontId="0" fillId="0" borderId="1" xfId="0" applyNumberFormat="1" applyBorder="1"/>
    <xf numFmtId="10" fontId="0" fillId="0" borderId="0" xfId="0" applyNumberFormat="1"/>
    <xf numFmtId="10" fontId="0" fillId="0" borderId="1" xfId="0" applyNumberFormat="1" applyBorder="1"/>
    <xf numFmtId="0" fontId="4" fillId="2" borderId="2" xfId="0" applyFont="1" applyFill="1" applyBorder="1" applyAlignment="1">
      <alignment horizontal="left"/>
    </xf>
    <xf numFmtId="0" fontId="4" fillId="2" borderId="3" xfId="0" applyFont="1" applyFill="1" applyBorder="1" applyAlignment="1">
      <alignment horizontal="center"/>
    </xf>
    <xf numFmtId="0" fontId="4" fillId="2" borderId="3" xfId="0" applyFont="1" applyFill="1" applyBorder="1"/>
    <xf numFmtId="164" fontId="4" fillId="2" borderId="3" xfId="0" applyNumberFormat="1" applyFont="1" applyFill="1" applyBorder="1"/>
    <xf numFmtId="0" fontId="4" fillId="2" borderId="3" xfId="0" applyFont="1" applyFill="1" applyBorder="1" applyAlignment="1">
      <alignment horizontal="left"/>
    </xf>
    <xf numFmtId="0" fontId="4" fillId="2" borderId="4" xfId="0" applyFont="1" applyFill="1" applyBorder="1" applyAlignment="1">
      <alignment horizontal="left"/>
    </xf>
    <xf numFmtId="0" fontId="0" fillId="0" borderId="5" xfId="0" applyBorder="1" applyAlignment="1">
      <alignment horizontal="left"/>
    </xf>
    <xf numFmtId="0" fontId="0" fillId="0" borderId="6" xfId="0" applyBorder="1"/>
    <xf numFmtId="0" fontId="0" fillId="0" borderId="7" xfId="0" applyBorder="1" applyAlignment="1">
      <alignment horizontal="left"/>
    </xf>
    <xf numFmtId="165" fontId="0" fillId="0" borderId="8" xfId="0" applyNumberFormat="1" applyBorder="1" applyAlignment="1">
      <alignment horizontal="center"/>
    </xf>
    <xf numFmtId="0" fontId="0" fillId="0" borderId="8" xfId="0" applyBorder="1"/>
    <xf numFmtId="164" fontId="0" fillId="0" borderId="8" xfId="0" applyNumberFormat="1" applyBorder="1"/>
    <xf numFmtId="4" fontId="0" fillId="0" borderId="8" xfId="0" applyNumberFormat="1" applyBorder="1"/>
    <xf numFmtId="10" fontId="0" fillId="0" borderId="8" xfId="0" applyNumberFormat="1" applyBorder="1"/>
    <xf numFmtId="0" fontId="0" fillId="0" borderId="9" xfId="0" applyBorder="1"/>
    <xf numFmtId="166" fontId="4" fillId="2" borderId="3" xfId="0" applyNumberFormat="1" applyFont="1" applyFill="1" applyBorder="1"/>
    <xf numFmtId="166" fontId="0" fillId="0" borderId="1" xfId="0" applyNumberFormat="1" applyBorder="1"/>
    <xf numFmtId="166" fontId="0" fillId="0" borderId="8" xfId="0" applyNumberFormat="1" applyBorder="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0" fontId="0" fillId="2" borderId="0" xfId="0" applyFill="1" applyAlignment="1">
      <alignment horizontal="center" vertical="center"/>
    </xf>
    <xf numFmtId="0" fontId="4" fillId="2" borderId="0" xfId="0" applyFont="1" applyFill="1" applyAlignment="1"/>
    <xf numFmtId="0" fontId="4" fillId="0" borderId="0" xfId="0" applyFont="1" applyAlignment="1">
      <alignment horizontal="right"/>
    </xf>
    <xf numFmtId="0" fontId="0" fillId="0" borderId="0" xfId="0" applyAlignment="1">
      <alignment horizontal="right"/>
    </xf>
    <xf numFmtId="167" fontId="0" fillId="0" borderId="0" xfId="0" applyNumberFormat="1"/>
    <xf numFmtId="0" fontId="0" fillId="0" borderId="10" xfId="0" applyBorder="1" applyAlignment="1">
      <alignment horizontal="left"/>
    </xf>
    <xf numFmtId="0" fontId="0" fillId="0" borderId="11" xfId="0" applyBorder="1" applyAlignment="1"/>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left"/>
    </xf>
    <xf numFmtId="0" fontId="0" fillId="0" borderId="17" xfId="0" applyBorder="1" applyAlignment="1"/>
    <xf numFmtId="166" fontId="0" fillId="0" borderId="0" xfId="0" applyNumberFormat="1" applyAlignment="1">
      <alignment horizontal="center"/>
    </xf>
    <xf numFmtId="2" fontId="0" fillId="0" borderId="0" xfId="0" applyNumberFormat="1"/>
    <xf numFmtId="2" fontId="0" fillId="0" borderId="1" xfId="0" applyNumberFormat="1" applyBorder="1" applyAlignment="1">
      <alignment horizontal="center"/>
    </xf>
    <xf numFmtId="10" fontId="4" fillId="0" borderId="0" xfId="0" applyNumberFormat="1" applyFont="1"/>
    <xf numFmtId="166" fontId="6" fillId="0" borderId="0" xfId="0" applyNumberFormat="1" applyFont="1" applyAlignment="1">
      <alignment vertical="center"/>
    </xf>
    <xf numFmtId="0" fontId="6" fillId="0" borderId="0" xfId="0" applyFont="1" applyAlignment="1">
      <alignment vertical="center"/>
    </xf>
    <xf numFmtId="0" fontId="0" fillId="0" borderId="1" xfId="0" applyBorder="1" applyAlignment="1">
      <alignment horizontal="left"/>
    </xf>
    <xf numFmtId="0" fontId="0" fillId="0" borderId="1" xfId="0" pivotButton="1" applyBorder="1"/>
    <xf numFmtId="0" fontId="0" fillId="0" borderId="16" xfId="0" applyBorder="1" applyAlignment="1">
      <alignment horizontal="left"/>
    </xf>
    <xf numFmtId="166" fontId="0" fillId="0" borderId="16" xfId="0" applyNumberFormat="1" applyBorder="1"/>
    <xf numFmtId="0" fontId="0" fillId="0" borderId="1" xfId="0" applyBorder="1" applyAlignment="1">
      <alignment horizontal="center"/>
    </xf>
    <xf numFmtId="0" fontId="0" fillId="0" borderId="17" xfId="0" applyBorder="1"/>
    <xf numFmtId="0" fontId="0" fillId="0" borderId="0" xfId="0" applyBorder="1"/>
    <xf numFmtId="0" fontId="0" fillId="0" borderId="11" xfId="0" applyBorder="1"/>
    <xf numFmtId="0" fontId="4" fillId="3" borderId="1" xfId="0" applyFont="1" applyFill="1" applyBorder="1"/>
    <xf numFmtId="168" fontId="0" fillId="0" borderId="1" xfId="0" applyNumberFormat="1" applyBorder="1" applyAlignment="1">
      <alignment horizontal="right"/>
    </xf>
    <xf numFmtId="0" fontId="0" fillId="2" borderId="0" xfId="0" applyFill="1" applyAlignment="1"/>
    <xf numFmtId="166" fontId="9" fillId="0" borderId="0" xfId="0" applyNumberFormat="1" applyFont="1"/>
    <xf numFmtId="166" fontId="9" fillId="0" borderId="1" xfId="0" applyNumberFormat="1" applyFont="1" applyBorder="1"/>
    <xf numFmtId="166" fontId="2" fillId="0" borderId="0" xfId="0" applyNumberFormat="1" applyFont="1"/>
    <xf numFmtId="10" fontId="9" fillId="0" borderId="0" xfId="0" applyNumberFormat="1" applyFont="1"/>
    <xf numFmtId="2" fontId="9" fillId="0" borderId="0" xfId="0" applyNumberFormat="1" applyFont="1"/>
    <xf numFmtId="0" fontId="6" fillId="0" borderId="0" xfId="0" applyFont="1"/>
    <xf numFmtId="0" fontId="8" fillId="2" borderId="0" xfId="0" applyFont="1" applyFill="1"/>
    <xf numFmtId="0" fontId="0" fillId="2" borderId="18" xfId="0" applyFill="1" applyBorder="1" applyAlignment="1"/>
    <xf numFmtId="0" fontId="7" fillId="2" borderId="0" xfId="0" applyFont="1" applyFill="1" applyAlignment="1"/>
    <xf numFmtId="0" fontId="4" fillId="0" borderId="0" xfId="0" applyFont="1" applyAlignment="1"/>
    <xf numFmtId="166" fontId="9" fillId="0" borderId="1" xfId="0" applyNumberFormat="1" applyFont="1" applyBorder="1" applyAlignment="1"/>
    <xf numFmtId="166" fontId="9" fillId="0" borderId="16" xfId="0" applyNumberFormat="1" applyFont="1" applyBorder="1" applyAlignment="1"/>
    <xf numFmtId="0" fontId="0" fillId="0" borderId="10" xfId="0" applyBorder="1"/>
    <xf numFmtId="0" fontId="4" fillId="3" borderId="10" xfId="0" applyFont="1" applyFill="1" applyBorder="1"/>
    <xf numFmtId="169" fontId="0" fillId="0" borderId="14" xfId="0" applyNumberFormat="1" applyBorder="1" applyAlignment="1">
      <alignment horizontal="center"/>
    </xf>
    <xf numFmtId="0" fontId="0" fillId="0" borderId="0" xfId="0" applyFill="1" applyBorder="1" applyAlignment="1"/>
    <xf numFmtId="0" fontId="0" fillId="2" borderId="1" xfId="0" applyFill="1" applyBorder="1" applyAlignment="1"/>
    <xf numFmtId="0" fontId="0" fillId="0" borderId="16" xfId="0" applyBorder="1"/>
    <xf numFmtId="0" fontId="0" fillId="0" borderId="0" xfId="0" applyFill="1" applyBorder="1"/>
    <xf numFmtId="166" fontId="0" fillId="0" borderId="0" xfId="0" applyNumberFormat="1" applyFill="1" applyBorder="1"/>
    <xf numFmtId="166" fontId="9" fillId="0" borderId="1" xfId="0" applyNumberFormat="1" applyFont="1" applyBorder="1" applyAlignment="1">
      <alignment horizontal="center"/>
    </xf>
    <xf numFmtId="0" fontId="0" fillId="0" borderId="16" xfId="0" pivotButton="1" applyBorder="1"/>
    <xf numFmtId="3" fontId="0" fillId="0" borderId="0" xfId="0" applyNumberFormat="1"/>
    <xf numFmtId="170" fontId="0" fillId="0" borderId="11" xfId="0" applyNumberFormat="1" applyBorder="1" applyAlignment="1">
      <alignment horizontal="center"/>
    </xf>
    <xf numFmtId="1" fontId="9" fillId="0" borderId="0" xfId="0" applyNumberFormat="1" applyFont="1"/>
    <xf numFmtId="0" fontId="10" fillId="4" borderId="19" xfId="0" applyFont="1" applyFill="1" applyBorder="1"/>
    <xf numFmtId="0" fontId="0" fillId="3" borderId="19" xfId="0" applyFont="1" applyFill="1" applyBorder="1"/>
    <xf numFmtId="0" fontId="0" fillId="0" borderId="19" xfId="0" applyFont="1" applyBorder="1"/>
    <xf numFmtId="0" fontId="9" fillId="0" borderId="0" xfId="0" applyNumberFormat="1" applyFont="1"/>
    <xf numFmtId="0" fontId="11" fillId="0" borderId="0" xfId="0" applyFont="1"/>
    <xf numFmtId="0" fontId="0" fillId="2" borderId="0" xfId="0" applyFill="1" applyAlignment="1">
      <alignment horizontal="center"/>
    </xf>
    <xf numFmtId="0" fontId="4" fillId="0" borderId="0" xfId="0" applyFont="1" applyFill="1" applyAlignment="1"/>
    <xf numFmtId="2" fontId="0" fillId="0" borderId="0" xfId="0" pivotButton="1" applyNumberFormat="1"/>
    <xf numFmtId="0" fontId="0" fillId="0" borderId="0" xfId="0" applyFill="1" applyAlignment="1">
      <alignment horizontal="center"/>
    </xf>
    <xf numFmtId="0" fontId="0" fillId="0" borderId="0" xfId="0" applyFill="1"/>
    <xf numFmtId="2" fontId="12" fillId="0" borderId="0" xfId="0" applyNumberFormat="1" applyFont="1"/>
    <xf numFmtId="166" fontId="12" fillId="0" borderId="0" xfId="0" applyNumberFormat="1" applyFont="1"/>
    <xf numFmtId="166" fontId="11" fillId="0" borderId="0" xfId="0" applyNumberFormat="1" applyFont="1"/>
    <xf numFmtId="10" fontId="13" fillId="0" borderId="0" xfId="0" applyNumberFormat="1" applyFont="1"/>
    <xf numFmtId="168" fontId="0" fillId="0" borderId="11" xfId="0" applyNumberFormat="1" applyBorder="1"/>
    <xf numFmtId="0" fontId="0" fillId="0" borderId="12" xfId="0" applyBorder="1" applyAlignment="1">
      <alignment horizontal="left"/>
    </xf>
    <xf numFmtId="166" fontId="0" fillId="0" borderId="13" xfId="0" applyNumberFormat="1" applyBorder="1"/>
    <xf numFmtId="168" fontId="0" fillId="0" borderId="14" xfId="0" applyNumberFormat="1" applyBorder="1"/>
    <xf numFmtId="168" fontId="0" fillId="0" borderId="17" xfId="0" applyNumberFormat="1" applyBorder="1"/>
    <xf numFmtId="0" fontId="4" fillId="0" borderId="0" xfId="0" applyFont="1" applyAlignment="1">
      <alignment horizontal="center"/>
    </xf>
    <xf numFmtId="166" fontId="6" fillId="2" borderId="0" xfId="0" applyNumberFormat="1" applyFont="1" applyFill="1" applyAlignment="1">
      <alignment horizontal="center" vertical="center"/>
    </xf>
    <xf numFmtId="0" fontId="4" fillId="2" borderId="0" xfId="0" applyFont="1" applyFill="1" applyAlignment="1">
      <alignment horizontal="center"/>
    </xf>
    <xf numFmtId="166" fontId="1" fillId="0" borderId="0" xfId="0" applyNumberFormat="1" applyFont="1"/>
  </cellXfs>
  <cellStyles count="2">
    <cellStyle name="Normal" xfId="0" builtinId="0"/>
    <cellStyle name="Normal 2" xfId="1" xr:uid="{00000000-0005-0000-0000-000001000000}"/>
  </cellStyles>
  <dxfs count="3418">
    <dxf>
      <numFmt numFmtId="166" formatCode="&quot;₹&quot;\ #,##0.00"/>
    </dxf>
    <dxf>
      <numFmt numFmtId="1" formatCode="0"/>
    </dxf>
    <dxf>
      <numFmt numFmtId="3" formatCode="#,##0"/>
    </dxf>
    <dxf>
      <numFmt numFmtId="166" formatCode="&quot;₹&quot;\ #,##0.00"/>
    </dxf>
    <dxf>
      <numFmt numFmtId="2" formatCode="0.00"/>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 formatCode="0"/>
    </dxf>
    <dxf>
      <numFmt numFmtId="3" formatCode="#,##0"/>
    </dxf>
    <dxf>
      <numFmt numFmtId="166" formatCode="&quot;₹&quot;\ #,##0.00"/>
    </dxf>
    <dxf>
      <numFmt numFmtId="2" formatCode="0.00"/>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 formatCode="0"/>
    </dxf>
    <dxf>
      <numFmt numFmtId="3" formatCode="#,##0"/>
    </dxf>
    <dxf>
      <numFmt numFmtId="166" formatCode="&quot;₹&quot;\ #,##0.00"/>
    </dxf>
    <dxf>
      <numFmt numFmtId="2" formatCode="0.00"/>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 formatCode="0"/>
    </dxf>
    <dxf>
      <numFmt numFmtId="3" formatCode="#,##0"/>
    </dxf>
    <dxf>
      <numFmt numFmtId="166" formatCode="&quot;₹&quot;\ #,##0.00"/>
    </dxf>
    <dxf>
      <numFmt numFmtId="2" formatCode="0.00"/>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 formatCode="0"/>
    </dxf>
    <dxf>
      <numFmt numFmtId="3" formatCode="#,##0"/>
    </dxf>
    <dxf>
      <numFmt numFmtId="166" formatCode="&quot;₹&quot;\ #,##0.00"/>
    </dxf>
    <dxf>
      <numFmt numFmtId="2" formatCode="0.00"/>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 formatCode="0"/>
    </dxf>
    <dxf>
      <numFmt numFmtId="3" formatCode="#,##0"/>
    </dxf>
    <dxf>
      <numFmt numFmtId="166" formatCode="&quot;₹&quot;\ #,##0.00"/>
    </dxf>
    <dxf>
      <numFmt numFmtId="2" formatCode="0.00"/>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166" formatCode="&quot;₹&quot;\ #,##0.00"/>
    </dxf>
    <dxf>
      <numFmt numFmtId="1" formatCode="0"/>
    </dxf>
    <dxf>
      <numFmt numFmtId="3" formatCode="#,##0"/>
    </dxf>
    <dxf>
      <numFmt numFmtId="166" formatCode="&quot;₹&quot;\ #,##0.00"/>
    </dxf>
    <dxf>
      <numFmt numFmtId="2" formatCode="0.00"/>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 formatCode="0"/>
    </dxf>
    <dxf>
      <numFmt numFmtId="3" formatCode="#,##0"/>
    </dxf>
    <dxf>
      <numFmt numFmtId="166" formatCode="&quot;₹&quot;\ #,##0.00"/>
    </dxf>
    <dxf>
      <numFmt numFmtId="2" formatCode="0.00"/>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 formatCode="0"/>
    </dxf>
    <dxf>
      <numFmt numFmtId="3" formatCode="#,##0"/>
    </dxf>
    <dxf>
      <numFmt numFmtId="166" formatCode="&quot;₹&quot;\ #,##0.00"/>
    </dxf>
    <dxf>
      <numFmt numFmtId="2" formatCode="0.00"/>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 formatCode="0"/>
    </dxf>
    <dxf>
      <numFmt numFmtId="3" formatCode="#,##0"/>
    </dxf>
    <dxf>
      <numFmt numFmtId="166" formatCode="&quot;₹&quot;\ #,##0.00"/>
    </dxf>
    <dxf>
      <numFmt numFmtId="2" formatCode="0.00"/>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font>
        <sz val="12"/>
      </font>
    </dxf>
    <dxf>
      <numFmt numFmtId="166" formatCode="&quot;₹&quot;\ #,##0.00"/>
    </dxf>
    <dxf>
      <font>
        <sz val="12"/>
      </font>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4" formatCode="0.00%"/>
    </dxf>
    <dxf>
      <numFmt numFmtId="2" formatCode="0.00"/>
    </dxf>
    <dxf>
      <numFmt numFmtId="2" formatCode="0.00"/>
    </dxf>
    <dxf>
      <numFmt numFmtId="2" formatCode="0.00"/>
    </dxf>
    <dxf>
      <font>
        <sz val="12"/>
      </font>
    </dxf>
    <dxf>
      <numFmt numFmtId="166" formatCode="&quot;₹&quot;\ #,##0.00"/>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2" formatCode="0.00"/>
    </dxf>
    <dxf>
      <numFmt numFmtId="166" formatCode="&quot;₹&quot;\ #,##0.00"/>
    </dxf>
    <dxf>
      <font>
        <sz val="11"/>
      </font>
    </dxf>
    <dxf>
      <numFmt numFmtId="166" formatCode="&quot;₹&quot;\ #,##0.00"/>
    </dxf>
    <dxf>
      <numFmt numFmtId="2" formatCode="0.00"/>
    </dxf>
    <dxf>
      <font>
        <sz val="12"/>
      </font>
    </dxf>
    <dxf>
      <numFmt numFmtId="166" formatCode="&quot;₹&quot;\ #,##0.00"/>
    </dxf>
    <dxf>
      <font>
        <sz val="11"/>
      </font>
    </dxf>
    <dxf>
      <font>
        <sz val="12"/>
      </font>
    </dxf>
    <dxf>
      <numFmt numFmtId="2" formatCode="0.00"/>
    </dxf>
    <dxf>
      <numFmt numFmtId="3" formatCode="#,##0"/>
    </dxf>
    <dxf>
      <numFmt numFmtId="2" formatCode="0.00"/>
    </dxf>
    <dxf>
      <numFmt numFmtId="1" formatCode="0"/>
    </dxf>
    <dxf>
      <numFmt numFmtId="1" formatCode="0"/>
    </dxf>
    <dxf>
      <font>
        <sz val="12"/>
      </font>
    </dxf>
    <dxf>
      <numFmt numFmtId="14" formatCode="0.00%"/>
    </dxf>
    <dxf>
      <font>
        <sz val="10"/>
      </font>
    </dxf>
    <dxf>
      <numFmt numFmtId="166" formatCode="&quot;₹&quot;\ #,##0.00"/>
    </dxf>
    <dxf>
      <font>
        <sz val="12"/>
      </font>
    </dxf>
    <dxf>
      <font>
        <sz val="11"/>
      </font>
    </dxf>
    <dxf>
      <numFmt numFmtId="166" formatCode="&quot;₹&quot;\ #,##0.00"/>
    </dxf>
    <dxf>
      <font>
        <sz val="11"/>
      </font>
    </dxf>
    <dxf>
      <numFmt numFmtId="166" formatCode="&quot;₹&quot;\ #,##0.00"/>
    </dxf>
    <dxf>
      <numFmt numFmtId="1" formatCode="0"/>
    </dxf>
    <dxf>
      <numFmt numFmtId="3" formatCode="#,##0"/>
    </dxf>
    <dxf>
      <numFmt numFmtId="166" formatCode="&quot;₹&quot;\ #,##0.00"/>
    </dxf>
    <dxf>
      <numFmt numFmtId="2" formatCode="0.00"/>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 formatCode="0"/>
    </dxf>
    <dxf>
      <numFmt numFmtId="3" formatCode="#,##0"/>
    </dxf>
    <dxf>
      <numFmt numFmtId="166" formatCode="&quot;₹&quot;\ #,##0.00"/>
    </dxf>
    <dxf>
      <numFmt numFmtId="2" formatCode="0.00"/>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 formatCode="0"/>
    </dxf>
    <dxf>
      <numFmt numFmtId="3" formatCode="#,##0"/>
    </dxf>
    <dxf>
      <numFmt numFmtId="166" formatCode="&quot;₹&quot;\ #,##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166" formatCode="&quot;₹&quot;\ #,##0.00"/>
    </dxf>
    <dxf>
      <numFmt numFmtId="1" formatCode="0"/>
    </dxf>
    <dxf>
      <numFmt numFmtId="3" formatCode="#,##0"/>
    </dxf>
    <dxf>
      <numFmt numFmtId="166" formatCode="&quot;₹&quot;\ #,##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166" formatCode="&quot;₹&quot;\ #,##0.00"/>
    </dxf>
    <dxf>
      <numFmt numFmtId="1" formatCode="0"/>
    </dxf>
    <dxf>
      <numFmt numFmtId="3" formatCode="#,##0"/>
    </dxf>
    <dxf>
      <numFmt numFmtId="166" formatCode="&quot;₹&quot;\ #,##0.00"/>
    </dxf>
    <dxf>
      <numFmt numFmtId="2" formatCode="0.00"/>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 formatCode="0"/>
    </dxf>
    <dxf>
      <numFmt numFmtId="3" formatCode="#,##0"/>
    </dxf>
    <dxf>
      <numFmt numFmtId="166" formatCode="&quot;₹&quot;\ #,##0.00"/>
    </dxf>
    <dxf>
      <numFmt numFmtId="2" formatCode="0.00"/>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 formatCode="0"/>
    </dxf>
    <dxf>
      <numFmt numFmtId="3" formatCode="#,##0"/>
    </dxf>
    <dxf>
      <numFmt numFmtId="166" formatCode="&quot;₹&quot;\ #,##0.00"/>
    </dxf>
    <dxf>
      <numFmt numFmtId="2" formatCode="0.00"/>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 formatCode="0"/>
    </dxf>
    <dxf>
      <numFmt numFmtId="3" formatCode="#,##0"/>
    </dxf>
    <dxf>
      <numFmt numFmtId="166" formatCode="&quot;₹&quot;\ #,##0.00"/>
    </dxf>
    <dxf>
      <numFmt numFmtId="2" formatCode="0.00"/>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 formatCode="0"/>
    </dxf>
    <dxf>
      <numFmt numFmtId="3" formatCode="#,##0"/>
    </dxf>
    <dxf>
      <numFmt numFmtId="166" formatCode="&quot;₹&quot;\ #,##0.00"/>
    </dxf>
    <dxf>
      <numFmt numFmtId="2" formatCode="0.00"/>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 formatCode="0"/>
    </dxf>
    <dxf>
      <numFmt numFmtId="3" formatCode="#,##0"/>
    </dxf>
    <dxf>
      <numFmt numFmtId="166" formatCode="&quot;₹&quot;\ #,##0.00"/>
    </dxf>
    <dxf>
      <numFmt numFmtId="2" formatCode="0.00"/>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 formatCode="0"/>
    </dxf>
    <dxf>
      <numFmt numFmtId="3" formatCode="#,##0"/>
    </dxf>
    <dxf>
      <numFmt numFmtId="166" formatCode="&quot;₹&quot;\ #,##0.00"/>
    </dxf>
    <dxf>
      <numFmt numFmtId="2" formatCode="0.00"/>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 formatCode="0"/>
    </dxf>
    <dxf>
      <numFmt numFmtId="3" formatCode="#,##0"/>
    </dxf>
    <dxf>
      <numFmt numFmtId="166" formatCode="&quot;₹&quot;\ #,##0.00"/>
    </dxf>
    <dxf>
      <numFmt numFmtId="2" formatCode="0.00"/>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 formatCode="0"/>
    </dxf>
    <dxf>
      <numFmt numFmtId="3" formatCode="#,##0"/>
    </dxf>
    <dxf>
      <numFmt numFmtId="166" formatCode="&quot;₹&quot;\ #,##0.00"/>
    </dxf>
    <dxf>
      <numFmt numFmtId="2" formatCode="0.00"/>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 formatCode="0"/>
    </dxf>
    <dxf>
      <numFmt numFmtId="3" formatCode="#,##0"/>
    </dxf>
    <dxf>
      <numFmt numFmtId="166" formatCode="&quot;₹&quot;\ #,##0.00"/>
    </dxf>
    <dxf>
      <numFmt numFmtId="2" formatCode="0.00"/>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 formatCode="0"/>
    </dxf>
    <dxf>
      <numFmt numFmtId="3" formatCode="#,##0"/>
    </dxf>
    <dxf>
      <numFmt numFmtId="166" formatCode="&quot;₹&quot;\ #,##0.00"/>
    </dxf>
    <dxf>
      <numFmt numFmtId="2" formatCode="0.00"/>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 formatCode="0"/>
    </dxf>
    <dxf>
      <numFmt numFmtId="3" formatCode="#,##0"/>
    </dxf>
    <dxf>
      <numFmt numFmtId="166" formatCode="&quot;₹&quot;\ #,##0.00"/>
    </dxf>
    <dxf>
      <numFmt numFmtId="2" formatCode="0.00"/>
    </dxf>
    <dxf>
      <numFmt numFmtId="166" formatCode="&quot;₹&quot;\ #,##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numFmt numFmtId="166" formatCode="&quot;₹&quot;\ #,##0.00"/>
    </dxf>
    <dxf>
      <numFmt numFmtId="166" formatCode="&quot;₹&quot;\ #,##0.00"/>
    </dxf>
    <dxf>
      <font>
        <sz val="12"/>
      </font>
    </dxf>
    <dxf>
      <numFmt numFmtId="166" formatCode="&quot;₹&quot;\ #,##0.00"/>
    </dxf>
    <dxf>
      <numFmt numFmtId="0" formatCode="General"/>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6" formatCode="&quot;₹&quot;\ #,##0.00"/>
    </dxf>
    <dxf>
      <numFmt numFmtId="0" formatCode="General"/>
    </dxf>
    <dxf>
      <numFmt numFmtId="166" formatCode="&quot;₹&quot;\ #,##0.00"/>
    </dxf>
    <dxf>
      <numFmt numFmtId="166" formatCode="&quot;₹&quot;\ #,##0.00"/>
    </dxf>
    <dxf>
      <numFmt numFmtId="166" formatCode="&quot;₹&quot;\ #,##0.00"/>
    </dxf>
    <dxf>
      <font>
        <sz val="12"/>
      </font>
    </dxf>
    <dxf>
      <font>
        <sz val="12"/>
      </font>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center" vertical="center" textRotation="0" wrapText="0" indent="0" justifyLastLine="0" shrinkToFit="0" readingOrder="0"/>
    </dxf>
    <dxf>
      <numFmt numFmtId="167" formatCode="&quot;₹&quot;\ #,##0"/>
    </dxf>
    <dxf>
      <numFmt numFmtId="167" formatCode="&quot;₹&quot;\ #,##0"/>
    </dxf>
    <dxf>
      <numFmt numFmtId="166" formatCode="&quot;₹&quot;\ #,##0.00"/>
    </dxf>
    <dxf>
      <numFmt numFmtId="166" formatCode="&quot;₹&quot;\ #,##0.00"/>
    </dxf>
    <dxf>
      <font>
        <sz val="12"/>
      </font>
    </dxf>
    <dxf>
      <numFmt numFmtId="166" formatCode="&quot;₹&quot;\ #,##0.00"/>
    </dxf>
    <dxf>
      <font>
        <sz val="12"/>
      </font>
    </dxf>
    <dxf>
      <numFmt numFmtId="166" formatCode="&quot;₹&quot;\ #,##0.00"/>
    </dxf>
    <dxf>
      <font>
        <sz val="12"/>
      </font>
    </dxf>
    <dxf>
      <numFmt numFmtId="14" formatCode="0.00%"/>
    </dxf>
    <dxf>
      <numFmt numFmtId="14" formatCode="0.00%"/>
    </dxf>
    <dxf>
      <font>
        <sz val="12"/>
      </font>
    </dxf>
    <dxf>
      <numFmt numFmtId="166" formatCode="&quot;₹&quot;\ #,##0.00"/>
    </dxf>
    <dxf>
      <numFmt numFmtId="166" formatCode="&quot;₹&quot;\ #,##0.00"/>
    </dxf>
    <dxf>
      <font>
        <sz val="12"/>
      </font>
    </dxf>
    <dxf>
      <numFmt numFmtId="2" formatCode="0.00"/>
    </dxf>
    <dxf>
      <numFmt numFmtId="2" formatCode="0.00"/>
    </dxf>
    <dxf>
      <numFmt numFmtId="14" formatCode="0.00%"/>
    </dxf>
    <dxf>
      <font>
        <sz val="12"/>
      </font>
    </dxf>
    <dxf>
      <numFmt numFmtId="166" formatCode="&quot;₹&quot;\ #,##0.00"/>
    </dxf>
    <dxf>
      <font>
        <sz val="12"/>
      </font>
    </dxf>
    <dxf>
      <numFmt numFmtId="166" formatCode="&quot;₹&quot;\ #,##0.00"/>
    </dxf>
    <dxf>
      <font>
        <sz val="12"/>
      </font>
    </dxf>
    <dxf>
      <numFmt numFmtId="2" formatCode="0.00"/>
    </dxf>
    <dxf>
      <numFmt numFmtId="2" formatCode="0.00"/>
    </dxf>
    <dxf>
      <numFmt numFmtId="1" formatCode="0"/>
    </dxf>
    <dxf>
      <numFmt numFmtId="1" formatCode="0"/>
    </dxf>
    <dxf>
      <numFmt numFmtId="2" formatCode="0.00"/>
    </dxf>
    <dxf>
      <numFmt numFmtId="3" formatCode="#,##0"/>
    </dxf>
    <dxf>
      <numFmt numFmtId="2" formatCode="0.00"/>
    </dxf>
    <dxf>
      <font>
        <sz val="12"/>
      </font>
    </dxf>
    <dxf>
      <font>
        <sz val="11"/>
      </font>
    </dxf>
    <dxf>
      <numFmt numFmtId="166" formatCode="&quot;₹&quot;\ #,##0.00"/>
    </dxf>
    <dxf>
      <font>
        <sz val="11"/>
      </font>
    </dxf>
    <dxf>
      <numFmt numFmtId="166" formatCode="&quot;₹&quot;\ #,##0.00"/>
    </dxf>
    <dxf>
      <font>
        <sz val="12"/>
      </font>
    </dxf>
    <dxf>
      <numFmt numFmtId="2" formatCode="0.00"/>
    </dxf>
    <dxf>
      <numFmt numFmtId="166" formatCode="&quot;₹&quot;\ #,##0.00"/>
    </dxf>
    <dxf>
      <font>
        <sz val="10"/>
      </font>
    </dxf>
    <dxf>
      <numFmt numFmtId="14" formatCode="0.00%"/>
    </dxf>
    <dxf>
      <font>
        <sz val="12"/>
      </font>
    </dxf>
    <dxf>
      <font>
        <sz val="11"/>
      </font>
    </dxf>
    <dxf>
      <numFmt numFmtId="166" formatCode="&quot;₹&quot;\ #,##0.00"/>
    </dxf>
    <dxf>
      <font>
        <sz val="11"/>
      </font>
    </dxf>
    <dxf>
      <font>
        <sz val="12"/>
      </font>
    </dxf>
    <dxf>
      <numFmt numFmtId="166" formatCode="&quot;₹&quot;\ #,##0.00"/>
    </dxf>
    <dxf>
      <numFmt numFmtId="168" formatCode="&quot;₹&quot;\ #,##0.00\ \L"/>
      <border diagonalUp="0" diagonalDown="0">
        <left style="thin">
          <color indexed="64"/>
        </left>
        <right/>
        <top style="thin">
          <color indexed="64"/>
        </top>
        <bottom style="thin">
          <color indexed="64"/>
        </bottom>
        <vertical/>
        <horizontal/>
      </border>
    </dxf>
    <dxf>
      <numFmt numFmtId="166" formatCode="&quot;₹&quot;\ #,##0.0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69" formatCode="0.00\ &quot;L&quot;"/>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theme="1"/>
        <name val="Aptos Narrow"/>
        <family val="2"/>
        <scheme val="minor"/>
      </font>
      <numFmt numFmtId="166" formatCode="&quot;₹&quot;\ #,##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0" formatCode="Genera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quot;₹&quot;\ #,##0.00"/>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ptos Narrow"/>
        <family val="2"/>
        <scheme val="minor"/>
      </font>
      <numFmt numFmtId="166" formatCode="&quot;₹&quot;\ #,##0.00"/>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medium">
          <color indexed="64"/>
        </left>
        <right style="medium">
          <color indexed="64"/>
        </right>
        <top style="medium">
          <color indexed="64"/>
        </top>
        <bottom style="medium">
          <color indexed="64"/>
        </bottom>
      </border>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numFmt numFmtId="166" formatCode="&quot;₹&quot;\ #,##0.00"/>
    </dxf>
    <dxf>
      <numFmt numFmtId="166" formatCode="&quot;₹&quot;\ #,##0.00"/>
    </dxf>
    <dxf>
      <numFmt numFmtId="0" formatCode="General"/>
    </dxf>
    <dxf>
      <numFmt numFmtId="166" formatCode="&quot;₹&quot;\ #,##0.00"/>
    </dxf>
    <dxf>
      <numFmt numFmtId="166" formatCode="&quot;₹&quot;\ #,##0.00"/>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00"/>
    </dxf>
    <dxf>
      <numFmt numFmtId="3" formatCode="#,##0"/>
    </dxf>
    <dxf>
      <numFmt numFmtId="1" formatCode="0"/>
    </dxf>
    <dxf>
      <numFmt numFmtId="166" formatCode="&quot;₹&quot;\ #,##0.00"/>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quot;₹&quot;\ #,##0.00"/>
    </dxf>
    <dxf>
      <numFmt numFmtId="166" formatCode="&quot;₹&quot;\ #,##0.00"/>
    </dxf>
    <dxf>
      <numFmt numFmtId="166" formatCode="&quot;₹&quot;\ #,##0.00"/>
    </dxf>
    <dxf>
      <numFmt numFmtId="0" formatCode="General"/>
    </dxf>
    <dxf>
      <numFmt numFmtId="166" formatCode="&quot;₹&quot;\ #,##0.0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00"/>
    </dxf>
    <dxf>
      <font>
        <sz val="12"/>
      </font>
    </dxf>
    <dxf>
      <numFmt numFmtId="166" formatCode="&quot;₹&quot;\ #,##0.00"/>
    </dxf>
    <dxf>
      <numFmt numFmtId="166" formatCode="&quot;₹&quot;\ #,##0.00"/>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numFmt numFmtId="166" formatCode="&quot;₹&quot;\ #,##0.00"/>
    </dxf>
    <dxf>
      <numFmt numFmtId="2" formatCode="0.00"/>
    </dxf>
    <dxf>
      <numFmt numFmtId="166" formatCode="&quot;₹&quot;\ #,##0.00"/>
    </dxf>
    <dxf>
      <font>
        <b/>
        <sz val="11"/>
        <color theme="1"/>
      </font>
      <border>
        <vertical/>
        <horizontal/>
      </border>
    </dxf>
    <dxf>
      <font>
        <color theme="1"/>
      </font>
      <border>
        <left style="thin">
          <color theme="3" tint="0.499984740745262"/>
        </left>
        <right style="thin">
          <color theme="3" tint="0.499984740745262"/>
        </right>
        <top style="thin">
          <color theme="3" tint="0.499984740745262"/>
        </top>
        <bottom style="thin">
          <color theme="3" tint="0.499984740745262"/>
        </bottom>
        <vertical/>
        <horizontal/>
      </border>
    </dxf>
    <dxf>
      <font>
        <b/>
        <i val="0"/>
        <sz val="11"/>
        <color rgb="FF002060"/>
        <name val="Aptos Display"/>
        <family val="2"/>
        <scheme val="major"/>
      </font>
      <fill>
        <gradientFill degree="90">
          <stop position="0">
            <color rgb="FFFFE89F"/>
          </stop>
          <stop position="1">
            <color rgb="FFBAE2F4"/>
          </stop>
        </gradientFill>
      </fill>
      <border>
        <vertical/>
        <horizontal/>
      </border>
    </dxf>
    <dxf>
      <font>
        <b val="0"/>
        <i val="0"/>
        <sz val="8"/>
        <color theme="1"/>
        <name val="Aptos"/>
        <family val="2"/>
        <scheme val="none"/>
      </font>
      <fill>
        <patternFill patternType="none">
          <fgColor auto="1"/>
          <bgColor auto="1"/>
        </patternFill>
      </fill>
      <border>
        <left style="thin">
          <color theme="4"/>
        </left>
        <right style="thin">
          <color theme="4"/>
        </right>
        <top style="thin">
          <color theme="4"/>
        </top>
        <bottom style="thin">
          <color theme="4"/>
        </bottom>
        <vertical/>
        <horizontal/>
      </border>
    </dxf>
    <dxf>
      <font>
        <b/>
        <i val="0"/>
        <sz val="11"/>
        <color rgb="FF002060"/>
        <name val="Aptos Display"/>
        <family val="2"/>
        <scheme val="major"/>
      </font>
      <fill>
        <patternFill patternType="none">
          <fgColor auto="1"/>
          <bgColor auto="1"/>
        </patternFill>
      </fill>
      <border>
        <left style="medium">
          <color theme="3" tint="0.499984740745262"/>
        </left>
        <right style="medium">
          <color theme="3" tint="0.499984740745262"/>
        </right>
        <top style="medium">
          <color theme="3" tint="0.499984740745262"/>
        </top>
        <bottom style="medium">
          <color theme="3" tint="0.499984740745262"/>
        </bottom>
        <vertical/>
        <horizontal/>
      </border>
    </dxf>
    <dxf>
      <font>
        <sz val="9"/>
        <color theme="1"/>
        <name val="Aptos"/>
        <family val="2"/>
        <scheme val="none"/>
      </font>
      <fill>
        <patternFill>
          <bgColor theme="0"/>
        </patternFill>
      </fill>
      <border>
        <left style="thin">
          <color theme="4"/>
        </left>
        <right style="thin">
          <color theme="4"/>
        </right>
        <top style="thin">
          <color theme="4"/>
        </top>
        <bottom style="thin">
          <color theme="4"/>
        </bottom>
        <vertical/>
        <horizontal/>
      </border>
    </dxf>
    <dxf>
      <font>
        <b/>
        <i val="0"/>
        <sz val="10"/>
        <name val="Aptos Display"/>
        <family val="2"/>
        <scheme val="major"/>
      </font>
    </dxf>
    <dxf>
      <font>
        <b val="0"/>
        <i val="0"/>
        <sz val="8"/>
        <name val="Aptos"/>
        <family val="2"/>
        <scheme val="none"/>
      </font>
      <fill>
        <gradientFill degree="90">
          <stop position="0">
            <color rgb="FFFFE89F"/>
          </stop>
          <stop position="1">
            <color rgb="FFBAE2F4"/>
          </stop>
        </gradientFill>
      </fill>
      <border>
        <left style="medium">
          <color auto="1"/>
        </left>
        <right style="medium">
          <color auto="1"/>
        </right>
        <top style="medium">
          <color auto="1"/>
        </top>
        <bottom style="medium">
          <color auto="1"/>
        </bottom>
      </border>
    </dxf>
    <dxf>
      <font>
        <sz val="8"/>
        <name val="Aptos Display"/>
        <family val="2"/>
        <scheme val="major"/>
      </font>
      <fill>
        <patternFill>
          <bgColor theme="0"/>
        </patternFill>
      </fill>
    </dxf>
    <dxf>
      <font>
        <sz val="10"/>
        <color theme="1"/>
        <name val="Aptos"/>
        <family val="2"/>
        <scheme val="none"/>
      </font>
      <border>
        <bottom style="thin">
          <color theme="4"/>
        </bottom>
        <vertical/>
        <horizontal/>
      </border>
    </dxf>
    <dxf>
      <font>
        <sz val="9"/>
        <color theme="1"/>
        <name val="Aptos Display"/>
        <family val="2"/>
        <scheme val="major"/>
      </font>
      <border>
        <left style="thin">
          <color theme="4"/>
        </left>
        <right style="thin">
          <color theme="4"/>
        </right>
        <top style="thin">
          <color theme="4"/>
        </top>
        <bottom style="thin">
          <color theme="4"/>
        </bottom>
        <vertical/>
        <horizontal/>
      </border>
    </dxf>
  </dxfs>
  <tableStyles count="6" defaultTableStyle="TableStyleMedium2" defaultPivotStyle="PivotStyleLight16">
    <tableStyle name="DASHBOARD SLICER" pivot="0" table="0" count="10" xr9:uid="{68B686DF-FEF0-467C-A112-B0529F4A968B}">
      <tableStyleElement type="wholeTable" dxfId="3417"/>
      <tableStyleElement type="headerRow" dxfId="3416"/>
    </tableStyle>
    <tableStyle name="Slicer Style 1" pivot="0" table="0" count="1" xr9:uid="{E9F2D219-219F-4EB7-A3CC-2714878452DB}">
      <tableStyleElement type="wholeTable" dxfId="3415"/>
    </tableStyle>
    <tableStyle name="Slicer Style 2" pivot="0" table="0" count="9" xr9:uid="{7B2C235D-0DC3-4A38-8581-32A38784C805}">
      <tableStyleElement type="wholeTable" dxfId="3414"/>
      <tableStyleElement type="headerRow" dxfId="3413"/>
    </tableStyle>
    <tableStyle name="SlicerStyleDark1 2" pivot="0" table="0" count="10" xr9:uid="{DEC86CFF-8C21-4FA9-B124-14B7E558B770}">
      <tableStyleElement type="wholeTable" dxfId="3412"/>
      <tableStyleElement type="headerRow" dxfId="3411"/>
    </tableStyle>
    <tableStyle name="TimeSlicerStyleDark1 2" pivot="0" table="0" count="9" xr9:uid="{873B8D62-5CC4-4AB3-BC4F-47C27F51C231}">
      <tableStyleElement type="wholeTable" dxfId="3410"/>
      <tableStyleElement type="headerRow" dxfId="3409"/>
    </tableStyle>
    <tableStyle name="TimeSlicerStyleLight1 2" pivot="0" table="0" count="9" xr9:uid="{54156EC5-8D6A-4198-A9D9-20412049D690}">
      <tableStyleElement type="wholeTable" dxfId="3408"/>
      <tableStyleElement type="headerRow" dxfId="3407"/>
    </tableStyle>
  </tableStyles>
  <colors>
    <mruColors>
      <color rgb="FFFFC91D"/>
      <color rgb="FFB40000"/>
      <color rgb="FFD6A300"/>
      <color rgb="FFFFFFB7"/>
      <color rgb="FFDEC8EE"/>
      <color rgb="FFFFFF8B"/>
      <color rgb="FFF2EC00"/>
      <color rgb="FF12506C"/>
      <color rgb="FFFFFA00"/>
      <color rgb="FFF2B800"/>
    </mruColors>
  </colors>
  <extLst>
    <ext xmlns:x14="http://schemas.microsoft.com/office/spreadsheetml/2009/9/main" uri="{46F421CA-312F-682f-3DD2-61675219B42D}">
      <x14:dxfs count="23">
        <dxf>
          <font>
            <color rgb="FF000000"/>
          </font>
          <fill>
            <patternFill patternType="solid">
              <fgColor auto="1"/>
              <bgColor theme="0" tint="-0.1499679555650502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rgb="FFFFC91D"/>
          </font>
          <fill>
            <patternFill patternType="solid">
              <fgColor auto="1"/>
              <bgColor theme="4" tint="-0.24994659260841701"/>
            </patternFill>
          </fill>
          <border>
            <left style="thin">
              <color rgb="FF999999"/>
            </left>
            <right style="thin">
              <color rgb="FF999999"/>
            </right>
            <top style="thin">
              <color rgb="FF999999"/>
            </top>
            <bottom style="thin">
              <color rgb="FF999999"/>
            </bottom>
            <vertical/>
            <horizontal/>
          </border>
        </dxf>
        <dxf>
          <font>
            <color rgb="FFFFC000"/>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b/>
            <i val="0"/>
            <sz val="9"/>
            <color rgb="FFFFC000"/>
          </font>
          <fill>
            <patternFill patternType="solid">
              <fgColor theme="4" tint="0.59999389629810485"/>
              <bgColor theme="4" tint="-0.24994659260841701"/>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val="0"/>
            <i val="0"/>
            <sz val="10"/>
            <color rgb="FFFFDD71"/>
            <name val="Aptos"/>
            <family val="2"/>
            <scheme val="none"/>
          </font>
          <fill>
            <patternFill patternType="solid">
              <fgColor theme="4"/>
              <bgColor theme="4" tint="-0.24994659260841701"/>
            </patternFill>
          </fill>
          <border diagonalUp="0" diagonalDown="0">
            <left/>
            <right/>
            <top/>
            <bottom/>
            <vertical/>
            <horizontal/>
          </border>
        </dxf>
        <dxf>
          <font>
            <color theme="1"/>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patternType="solid">
              <fgColor auto="1"/>
              <bgColor theme="0" tint="-0.34998626667073579"/>
            </patternFill>
          </fill>
          <border>
            <left style="medium">
              <color rgb="FF99CC00"/>
            </left>
            <right style="medium">
              <color rgb="FF99CC00"/>
            </right>
            <top style="medium">
              <color rgb="FF99CC00"/>
            </top>
            <bottom style="medium">
              <color rgb="FF99CC00"/>
            </bottom>
          </border>
        </dxf>
        <dxf>
          <fill>
            <patternFill patternType="solid">
              <fgColor auto="1"/>
              <bgColor theme="0" tint="-0.34998626667073579"/>
            </patternFill>
          </fill>
          <border>
            <left style="medium">
              <color auto="1"/>
            </left>
            <right style="medium">
              <color auto="1"/>
            </right>
            <top style="medium">
              <color auto="1"/>
            </top>
            <bottom style="medium">
              <color auto="1"/>
            </bottom>
          </border>
        </dxf>
        <dxf>
          <fill>
            <patternFill patternType="solid">
              <fgColor auto="1"/>
              <bgColor theme="0" tint="-0.34998626667073579"/>
            </patternFill>
          </fill>
          <border>
            <left style="thin">
              <color rgb="FF99CC00"/>
            </left>
            <right style="thin">
              <color rgb="FF99CC00"/>
            </right>
            <top style="thin">
              <color rgb="FF99CC00"/>
            </top>
            <bottom style="thin">
              <color rgb="FF99CC00"/>
            </bottom>
          </border>
        </dxf>
        <dxf>
          <fill>
            <gradientFill degree="90">
              <stop position="0">
                <color rgb="FFFFE89F"/>
              </stop>
              <stop position="1">
                <color rgb="FFBAE2F4"/>
              </stop>
            </gradientFill>
          </fill>
          <border diagonalUp="0" diagonalDown="0">
            <left style="thin">
              <color auto="1"/>
            </left>
            <right style="thin">
              <color auto="1"/>
            </right>
            <top style="thin">
              <color auto="1"/>
            </top>
            <bottom style="thin">
              <color auto="1"/>
            </bottom>
            <vertical/>
            <horizontal/>
          </border>
        </dxf>
        <dxf>
          <font>
            <sz val="9"/>
            <color rgb="FFFFD13F"/>
            <name val="Aptos"/>
            <family val="2"/>
            <scheme val="none"/>
          </font>
          <fill>
            <gradientFill degree="90">
              <stop position="0">
                <color rgb="FFFFE89F"/>
              </stop>
              <stop position="1">
                <color rgb="FFBAE2F4"/>
              </stop>
            </gradientFill>
          </fill>
          <border diagonalUp="0" diagonalDown="0">
            <left/>
            <right/>
            <top/>
            <bottom/>
            <vertical/>
            <horizontal/>
          </border>
        </dxf>
        <dxf>
          <font>
            <b val="0"/>
            <i val="0"/>
            <sz val="9"/>
            <name val="Aptos"/>
            <family val="2"/>
            <scheme val="none"/>
          </font>
          <fill>
            <patternFill patternType="solid">
              <fgColor auto="1"/>
              <bgColor theme="0" tint="-0.24994659260841701"/>
            </patternFill>
          </fill>
        </dxf>
        <dxf>
          <font>
            <b val="0"/>
            <i val="0"/>
            <sz val="9"/>
            <name val="Aptos"/>
            <family val="2"/>
            <scheme val="none"/>
          </font>
          <fill>
            <patternFill patternType="solid">
              <fgColor auto="1"/>
              <bgColor theme="0" tint="-0.2499465926084170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ASHBOARD SLICER">
          <x14:slicerStyleElements>
            <x14:slicerStyleElement type="unselectedItemWithData" dxfId="22"/>
            <x14:slicerStyleElement type="unselectedItemWithNoData" dxfId="21"/>
            <x14:slicerStyleElement type="selectedItemWithData" dxfId="20"/>
            <x14:slicerStyleElement type="selectedItemWithNoData" dxfId="19"/>
            <x14:slicerStyleElement type="hoveredUnselectedItemWithData" dxfId="18"/>
            <x14:slicerStyleElement type="hoveredSelectedItemWithData" dxfId="17"/>
            <x14:slicerStyleElement type="hoveredUnselectedItemWithNoData" dxfId="16"/>
            <x14:slicerStyleElement type="hoveredSelectedItemWithNoData" dxfId="15"/>
          </x14:slicerStyleElements>
        </x14:slicerStyle>
        <x14:slicerStyle name="Slicer Style 1"/>
        <x14:slicerStyle name="Slicer Style 2">
          <x14:slicerStyleElements>
            <x14:slicerStyleElement type="unselectedItemWithData" dxfId="14"/>
            <x14:slicerStyleElement type="unselectedItemWithNoData" dxfId="13"/>
            <x14:slicerStyleElement type="selectedItemWithData" dxfId="12"/>
            <x14:slicerStyleElement type="selectedItemWithNoData" dxfId="11"/>
            <x14:slicerStyleElement type="hoveredUnselectedItemWithData" dxfId="10"/>
            <x14:slicerStyleElement type="hoveredSelectedItemWithData" dxfId="9"/>
            <x14:slicerStyleElement type="hoveredSelectedItemWithNoData" dxfId="8"/>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4">
        <dxf>
          <fill>
            <patternFill patternType="solid">
              <fgColor auto="1"/>
              <bgColor rgb="FF00B0F0"/>
            </patternFill>
          </fill>
          <border>
            <vertical/>
            <horizontal/>
          </border>
        </dxf>
        <dxf>
          <fill>
            <gradientFill degree="90">
              <stop position="0">
                <color theme="0" tint="-0.14999847407452621"/>
              </stop>
              <stop position="1">
                <color theme="0" tint="-0.14999847407452621"/>
              </stop>
            </gradientFill>
          </fill>
          <border>
            <left style="thin">
              <color auto="1"/>
            </left>
            <right style="thin">
              <color auto="1"/>
            </right>
            <top style="thin">
              <color auto="1"/>
            </top>
            <bottom style="thin">
              <color auto="1"/>
            </bottom>
            <vertical/>
            <horizontal/>
          </border>
        </dxf>
        <dxf>
          <fill>
            <patternFill patternType="solid">
              <fgColor auto="1"/>
              <bgColor theme="3"/>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3"/>
          </font>
          <border>
            <left/>
            <right/>
            <top/>
            <bottom/>
            <vertical/>
            <horizontal/>
          </border>
        </dxf>
        <dxf>
          <fill>
            <gradientFill degree="45">
              <stop position="0">
                <color rgb="FFBAE2F4"/>
              </stop>
              <stop position="1">
                <color rgb="FFFFE89F"/>
              </stop>
            </gradientFill>
          </fill>
          <border>
            <vertical/>
            <horizontal/>
          </border>
        </dxf>
        <dxf>
          <fill>
            <patternFill patternType="solid">
              <fgColor auto="1"/>
              <bgColor theme="0" tint="-0.14996795556505021"/>
            </patternFill>
          </fill>
          <border>
            <vertical/>
            <horizontal/>
          </border>
        </dxf>
        <dxf>
          <fill>
            <gradientFill>
              <stop position="0">
                <color rgb="FFBAE2F4"/>
              </stop>
              <stop position="1">
                <color rgb="FFFFE89F"/>
              </stop>
            </gradientFill>
          </fill>
          <border diagonalUp="0" diagonalDown="0">
            <left style="thin">
              <color rgb="FF99CC00"/>
            </left>
            <right style="thin">
              <color rgb="FF99CC00"/>
            </right>
            <top style="thin">
              <color rgb="FF99CC00"/>
            </top>
            <bottom style="thin">
              <color rgb="FF99CC00"/>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name val="Aptos"/>
            <family val="2"/>
            <scheme val="none"/>
          </font>
          <border>
            <left/>
            <right/>
            <top/>
            <bottom/>
            <vertical/>
            <horizontal/>
          </border>
        </dxf>
        <dxf>
          <font>
            <sz val="9"/>
            <color theme="4" tint="-0.249977111117893"/>
            <name val="Aptos"/>
            <family val="2"/>
            <scheme val="none"/>
          </font>
          <border>
            <left/>
            <right/>
            <top/>
            <bottom/>
            <vertical/>
            <horizontal/>
          </border>
        </dxf>
      </x15:dxfs>
    </ext>
    <ext xmlns:x15="http://schemas.microsoft.com/office/spreadsheetml/2010/11/main" uri="{9260A510-F301-46a8-8635-F512D64BE5F5}">
      <x15:timelineStyles defaultTimelineStyle="TimeSlicerStyleDark1 2">
        <x15:timelineStyle name="TimeSlicerStyleDark1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microsoft.com/office/2007/relationships/slicerCache" Target="slicerCaches/slicerCache7.xml"/><Relationship Id="rId26" Type="http://schemas.microsoft.com/office/2007/relationships/slicerCache" Target="slicerCaches/slicerCache15.xml"/><Relationship Id="rId3" Type="http://schemas.openxmlformats.org/officeDocument/2006/relationships/worksheet" Target="worksheets/sheet3.xml"/><Relationship Id="rId21" Type="http://schemas.microsoft.com/office/2007/relationships/slicerCache" Target="slicerCaches/slicerCache10.xml"/><Relationship Id="rId34"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microsoft.com/office/2007/relationships/slicerCache" Target="slicerCaches/slicerCache14.xml"/><Relationship Id="rId33"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29"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13.xml"/><Relationship Id="rId32" Type="http://schemas.openxmlformats.org/officeDocument/2006/relationships/theme" Target="theme/theme1.xml"/><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07/relationships/slicerCache" Target="slicerCaches/slicerCache12.xml"/><Relationship Id="rId28" Type="http://schemas.microsoft.com/office/2007/relationships/slicerCache" Target="slicerCaches/slicerCache17.xml"/><Relationship Id="rId10" Type="http://schemas.openxmlformats.org/officeDocument/2006/relationships/pivotCacheDefinition" Target="pivotCache/pivotCacheDefinition1.xml"/><Relationship Id="rId19" Type="http://schemas.microsoft.com/office/2007/relationships/slicerCache" Target="slicerCaches/slicerCache8.xml"/><Relationship Id="rId31" Type="http://schemas.microsoft.com/office/2011/relationships/timelineCache" Target="timelineCaches/timeline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microsoft.com/office/2007/relationships/slicerCache" Target="slicerCaches/slicerCache11.xml"/><Relationship Id="rId27" Type="http://schemas.microsoft.com/office/2007/relationships/slicerCache" Target="slicerCaches/slicerCache16.xml"/><Relationship Id="rId30" Type="http://schemas.microsoft.com/office/2011/relationships/timelineCache" Target="timelineCaches/timelineCache2.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531465224810343"/>
          <c:y val="0.10185865149751284"/>
          <c:w val="0.84880796150481175"/>
          <c:h val="0.74594878342909843"/>
        </c:manualLayout>
      </c:layout>
      <c:barChart>
        <c:barDir val="col"/>
        <c:grouping val="clustered"/>
        <c:varyColors val="0"/>
        <c:ser>
          <c:idx val="0"/>
          <c:order val="0"/>
          <c:spPr>
            <a:solidFill>
              <a:schemeClr val="tx2">
                <a:lumMod val="75000"/>
                <a:lumOff val="25000"/>
              </a:schemeClr>
            </a:solidFill>
            <a:ln>
              <a:solidFill>
                <a:srgbClr val="FFC000"/>
              </a:solidFill>
            </a:ln>
            <a:effectLst/>
          </c:spPr>
          <c:invertIfNegative val="0"/>
          <c:cat>
            <c:strRef>
              <c:f>'PT_DASHBOARD (KPI &amp; Reports)'!$AA$7:$AA$18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'PT_DASHBOARD (KPI &amp; Reports)'!$AD$7:$AD$18</c:f>
              <c:numCache>
                <c:formatCode>"₹"\ #,##0.00\ \L</c:formatCode>
                <c:ptCount val="12"/>
                <c:pt idx="0">
                  <c:v>7.9162100000000004</c:v>
                </c:pt>
                <c:pt idx="1">
                  <c:v>7.7332879999999991</c:v>
                </c:pt>
                <c:pt idx="2">
                  <c:v>5.8953139999999991</c:v>
                </c:pt>
                <c:pt idx="3">
                  <c:v>6.7751269999999995</c:v>
                </c:pt>
                <c:pt idx="4">
                  <c:v>6.7481109999999997</c:v>
                </c:pt>
                <c:pt idx="5">
                  <c:v>5.7861059999999984</c:v>
                </c:pt>
                <c:pt idx="6">
                  <c:v>5.9702269999999995</c:v>
                </c:pt>
                <c:pt idx="7">
                  <c:v>6.7185230000000002</c:v>
                </c:pt>
                <c:pt idx="8">
                  <c:v>7.3655219999999995</c:v>
                </c:pt>
                <c:pt idx="9">
                  <c:v>6.3784899999999984</c:v>
                </c:pt>
                <c:pt idx="10">
                  <c:v>5.0591379999999999</c:v>
                </c:pt>
                <c:pt idx="11">
                  <c:v>7.1004109999999994</c:v>
                </c:pt>
              </c:numCache>
            </c:numRef>
          </c:val>
          <c:extLst>
            <c:ext xmlns:c16="http://schemas.microsoft.com/office/drawing/2014/chart" uri="{C3380CC4-5D6E-409C-BE32-E72D297353CC}">
              <c16:uniqueId val="{00000000-154E-4D88-AE50-CBAA1B2EE189}"/>
            </c:ext>
          </c:extLst>
        </c:ser>
        <c:dLbls>
          <c:showLegendKey val="0"/>
          <c:showVal val="0"/>
          <c:showCatName val="0"/>
          <c:showSerName val="0"/>
          <c:showPercent val="0"/>
          <c:showBubbleSize val="0"/>
        </c:dLbls>
        <c:gapWidth val="219"/>
        <c:overlap val="-27"/>
        <c:axId val="1386817599"/>
        <c:axId val="1386826239"/>
      </c:barChart>
      <c:lineChart>
        <c:grouping val="standard"/>
        <c:varyColors val="0"/>
        <c:ser>
          <c:idx val="1"/>
          <c:order val="1"/>
          <c:spPr>
            <a:ln w="28575" cap="rnd">
              <a:solidFill>
                <a:schemeClr val="accent3">
                  <a:lumMod val="50000"/>
                </a:schemeClr>
              </a:solidFill>
              <a:round/>
            </a:ln>
            <a:effectLst/>
          </c:spPr>
          <c:marker>
            <c:symbol val="circle"/>
            <c:size val="10"/>
            <c:spPr>
              <a:solidFill>
                <a:srgbClr val="FFC000"/>
              </a:solidFill>
              <a:ln w="9525">
                <a:solidFill>
                  <a:schemeClr val="accent6">
                    <a:lumMod val="75000"/>
                  </a:schemeClr>
                </a:solidFill>
              </a:ln>
              <a:effectLst/>
            </c:spPr>
          </c:marker>
          <c:cat>
            <c:strRef>
              <c:f>'PT_DASHBOARD (KPI &amp; Reports)'!$AA$7:$AA$18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'PT_DASHBOARD (KPI &amp; Reports)'!$AE$7:$AE$18</c:f>
              <c:numCache>
                <c:formatCode>"₹"\ #,##0.00\ \L</c:formatCode>
                <c:ptCount val="12"/>
                <c:pt idx="0">
                  <c:v>6.6</c:v>
                </c:pt>
                <c:pt idx="1">
                  <c:v>6.6</c:v>
                </c:pt>
                <c:pt idx="2">
                  <c:v>6.6</c:v>
                </c:pt>
                <c:pt idx="3">
                  <c:v>6.6</c:v>
                </c:pt>
                <c:pt idx="4">
                  <c:v>6.6</c:v>
                </c:pt>
                <c:pt idx="5">
                  <c:v>6.6</c:v>
                </c:pt>
                <c:pt idx="6">
                  <c:v>6.6</c:v>
                </c:pt>
                <c:pt idx="7">
                  <c:v>6.6</c:v>
                </c:pt>
                <c:pt idx="8">
                  <c:v>6.6</c:v>
                </c:pt>
                <c:pt idx="9">
                  <c:v>6.6</c:v>
                </c:pt>
                <c:pt idx="10">
                  <c:v>6.6</c:v>
                </c:pt>
                <c:pt idx="11">
                  <c:v>6.6</c:v>
                </c:pt>
              </c:numCache>
            </c:numRef>
          </c:val>
          <c:smooth val="0"/>
          <c:extLst>
            <c:ext xmlns:c16="http://schemas.microsoft.com/office/drawing/2014/chart" uri="{C3380CC4-5D6E-409C-BE32-E72D297353CC}">
              <c16:uniqueId val="{00000001-154E-4D88-AE50-CBAA1B2EE189}"/>
            </c:ext>
          </c:extLst>
        </c:ser>
        <c:dLbls>
          <c:showLegendKey val="0"/>
          <c:showVal val="0"/>
          <c:showCatName val="0"/>
          <c:showSerName val="0"/>
          <c:showPercent val="0"/>
          <c:showBubbleSize val="0"/>
        </c:dLbls>
        <c:marker val="1"/>
        <c:smooth val="0"/>
        <c:axId val="1386817599"/>
        <c:axId val="1386826239"/>
      </c:lineChart>
      <c:catAx>
        <c:axId val="138681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86826239"/>
        <c:crosses val="autoZero"/>
        <c:auto val="1"/>
        <c:lblAlgn val="ctr"/>
        <c:lblOffset val="100"/>
        <c:noMultiLvlLbl val="0"/>
      </c:catAx>
      <c:valAx>
        <c:axId val="1386826239"/>
        <c:scaling>
          <c:orientation val="minMax"/>
        </c:scaling>
        <c:delete val="0"/>
        <c:axPos val="l"/>
        <c:numFmt formatCode="&quot;₹&quot;\ #,##0.00\ \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81759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3834579869716843E-2"/>
          <c:y val="8.1936833954961721E-2"/>
          <c:w val="0.94607843137254899"/>
          <c:h val="0.91806329474026438"/>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4D0F-4D5C-B104-14FDC83275E5}"/>
              </c:ext>
            </c:extLst>
          </c:dPt>
          <c:dPt>
            <c:idx val="1"/>
            <c:invertIfNegative val="0"/>
            <c:bubble3D val="0"/>
            <c:spPr>
              <a:solidFill>
                <a:srgbClr val="FFC000"/>
              </a:solidFill>
              <a:ln>
                <a:noFill/>
              </a:ln>
              <a:effectLst/>
            </c:spPr>
            <c:extLst>
              <c:ext xmlns:c16="http://schemas.microsoft.com/office/drawing/2014/chart" uri="{C3380CC4-5D6E-409C-BE32-E72D297353CC}">
                <c16:uniqueId val="{00000003-4D0F-4D5C-B104-14FDC83275E5}"/>
              </c:ext>
            </c:extLst>
          </c:dPt>
          <c:dPt>
            <c:idx val="2"/>
            <c:invertIfNegative val="0"/>
            <c:bubble3D val="0"/>
            <c:spPr>
              <a:solidFill>
                <a:schemeClr val="tx2"/>
              </a:solidFill>
              <a:ln>
                <a:noFill/>
              </a:ln>
              <a:effectLst/>
            </c:spPr>
            <c:extLst>
              <c:ext xmlns:c16="http://schemas.microsoft.com/office/drawing/2014/chart" uri="{C3380CC4-5D6E-409C-BE32-E72D297353CC}">
                <c16:uniqueId val="{00000005-4D0F-4D5C-B104-14FDC83275E5}"/>
              </c:ext>
            </c:extLst>
          </c:dPt>
          <c:dPt>
            <c:idx val="3"/>
            <c:invertIfNegative val="0"/>
            <c:bubble3D val="0"/>
            <c:spPr>
              <a:solidFill>
                <a:srgbClr val="00D0CB"/>
              </a:solidFill>
              <a:ln>
                <a:noFill/>
              </a:ln>
              <a:effectLst/>
            </c:spPr>
            <c:extLst>
              <c:ext xmlns:c16="http://schemas.microsoft.com/office/drawing/2014/chart" uri="{C3380CC4-5D6E-409C-BE32-E72D297353CC}">
                <c16:uniqueId val="{00000007-4D0F-4D5C-B104-14FDC83275E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'PT_DASHBOARD (KPI &amp; Reports)'!$F$11:$F$14</c:f>
              <c:strCache>
                <c:ptCount val="4"/>
                <c:pt idx="0">
                  <c:v>East</c:v>
                </c:pt>
                <c:pt idx="1">
                  <c:v>West</c:v>
                </c:pt>
                <c:pt idx="2">
                  <c:v>South</c:v>
                </c:pt>
                <c:pt idx="3">
                  <c:v>North</c:v>
                </c:pt>
              </c:strCache>
            </c:strRef>
          </c:cat>
          <c:val>
            <c:numRef>
              <c:f>'PT_DASHBOARD (KPI &amp; Reports)'!$H$11:$H$14</c:f>
              <c:numCache>
                <c:formatCode>"₹"\ #,##0.00\ \L</c:formatCode>
                <c:ptCount val="4"/>
                <c:pt idx="0">
                  <c:v>38.037138000000006</c:v>
                </c:pt>
                <c:pt idx="1">
                  <c:v>17.488939000000006</c:v>
                </c:pt>
                <c:pt idx="2">
                  <c:v>16.325439000000003</c:v>
                </c:pt>
                <c:pt idx="3">
                  <c:v>7.594951</c:v>
                </c:pt>
              </c:numCache>
            </c:numRef>
          </c:val>
          <c:extLst>
            <c:ext xmlns:c16="http://schemas.microsoft.com/office/drawing/2014/chart" uri="{C3380CC4-5D6E-409C-BE32-E72D297353CC}">
              <c16:uniqueId val="{00000008-4D0F-4D5C-B104-14FDC83275E5}"/>
            </c:ext>
          </c:extLst>
        </c:ser>
        <c:dLbls>
          <c:showLegendKey val="0"/>
          <c:showVal val="0"/>
          <c:showCatName val="0"/>
          <c:showSerName val="0"/>
          <c:showPercent val="0"/>
          <c:showBubbleSize val="0"/>
        </c:dLbls>
        <c:gapWidth val="219"/>
        <c:overlap val="-27"/>
        <c:axId val="1528902703"/>
        <c:axId val="1528894543"/>
      </c:barChart>
      <c:catAx>
        <c:axId val="1528902703"/>
        <c:scaling>
          <c:orientation val="minMax"/>
        </c:scaling>
        <c:delete val="1"/>
        <c:axPos val="b"/>
        <c:numFmt formatCode="General" sourceLinked="1"/>
        <c:majorTickMark val="none"/>
        <c:minorTickMark val="none"/>
        <c:tickLblPos val="nextTo"/>
        <c:crossAx val="1528894543"/>
        <c:crosses val="autoZero"/>
        <c:auto val="1"/>
        <c:lblAlgn val="ctr"/>
        <c:lblOffset val="100"/>
        <c:noMultiLvlLbl val="0"/>
      </c:catAx>
      <c:valAx>
        <c:axId val="1528894543"/>
        <c:scaling>
          <c:orientation val="minMax"/>
        </c:scaling>
        <c:delete val="1"/>
        <c:axPos val="l"/>
        <c:numFmt formatCode="&quot;₹&quot;\ #,##0.00\ \L" sourceLinked="1"/>
        <c:majorTickMark val="none"/>
        <c:minorTickMark val="none"/>
        <c:tickLblPos val="nextTo"/>
        <c:crossAx val="152890270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[MIS_Sales Dashboard_Project.xlsx]PT_DASHBOARD (KPI &amp; Reports)!PT_CustomerType</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F0EA"/>
          </a:solidFill>
          <a:ln w="19050">
            <a:solidFill>
              <a:schemeClr val="lt1"/>
            </a:solidFill>
          </a:ln>
          <a:effectLst/>
        </c:spPr>
        <c:dLbl>
          <c:idx val="0"/>
          <c:layout>
            <c:manualLayout>
              <c:x val="0.10833333333333334"/>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w="19050">
            <a:solidFill>
              <a:schemeClr val="lt1"/>
            </a:solidFill>
          </a:ln>
          <a:effectLst/>
        </c:spPr>
        <c:dLbl>
          <c:idx val="0"/>
          <c:layout>
            <c:manualLayout>
              <c:x val="-9.4444444444444442E-2"/>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solidFill>
          <a:ln w="19050">
            <a:solidFill>
              <a:schemeClr val="lt1"/>
            </a:solidFill>
          </a:ln>
          <a:effectLst/>
        </c:spPr>
        <c:dLbl>
          <c:idx val="0"/>
          <c:layout>
            <c:manualLayout>
              <c:x val="-9.166666666666666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w="19050">
            <a:solidFill>
              <a:schemeClr val="lt1"/>
            </a:solidFill>
          </a:ln>
          <a:effectLst/>
        </c:spPr>
        <c:dLbl>
          <c:idx val="0"/>
          <c:layout>
            <c:manualLayout>
              <c:x val="0.10694444444444444"/>
              <c:y val="-9.0277777777777776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75"/>
                  <c:h val="8.4282589676290459E-2"/>
                </c:manualLayout>
              </c15:layout>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w="19050">
            <a:solidFill>
              <a:schemeClr val="lt1"/>
            </a:solidFill>
          </a:ln>
          <a:effectLst/>
        </c:spPr>
        <c:dLbl>
          <c:idx val="0"/>
          <c:layout>
            <c:manualLayout>
              <c:x val="0.10694444444444444"/>
              <c:y val="-9.0277777777777776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75"/>
                  <c:h val="8.4282589676290459E-2"/>
                </c:manualLayout>
              </c15:layout>
            </c:ext>
          </c:extLst>
        </c:dLbl>
      </c:pivotFmt>
      <c:pivotFmt>
        <c:idx val="7"/>
        <c:spPr>
          <a:solidFill>
            <a:srgbClr val="00F0EA"/>
          </a:solidFill>
          <a:ln w="19050">
            <a:solidFill>
              <a:schemeClr val="lt1"/>
            </a:solidFill>
          </a:ln>
          <a:effectLst/>
        </c:spPr>
        <c:dLbl>
          <c:idx val="0"/>
          <c:layout>
            <c:manualLayout>
              <c:x val="0.10833333333333334"/>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w="19050">
            <a:solidFill>
              <a:schemeClr val="lt1"/>
            </a:solidFill>
          </a:ln>
          <a:effectLst/>
        </c:spPr>
        <c:dLbl>
          <c:idx val="0"/>
          <c:layout>
            <c:manualLayout>
              <c:x val="-9.4444444444444442E-2"/>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solidFill>
          <a:ln w="19050">
            <a:solidFill>
              <a:schemeClr val="lt1"/>
            </a:solidFill>
          </a:ln>
          <a:effectLst/>
        </c:spPr>
        <c:dLbl>
          <c:idx val="0"/>
          <c:layout>
            <c:manualLayout>
              <c:x val="-9.166666666666666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FFC000"/>
          </a:solidFill>
          <a:ln w="19050">
            <a:solidFill>
              <a:schemeClr val="lt1"/>
            </a:solidFill>
          </a:ln>
          <a:effectLst/>
        </c:spPr>
      </c:pivotFmt>
      <c:pivotFmt>
        <c:idx val="12"/>
        <c:spPr>
          <a:solidFill>
            <a:srgbClr val="00D0CB"/>
          </a:solidFill>
          <a:ln w="19050">
            <a:solidFill>
              <a:schemeClr val="lt1"/>
            </a:solidFill>
          </a:ln>
          <a:effectLst/>
        </c:spPr>
      </c:pivotFmt>
      <c:pivotFmt>
        <c:idx val="13"/>
        <c:spPr>
          <a:solidFill>
            <a:srgbClr val="00B050"/>
          </a:solidFill>
          <a:ln w="19050">
            <a:solidFill>
              <a:schemeClr val="lt1"/>
            </a:solidFill>
          </a:ln>
          <a:effectLst/>
        </c:spPr>
      </c:pivotFmt>
      <c:pivotFmt>
        <c:idx val="14"/>
        <c:spPr>
          <a:solidFill>
            <a:schemeClr val="tx2"/>
          </a:solidFill>
          <a:ln w="19050">
            <a:solidFill>
              <a:schemeClr val="lt1"/>
            </a:solidFill>
          </a:ln>
          <a:effectLst/>
        </c:spPr>
      </c:pivotFmt>
    </c:pivotFmts>
    <c:plotArea>
      <c:layout>
        <c:manualLayout>
          <c:layoutTarget val="inner"/>
          <c:xMode val="edge"/>
          <c:yMode val="edge"/>
          <c:x val="0.24821974374025868"/>
          <c:y val="0"/>
          <c:w val="0.5784315958127203"/>
          <c:h val="1"/>
        </c:manualLayout>
      </c:layout>
      <c:doughnutChart>
        <c:varyColors val="1"/>
        <c:ser>
          <c:idx val="0"/>
          <c:order val="0"/>
          <c:tx>
            <c:strRef>
              <c:f>'PT_DASHBOARD (KPI &amp; Reports)'!$R$3</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9B69-4B67-864E-7235138F8A81}"/>
              </c:ext>
            </c:extLst>
          </c:dPt>
          <c:dPt>
            <c:idx val="1"/>
            <c:bubble3D val="0"/>
            <c:spPr>
              <a:solidFill>
                <a:srgbClr val="00D0CB"/>
              </a:solidFill>
              <a:ln w="19050">
                <a:solidFill>
                  <a:schemeClr val="lt1"/>
                </a:solidFill>
              </a:ln>
              <a:effectLst/>
            </c:spPr>
            <c:extLst>
              <c:ext xmlns:c16="http://schemas.microsoft.com/office/drawing/2014/chart" uri="{C3380CC4-5D6E-409C-BE32-E72D297353CC}">
                <c16:uniqueId val="{00000003-9B69-4B67-864E-7235138F8A81}"/>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9B69-4B67-864E-7235138F8A81}"/>
              </c:ext>
            </c:extLst>
          </c:dPt>
          <c:dPt>
            <c:idx val="3"/>
            <c:bubble3D val="0"/>
            <c:spPr>
              <a:solidFill>
                <a:schemeClr val="tx2"/>
              </a:solidFill>
              <a:ln w="19050">
                <a:solidFill>
                  <a:schemeClr val="lt1"/>
                </a:solidFill>
              </a:ln>
              <a:effectLst/>
            </c:spPr>
            <c:extLst>
              <c:ext xmlns:c16="http://schemas.microsoft.com/office/drawing/2014/chart" uri="{C3380CC4-5D6E-409C-BE32-E72D297353CC}">
                <c16:uniqueId val="{00000007-9B69-4B67-864E-7235138F8A81}"/>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'PT_DASHBOARD (KPI &amp; Reports)'!$Q$4:$Q$8</c:f>
              <c:strCache>
                <c:ptCount val="4"/>
                <c:pt idx="0">
                  <c:v>SME</c:v>
                </c:pt>
                <c:pt idx="1">
                  <c:v>Corporate</c:v>
                </c:pt>
                <c:pt idx="2">
                  <c:v>Government</c:v>
                </c:pt>
                <c:pt idx="3">
                  <c:v>Retail</c:v>
                </c:pt>
              </c:strCache>
            </c:strRef>
          </c:cat>
          <c:val>
            <c:numRef>
              <c:f>'PT_DASHBOARD (KPI &amp; Reports)'!$R$4:$R$8</c:f>
              <c:numCache>
                <c:formatCode>"₹"\ #,##0.00</c:formatCode>
                <c:ptCount val="4"/>
                <c:pt idx="0">
                  <c:v>2083887.4000000006</c:v>
                </c:pt>
                <c:pt idx="1">
                  <c:v>2001541.5</c:v>
                </c:pt>
                <c:pt idx="2">
                  <c:v>1947003.7</c:v>
                </c:pt>
                <c:pt idx="3">
                  <c:v>1912214.1</c:v>
                </c:pt>
              </c:numCache>
            </c:numRef>
          </c:val>
          <c:extLst>
            <c:ext xmlns:c16="http://schemas.microsoft.com/office/drawing/2014/chart" uri="{C3380CC4-5D6E-409C-BE32-E72D297353CC}">
              <c16:uniqueId val="{00000008-9B69-4B67-864E-7235138F8A81}"/>
            </c:ext>
          </c:extLst>
        </c:ser>
        <c:dLbls>
          <c:showLegendKey val="0"/>
          <c:showVal val="1"/>
          <c:showCatName val="0"/>
          <c:showSerName val="0"/>
          <c:showPercent val="0"/>
          <c:showBubbleSize val="0"/>
          <c:showLeaderLines val="0"/>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[MIS_Sales Dashboard_Project.xlsx]PT_DASHBOARD (KPI &amp; Reports)!PT_PaymentMode</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8.888888888888892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833333333333334"/>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0277777777777768"/>
              <c:y val="3.70370370370369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5.0925337632079971E-17"/>
              <c:y val="0.111111111111110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dLbl>
          <c:idx val="0"/>
          <c:layout>
            <c:manualLayout>
              <c:x val="-0.1222222222222222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833333333333334"/>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277777777777768"/>
              <c:y val="3.70370370370369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0925337632079971E-17"/>
              <c:y val="0.111111111111110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222222222222222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888888888888892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0833333333333334"/>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0277777777777768"/>
              <c:y val="3.70370370370369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5.0925337632079971E-17"/>
              <c:y val="0.111111111111110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222222222222222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8.888888888888892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9"/>
        <c:spPr>
          <a:solidFill>
            <a:srgbClr val="FFC000"/>
          </a:solidFill>
          <a:ln w="19050">
            <a:solidFill>
              <a:schemeClr val="lt1"/>
            </a:solidFill>
          </a:ln>
          <a:effectLst/>
        </c:spPr>
        <c:dLbl>
          <c:idx val="0"/>
          <c:layout>
            <c:manualLayout>
              <c:x val="0.12777777777777777"/>
              <c:y val="-7.407407407407411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0"/>
        <c:spPr>
          <a:solidFill>
            <a:srgbClr val="00B050"/>
          </a:solidFill>
          <a:ln w="19050">
            <a:solidFill>
              <a:schemeClr val="lt1"/>
            </a:solidFill>
          </a:ln>
          <a:effectLst/>
        </c:spPr>
        <c:dLbl>
          <c:idx val="0"/>
          <c:layout>
            <c:manualLayout>
              <c:x val="0.10277777777777768"/>
              <c:y val="3.703703703703695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1"/>
        <c:spPr>
          <a:solidFill>
            <a:schemeClr val="tx2"/>
          </a:solidFill>
          <a:ln w="19050">
            <a:solidFill>
              <a:schemeClr val="lt1"/>
            </a:solidFill>
          </a:ln>
          <a:effectLst/>
        </c:spPr>
        <c:dLbl>
          <c:idx val="0"/>
          <c:layout>
            <c:manualLayout>
              <c:x val="-5.0925337632079971E-17"/>
              <c:y val="0.12037037037037036"/>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2"/>
        <c:spPr>
          <a:solidFill>
            <a:srgbClr val="C00000"/>
          </a:solidFill>
          <a:ln w="19050">
            <a:solidFill>
              <a:schemeClr val="lt1"/>
            </a:solidFill>
          </a:ln>
          <a:effectLst/>
        </c:spPr>
        <c:dLbl>
          <c:idx val="0"/>
          <c:layout>
            <c:manualLayout>
              <c:x val="-0.12222222222222222"/>
              <c:y val="4.629629629629629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3"/>
        <c:spPr>
          <a:solidFill>
            <a:srgbClr val="00F0EA"/>
          </a:solidFill>
          <a:ln w="19050">
            <a:solidFill>
              <a:schemeClr val="lt1"/>
            </a:solidFill>
          </a:ln>
          <a:effectLst/>
        </c:spPr>
        <c:dLbl>
          <c:idx val="0"/>
          <c:layout>
            <c:manualLayout>
              <c:x val="-0.13550007436570435"/>
              <c:y val="-5.209816102532635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2806943132108484"/>
                  <c:h val="7.1660133392416864E-2"/>
                </c:manualLayout>
              </c15:layout>
            </c:ext>
          </c:extLst>
        </c:dLbl>
      </c:pivotFmt>
      <c:pivotFmt>
        <c:idx val="24"/>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5"/>
        <c:spPr>
          <a:solidFill>
            <a:srgbClr val="FFC000"/>
          </a:solidFill>
          <a:ln w="19050">
            <a:solidFill>
              <a:schemeClr val="lt1"/>
            </a:solidFill>
          </a:ln>
          <a:effectLst/>
        </c:spPr>
        <c:dLbl>
          <c:idx val="0"/>
          <c:layout>
            <c:manualLayout>
              <c:x val="0.12777777777777777"/>
              <c:y val="-7.407407407407411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6"/>
        <c:spPr>
          <a:solidFill>
            <a:srgbClr val="00B050"/>
          </a:solidFill>
          <a:ln w="19050">
            <a:solidFill>
              <a:schemeClr val="lt1"/>
            </a:solidFill>
          </a:ln>
          <a:effectLst/>
        </c:spPr>
        <c:dLbl>
          <c:idx val="0"/>
          <c:layout>
            <c:manualLayout>
              <c:x val="0.10277777777777768"/>
              <c:y val="3.703703703703695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7"/>
        <c:spPr>
          <a:solidFill>
            <a:schemeClr val="tx2"/>
          </a:solidFill>
          <a:ln w="19050">
            <a:solidFill>
              <a:schemeClr val="lt1"/>
            </a:solidFill>
          </a:ln>
          <a:effectLst/>
        </c:spPr>
        <c:dLbl>
          <c:idx val="0"/>
          <c:layout>
            <c:manualLayout>
              <c:x val="-5.0925337632079971E-17"/>
              <c:y val="0.12037037037037036"/>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8"/>
        <c:spPr>
          <a:solidFill>
            <a:srgbClr val="C00000"/>
          </a:solidFill>
          <a:ln w="19050">
            <a:solidFill>
              <a:schemeClr val="lt1"/>
            </a:solidFill>
          </a:ln>
          <a:effectLst/>
        </c:spPr>
        <c:dLbl>
          <c:idx val="0"/>
          <c:layout>
            <c:manualLayout>
              <c:x val="-0.12222222222222222"/>
              <c:y val="4.629629629629629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9"/>
        <c:spPr>
          <a:solidFill>
            <a:srgbClr val="00F0EA"/>
          </a:solidFill>
          <a:ln w="19050">
            <a:solidFill>
              <a:schemeClr val="lt1"/>
            </a:solidFill>
          </a:ln>
          <a:effectLst/>
        </c:spPr>
        <c:dLbl>
          <c:idx val="0"/>
          <c:layout>
            <c:manualLayout>
              <c:x val="-0.13550007436570435"/>
              <c:y val="-5.209816102532635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2806943132108484"/>
                  <c:h val="7.1660133392416864E-2"/>
                </c:manualLayout>
              </c15:layout>
            </c:ext>
          </c:extLst>
        </c:dLbl>
      </c:pivotFmt>
      <c:pivotFmt>
        <c:idx val="30"/>
        <c:marker>
          <c:symbol val="none"/>
        </c:marker>
        <c:dLbl>
          <c:idx val="0"/>
          <c:spPr>
            <a:noFill/>
            <a:ln>
              <a:noFill/>
            </a:ln>
            <a:effectLst/>
          </c:spPr>
          <c:txPr>
            <a:bodyPr wrap="square" lIns="38100" tIns="19050" rIns="38100" bIns="19050" anchor="ctr">
              <a:spAutoFit/>
            </a:bodyPr>
            <a:lstStyle/>
            <a:p>
              <a:pPr>
                <a:defRPr sz="800">
                  <a:solidFill>
                    <a:schemeClr val="bg1"/>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rgbClr val="FFC000"/>
          </a:solidFill>
          <a:ln w="19050">
            <a:solidFill>
              <a:schemeClr val="lt1"/>
            </a:solidFill>
          </a:ln>
          <a:effectLst/>
        </c:spPr>
      </c:pivotFmt>
      <c:pivotFmt>
        <c:idx val="32"/>
        <c:spPr>
          <a:solidFill>
            <a:srgbClr val="00B050"/>
          </a:solidFill>
          <a:ln w="19050">
            <a:solidFill>
              <a:schemeClr val="lt1"/>
            </a:solidFill>
          </a:ln>
          <a:effectLst/>
        </c:spPr>
      </c:pivotFmt>
      <c:pivotFmt>
        <c:idx val="33"/>
        <c:spPr>
          <a:solidFill>
            <a:schemeClr val="tx2"/>
          </a:solidFill>
          <a:ln w="19050">
            <a:solidFill>
              <a:schemeClr val="lt1"/>
            </a:solidFill>
          </a:ln>
          <a:effectLst/>
        </c:spPr>
      </c:pivotFmt>
      <c:pivotFmt>
        <c:idx val="34"/>
        <c:spPr>
          <a:solidFill>
            <a:srgbClr val="C00000"/>
          </a:solidFill>
          <a:ln w="19050">
            <a:solidFill>
              <a:schemeClr val="lt1"/>
            </a:solidFill>
          </a:ln>
          <a:effectLst/>
        </c:spPr>
      </c:pivotFmt>
      <c:pivotFmt>
        <c:idx val="35"/>
        <c:spPr>
          <a:solidFill>
            <a:srgbClr val="00D0CB"/>
          </a:solidFill>
          <a:ln w="19050">
            <a:solidFill>
              <a:schemeClr val="lt1"/>
            </a:solidFill>
          </a:ln>
          <a:effectLst/>
        </c:spPr>
      </c:pivotFmt>
    </c:pivotFmts>
    <c:plotArea>
      <c:layout>
        <c:manualLayout>
          <c:layoutTarget val="inner"/>
          <c:xMode val="edge"/>
          <c:yMode val="edge"/>
          <c:x val="0.21087328083989501"/>
          <c:y val="4.9726056970151464E-2"/>
          <c:w val="0.50731566357467273"/>
          <c:h val="0.95027415121496905"/>
        </c:manualLayout>
      </c:layout>
      <c:doughnutChart>
        <c:varyColors val="1"/>
        <c:ser>
          <c:idx val="0"/>
          <c:order val="0"/>
          <c:tx>
            <c:strRef>
              <c:f>'PT_DASHBOARD (KPI &amp; Reports)'!$R$12</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D33C-4DCA-862D-66D5D992A7B6}"/>
              </c:ext>
            </c:extLst>
          </c:dPt>
          <c:dPt>
            <c:idx val="1"/>
            <c:bubble3D val="0"/>
            <c:spPr>
              <a:solidFill>
                <a:schemeClr val="tx2"/>
              </a:solidFill>
              <a:ln w="19050">
                <a:solidFill>
                  <a:schemeClr val="lt1"/>
                </a:solidFill>
              </a:ln>
              <a:effectLst/>
            </c:spPr>
            <c:extLst>
              <c:ext xmlns:c16="http://schemas.microsoft.com/office/drawing/2014/chart" uri="{C3380CC4-5D6E-409C-BE32-E72D297353CC}">
                <c16:uniqueId val="{00000003-D33C-4DCA-862D-66D5D992A7B6}"/>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D33C-4DCA-862D-66D5D992A7B6}"/>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D33C-4DCA-862D-66D5D992A7B6}"/>
              </c:ext>
            </c:extLst>
          </c:dPt>
          <c:dPt>
            <c:idx val="4"/>
            <c:bubble3D val="0"/>
            <c:spPr>
              <a:solidFill>
                <a:srgbClr val="00D0CB"/>
              </a:solidFill>
              <a:ln w="19050">
                <a:solidFill>
                  <a:schemeClr val="lt1"/>
                </a:solidFill>
              </a:ln>
              <a:effectLst/>
            </c:spPr>
            <c:extLst>
              <c:ext xmlns:c16="http://schemas.microsoft.com/office/drawing/2014/chart" uri="{C3380CC4-5D6E-409C-BE32-E72D297353CC}">
                <c16:uniqueId val="{00000009-D33C-4DCA-862D-66D5D992A7B6}"/>
              </c:ext>
            </c:extLst>
          </c:dPt>
          <c:dLbls>
            <c:spPr>
              <a:noFill/>
              <a:ln>
                <a:noFill/>
              </a:ln>
              <a:effectLst/>
            </c:spPr>
            <c:txPr>
              <a:bodyPr wrap="square" lIns="38100" tIns="19050" rIns="38100" bIns="19050" anchor="ctr">
                <a:spAutoFit/>
              </a:bodyPr>
              <a:lstStyle/>
              <a:p>
                <a:pPr>
                  <a:defRPr sz="800">
                    <a:solidFill>
                      <a:schemeClr val="bg1"/>
                    </a:solidFill>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'PT_DASHBOARD (KPI &amp; Reports)'!$Q$13:$Q$18</c:f>
              <c:strCache>
                <c:ptCount val="5"/>
                <c:pt idx="0">
                  <c:v>Card</c:v>
                </c:pt>
                <c:pt idx="1">
                  <c:v>Bank Transfer</c:v>
                </c:pt>
                <c:pt idx="2">
                  <c:v>Credit</c:v>
                </c:pt>
                <c:pt idx="3">
                  <c:v>UPI</c:v>
                </c:pt>
                <c:pt idx="4">
                  <c:v>Cash</c:v>
                </c:pt>
              </c:strCache>
            </c:strRef>
          </c:cat>
          <c:val>
            <c:numRef>
              <c:f>'PT_DASHBOARD (KPI &amp; Reports)'!$R$13:$R$18</c:f>
              <c:numCache>
                <c:formatCode>"₹"\ #,##0.00</c:formatCode>
                <c:ptCount val="5"/>
                <c:pt idx="0">
                  <c:v>1680084.0000000002</c:v>
                </c:pt>
                <c:pt idx="1">
                  <c:v>1644813.9999999998</c:v>
                </c:pt>
                <c:pt idx="2">
                  <c:v>1587056.2999999998</c:v>
                </c:pt>
                <c:pt idx="3">
                  <c:v>1545683.9000000004</c:v>
                </c:pt>
                <c:pt idx="4">
                  <c:v>1487008.5000000002</c:v>
                </c:pt>
              </c:numCache>
            </c:numRef>
          </c:val>
          <c:extLst>
            <c:ext xmlns:c16="http://schemas.microsoft.com/office/drawing/2014/chart" uri="{C3380CC4-5D6E-409C-BE32-E72D297353CC}">
              <c16:uniqueId val="{0000000A-D33C-4DCA-862D-66D5D992A7B6}"/>
            </c:ext>
          </c:extLst>
        </c:ser>
        <c:dLbls>
          <c:showLegendKey val="0"/>
          <c:showVal val="1"/>
          <c:showCatName val="0"/>
          <c:showSerName val="0"/>
          <c:showPercent val="0"/>
          <c:showBubbleSize val="0"/>
          <c:showLeaderLines val="0"/>
        </c:dLbls>
        <c:firstSliceAng val="0"/>
        <c:holeSize val="60"/>
      </c:doughnut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240625217163538"/>
          <c:y val="0.11319737206762198"/>
          <c:w val="0.84467437496993114"/>
          <c:h val="0.70196703672910454"/>
        </c:manualLayout>
      </c:layout>
      <c:lineChart>
        <c:grouping val="standard"/>
        <c:varyColors val="0"/>
        <c:ser>
          <c:idx val="0"/>
          <c:order val="0"/>
          <c:spPr>
            <a:ln w="19050" cap="rnd">
              <a:solidFill>
                <a:schemeClr val="accent6">
                  <a:lumMod val="50000"/>
                </a:schemeClr>
              </a:solidFill>
              <a:round/>
            </a:ln>
            <a:effectLst/>
          </c:spPr>
          <c:marker>
            <c:symbol val="circle"/>
            <c:size val="8"/>
            <c:spPr>
              <a:solidFill>
                <a:srgbClr val="FFC000"/>
              </a:solidFill>
              <a:ln w="19050">
                <a:solidFill>
                  <a:schemeClr val="accent6">
                    <a:lumMod val="50000"/>
                  </a:schemeClr>
                </a:solidFill>
              </a:ln>
              <a:effectLst/>
            </c:spPr>
          </c:marker>
          <c:cat>
            <c:strRef>
              <c:f>'PT_DASHBOARD (KPI &amp; Reports)'!$J$19:$J$30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'PT_DASHBOARD (KPI &amp; Reports)'!$L$19:$L$30</c:f>
              <c:numCache>
                <c:formatCode>"₹"\ 0.00\ \L</c:formatCode>
                <c:ptCount val="12"/>
                <c:pt idx="0">
                  <c:v>2.0766100000000001</c:v>
                </c:pt>
                <c:pt idx="1">
                  <c:v>2.0877880000000002</c:v>
                </c:pt>
                <c:pt idx="2">
                  <c:v>1.491414</c:v>
                </c:pt>
                <c:pt idx="3">
                  <c:v>1.8221270000000001</c:v>
                </c:pt>
                <c:pt idx="4">
                  <c:v>1.9084110000000001</c:v>
                </c:pt>
                <c:pt idx="5">
                  <c:v>1.5584060000000004</c:v>
                </c:pt>
                <c:pt idx="6">
                  <c:v>1.6350269999999998</c:v>
                </c:pt>
                <c:pt idx="7">
                  <c:v>1.7821229999999999</c:v>
                </c:pt>
                <c:pt idx="8">
                  <c:v>2.0599220000000003</c:v>
                </c:pt>
                <c:pt idx="9">
                  <c:v>1.6878900000000003</c:v>
                </c:pt>
                <c:pt idx="10">
                  <c:v>1.4058380000000001</c:v>
                </c:pt>
                <c:pt idx="11">
                  <c:v>1.9576110000000004</c:v>
                </c:pt>
              </c:numCache>
            </c:numRef>
          </c:val>
          <c:smooth val="0"/>
          <c:extLst>
            <c:ext xmlns:c16="http://schemas.microsoft.com/office/drawing/2014/chart" uri="{C3380CC4-5D6E-409C-BE32-E72D297353CC}">
              <c16:uniqueId val="{00000000-5BBA-411C-9C05-F7908E70CEFE}"/>
            </c:ext>
          </c:extLst>
        </c:ser>
        <c:dLbls>
          <c:showLegendKey val="0"/>
          <c:showVal val="0"/>
          <c:showCatName val="0"/>
          <c:showSerName val="0"/>
          <c:showPercent val="0"/>
          <c:showBubbleSize val="0"/>
        </c:dLbls>
        <c:marker val="1"/>
        <c:smooth val="0"/>
        <c:axId val="679962640"/>
        <c:axId val="679964080"/>
      </c:lineChart>
      <c:catAx>
        <c:axId val="6799626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964080"/>
        <c:crosses val="autoZero"/>
        <c:auto val="1"/>
        <c:lblAlgn val="ctr"/>
        <c:lblOffset val="100"/>
        <c:noMultiLvlLbl val="0"/>
      </c:catAx>
      <c:valAx>
        <c:axId val="679964080"/>
        <c:scaling>
          <c:orientation val="minMax"/>
        </c:scaling>
        <c:delete val="0"/>
        <c:axPos val="l"/>
        <c:numFmt formatCode="&quot;₹&quot;\ 0.00\ \L" sourceLinked="1"/>
        <c:majorTickMark val="none"/>
        <c:minorTickMark val="none"/>
        <c:tickLblPos val="nextTo"/>
        <c:spPr>
          <a:noFill/>
          <a:ln>
            <a:noFill/>
          </a:ln>
          <a:effectLst/>
        </c:spPr>
        <c:txPr>
          <a:bodyPr rot="-6000000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96264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[MIS_Sales Dashboard_Project.xlsx]PT_DASHBOARD (KPI &amp; Reports)!DASHBOARD_ORDER_STATUS</c:name>
    <c:fmtId val="17"/>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rgbClr val="00206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75000"/>
            </a:schemeClr>
          </a:solidFill>
          <a:ln w="19050">
            <a:no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C00000"/>
          </a:solidFill>
          <a:ln w="19050">
            <a:noFill/>
          </a:ln>
          <a:effectLst/>
        </c:spPr>
      </c:pivotFmt>
      <c:pivotFmt>
        <c:idx val="3"/>
        <c:spPr>
          <a:solidFill>
            <a:srgbClr val="F2B800"/>
          </a:solidFill>
          <a:ln w="19050">
            <a:noFill/>
          </a:ln>
          <a:effectLst/>
        </c:spPr>
      </c:pivotFmt>
      <c:pivotFmt>
        <c:idx val="4"/>
        <c:spPr>
          <a:solidFill>
            <a:srgbClr val="FEF800"/>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rgbClr val="00206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75000"/>
            </a:schemeClr>
          </a:solidFill>
          <a:ln w="19050">
            <a:no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C00000"/>
          </a:solidFill>
          <a:ln w="19050">
            <a:noFill/>
          </a:ln>
          <a:effectLst/>
        </c:spPr>
      </c:pivotFmt>
      <c:pivotFmt>
        <c:idx val="8"/>
        <c:spPr>
          <a:solidFill>
            <a:srgbClr val="F2B800"/>
          </a:solidFill>
          <a:ln w="19050">
            <a:noFill/>
          </a:ln>
          <a:effectLst/>
        </c:spPr>
      </c:pivotFmt>
      <c:pivotFmt>
        <c:idx val="9"/>
        <c:spPr>
          <a:solidFill>
            <a:srgbClr val="FEF800"/>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rgbClr val="00206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145A7A"/>
          </a:solidFill>
          <a:ln w="19050">
            <a:solidFill>
              <a:schemeClr val="accent6">
                <a:lumMod val="20000"/>
                <a:lumOff val="80000"/>
              </a:schemeClr>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B40000"/>
          </a:solidFill>
          <a:ln w="19050">
            <a:noFill/>
          </a:ln>
          <a:effectLst/>
        </c:spPr>
      </c:pivotFmt>
      <c:pivotFmt>
        <c:idx val="13"/>
        <c:spPr>
          <a:solidFill>
            <a:srgbClr val="F2B800"/>
          </a:solidFill>
          <a:ln w="19050">
            <a:noFill/>
          </a:ln>
          <a:effectLst/>
        </c:spPr>
      </c:pivotFmt>
      <c:pivotFmt>
        <c:idx val="14"/>
        <c:spPr>
          <a:solidFill>
            <a:srgbClr val="FEF800"/>
          </a:solidFill>
          <a:ln w="19050">
            <a:noFill/>
          </a:ln>
          <a:effectLst/>
        </c:spPr>
      </c:pivotFmt>
    </c:pivotFmts>
    <c:plotArea>
      <c:layout>
        <c:manualLayout>
          <c:layoutTarget val="inner"/>
          <c:xMode val="edge"/>
          <c:yMode val="edge"/>
          <c:x val="0.20286871641640492"/>
          <c:y val="7.6253217017751396E-2"/>
          <c:w val="0.64281078833348171"/>
          <c:h val="0.71657600308420644"/>
        </c:manualLayout>
      </c:layout>
      <c:pieChart>
        <c:varyColors val="1"/>
        <c:ser>
          <c:idx val="0"/>
          <c:order val="0"/>
          <c:tx>
            <c:strRef>
              <c:f>'PT_DASHBOARD (KPI &amp; Reports)'!$R$24</c:f>
              <c:strCache>
                <c:ptCount val="1"/>
                <c:pt idx="0">
                  <c:v>Total</c:v>
                </c:pt>
              </c:strCache>
            </c:strRef>
          </c:tx>
          <c:spPr>
            <a:ln>
              <a:noFill/>
            </a:ln>
          </c:spPr>
          <c:dPt>
            <c:idx val="0"/>
            <c:bubble3D val="0"/>
            <c:spPr>
              <a:solidFill>
                <a:srgbClr val="145A7A"/>
              </a:solidFill>
              <a:ln w="19050">
                <a:solidFill>
                  <a:schemeClr val="accent6">
                    <a:lumMod val="20000"/>
                    <a:lumOff val="80000"/>
                  </a:schemeClr>
                </a:solidFill>
              </a:ln>
              <a:effectLst/>
            </c:spPr>
            <c:extLst>
              <c:ext xmlns:c16="http://schemas.microsoft.com/office/drawing/2014/chart" uri="{C3380CC4-5D6E-409C-BE32-E72D297353CC}">
                <c16:uniqueId val="{00000001-8F15-4528-A138-E6B4FE99879D}"/>
              </c:ext>
            </c:extLst>
          </c:dPt>
          <c:dPt>
            <c:idx val="1"/>
            <c:bubble3D val="0"/>
            <c:spPr>
              <a:solidFill>
                <a:srgbClr val="B40000"/>
              </a:solidFill>
              <a:ln w="19050">
                <a:noFill/>
              </a:ln>
              <a:effectLst/>
            </c:spPr>
            <c:extLst>
              <c:ext xmlns:c16="http://schemas.microsoft.com/office/drawing/2014/chart" uri="{C3380CC4-5D6E-409C-BE32-E72D297353CC}">
                <c16:uniqueId val="{00000003-8F15-4528-A138-E6B4FE99879D}"/>
              </c:ext>
            </c:extLst>
          </c:dPt>
          <c:dPt>
            <c:idx val="2"/>
            <c:bubble3D val="0"/>
            <c:spPr>
              <a:solidFill>
                <a:srgbClr val="F2B800"/>
              </a:solidFill>
              <a:ln w="19050">
                <a:noFill/>
              </a:ln>
              <a:effectLst/>
            </c:spPr>
            <c:extLst>
              <c:ext xmlns:c16="http://schemas.microsoft.com/office/drawing/2014/chart" uri="{C3380CC4-5D6E-409C-BE32-E72D297353CC}">
                <c16:uniqueId val="{00000005-8F15-4528-A138-E6B4FE99879D}"/>
              </c:ext>
            </c:extLst>
          </c:dPt>
          <c:dPt>
            <c:idx val="3"/>
            <c:bubble3D val="0"/>
            <c:spPr>
              <a:solidFill>
                <a:srgbClr val="FEF800"/>
              </a:solidFill>
              <a:ln w="19050">
                <a:noFill/>
              </a:ln>
              <a:effectLst/>
            </c:spPr>
            <c:extLst>
              <c:ext xmlns:c16="http://schemas.microsoft.com/office/drawing/2014/chart" uri="{C3380CC4-5D6E-409C-BE32-E72D297353CC}">
                <c16:uniqueId val="{00000007-8F15-4528-A138-E6B4FE99879D}"/>
              </c:ext>
            </c:extLst>
          </c:dPt>
          <c:dLbls>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8F15-4528-A138-E6B4FE99879D}"/>
                </c:ext>
              </c:extLst>
            </c:dLbl>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rgbClr val="00206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'PT_DASHBOARD (KPI &amp; Reports)'!$Q$25:$Q$29</c:f>
              <c:strCache>
                <c:ptCount val="4"/>
                <c:pt idx="0">
                  <c:v>Completed</c:v>
                </c:pt>
                <c:pt idx="1">
                  <c:v>Cancelled</c:v>
                </c:pt>
                <c:pt idx="2">
                  <c:v>Returned</c:v>
                </c:pt>
                <c:pt idx="3">
                  <c:v>Pending</c:v>
                </c:pt>
              </c:strCache>
            </c:strRef>
          </c:cat>
          <c:val>
            <c:numRef>
              <c:f>'PT_DASHBOARD (KPI &amp; Reports)'!$R$25:$R$29</c:f>
              <c:numCache>
                <c:formatCode>#,##0</c:formatCode>
                <c:ptCount val="4"/>
                <c:pt idx="0">
                  <c:v>1395</c:v>
                </c:pt>
                <c:pt idx="1">
                  <c:v>59</c:v>
                </c:pt>
                <c:pt idx="2">
                  <c:v>57</c:v>
                </c:pt>
                <c:pt idx="3">
                  <c:v>55</c:v>
                </c:pt>
              </c:numCache>
            </c:numRef>
          </c:val>
          <c:extLst>
            <c:ext xmlns:c16="http://schemas.microsoft.com/office/drawing/2014/chart" uri="{C3380CC4-5D6E-409C-BE32-E72D297353CC}">
              <c16:uniqueId val="{00000008-8F15-4528-A138-E6B4FE99879D}"/>
            </c:ext>
          </c:extLst>
        </c:ser>
        <c:dLbls>
          <c:showLegendKey val="0"/>
          <c:showVal val="0"/>
          <c:showCatName val="0"/>
          <c:showSerName val="0"/>
          <c:showPercent val="0"/>
          <c:showBubbleSize val="0"/>
          <c:showLeaderLines val="0"/>
        </c:dLbls>
        <c:firstSliceAng val="0"/>
      </c:pieChart>
      <c:spPr>
        <a:noFill/>
        <a:ln>
          <a:noFill/>
        </a:ln>
        <a:effectLst/>
      </c:spPr>
    </c:plotArea>
    <c:legend>
      <c:legendPos val="b"/>
      <c:layout>
        <c:manualLayout>
          <c:xMode val="edge"/>
          <c:yMode val="edge"/>
          <c:x val="8.6750296485459608E-2"/>
          <c:y val="0.80967753398077069"/>
          <c:w val="0.86374337673184454"/>
          <c:h val="0.149296802905607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alpha val="51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[MIS_Sales Dashboard_Project.xlsx]PT_PRODUCT (KPI &amp; REPORT!PRODUCT_SALES</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'PT_PRODUCT (KPI &amp; REPORT'!$C$19</c:f>
              <c:strCache>
                <c:ptCount val="1"/>
                <c:pt idx="0">
                  <c:v>Total</c:v>
                </c:pt>
              </c:strCache>
            </c:strRef>
          </c:tx>
          <c:spPr>
            <a:solidFill>
              <a:schemeClr val="accent1"/>
            </a:solidFill>
            <a:ln>
              <a:noFill/>
            </a:ln>
            <a:effectLst/>
          </c:spPr>
          <c:invertIfNegative val="0"/>
          <c:cat>
            <c:strRef>
              <c:f>'PT_PRODUCT (KPI &amp; REPORT'!$B$20:$B$26</c:f>
              <c:strCache>
                <c:ptCount val="6"/>
                <c:pt idx="0">
                  <c:v>Printer</c:v>
                </c:pt>
                <c:pt idx="1">
                  <c:v>Scanner</c:v>
                </c:pt>
                <c:pt idx="2">
                  <c:v>Monitor</c:v>
                </c:pt>
                <c:pt idx="3">
                  <c:v>Speaker</c:v>
                </c:pt>
                <c:pt idx="4">
                  <c:v>Mouse</c:v>
                </c:pt>
                <c:pt idx="5">
                  <c:v>Keyboard</c:v>
                </c:pt>
              </c:strCache>
            </c:strRef>
          </c:cat>
          <c:val>
            <c:numRef>
              <c:f>'PT_PRODUCT (KPI &amp; REPORT'!$C$20:$C$26</c:f>
              <c:numCache>
                <c:formatCode>"₹"\ #,##0.00</c:formatCode>
                <c:ptCount val="6"/>
                <c:pt idx="0">
                  <c:v>3861936.7</c:v>
                </c:pt>
                <c:pt idx="1">
                  <c:v>1675257.3000000003</c:v>
                </c:pt>
                <c:pt idx="2">
                  <c:v>1407969</c:v>
                </c:pt>
                <c:pt idx="3">
                  <c:v>411857.99999999994</c:v>
                </c:pt>
                <c:pt idx="4">
                  <c:v>385635.99999999994</c:v>
                </c:pt>
                <c:pt idx="5">
                  <c:v>201989.69999999998</c:v>
                </c:pt>
              </c:numCache>
            </c:numRef>
          </c:val>
          <c:extLst>
            <c:ext xmlns:c16="http://schemas.microsoft.com/office/drawing/2014/chart" uri="{C3380CC4-5D6E-409C-BE32-E72D297353CC}">
              <c16:uniqueId val="{00000000-3FD9-44C7-ADDA-1C12C0B28431}"/>
            </c:ext>
          </c:extLst>
        </c:ser>
        <c:dLbls>
          <c:showLegendKey val="0"/>
          <c:showVal val="0"/>
          <c:showCatName val="0"/>
          <c:showSerName val="0"/>
          <c:showPercent val="0"/>
          <c:showBubbleSize val="0"/>
        </c:dLbls>
        <c:gapWidth val="150"/>
        <c:overlap val="100"/>
        <c:axId val="159417007"/>
        <c:axId val="159414127"/>
      </c:barChart>
      <c:catAx>
        <c:axId val="159417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9414127"/>
        <c:crosses val="autoZero"/>
        <c:auto val="1"/>
        <c:lblAlgn val="ctr"/>
        <c:lblOffset val="100"/>
        <c:noMultiLvlLbl val="0"/>
      </c:catAx>
      <c:valAx>
        <c:axId val="159414127"/>
        <c:scaling>
          <c:orientation val="minMax"/>
        </c:scaling>
        <c:delete val="1"/>
        <c:axPos val="b"/>
        <c:numFmt formatCode="&quot;₹&quot;\ #,##0.00" sourceLinked="1"/>
        <c:majorTickMark val="none"/>
        <c:minorTickMark val="none"/>
        <c:tickLblPos val="nextTo"/>
        <c:crossAx val="159417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[MIS_Sales Dashboard_Project.xlsx]PT_PRODUCT (KPI &amp; REPORT!PRODUCT_PROFIT</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'PT_PRODUCT (KPI &amp; REPORT'!$F$19</c:f>
              <c:strCache>
                <c:ptCount val="1"/>
                <c:pt idx="0">
                  <c:v>Total</c:v>
                </c:pt>
              </c:strCache>
            </c:strRef>
          </c:tx>
          <c:spPr>
            <a:solidFill>
              <a:schemeClr val="accent1"/>
            </a:solidFill>
            <a:ln>
              <a:noFill/>
            </a:ln>
            <a:effectLst/>
          </c:spPr>
          <c:invertIfNegative val="0"/>
          <c:cat>
            <c:strRef>
              <c:f>'PT_PRODUCT (KPI &amp; REPORT'!$E$20:$E$26</c:f>
              <c:strCache>
                <c:ptCount val="6"/>
                <c:pt idx="0">
                  <c:v>Printer</c:v>
                </c:pt>
                <c:pt idx="1">
                  <c:v>Scanner</c:v>
                </c:pt>
                <c:pt idx="2">
                  <c:v>Monitor</c:v>
                </c:pt>
                <c:pt idx="3">
                  <c:v>Speaker</c:v>
                </c:pt>
                <c:pt idx="4">
                  <c:v>Mouse</c:v>
                </c:pt>
                <c:pt idx="5">
                  <c:v>Keyboard</c:v>
                </c:pt>
              </c:strCache>
            </c:strRef>
          </c:cat>
          <c:val>
            <c:numRef>
              <c:f>'PT_PRODUCT (KPI &amp; REPORT'!$F$20:$F$26</c:f>
              <c:numCache>
                <c:formatCode>"₹"\ #,##0.00</c:formatCode>
                <c:ptCount val="6"/>
                <c:pt idx="0">
                  <c:v>1029626.7000000001</c:v>
                </c:pt>
                <c:pt idx="1">
                  <c:v>457487.3</c:v>
                </c:pt>
                <c:pt idx="2">
                  <c:v>396399</c:v>
                </c:pt>
                <c:pt idx="3">
                  <c:v>107758.00000000001</c:v>
                </c:pt>
                <c:pt idx="4">
                  <c:v>103436.00000000001</c:v>
                </c:pt>
                <c:pt idx="5">
                  <c:v>52609.700000000004</c:v>
                </c:pt>
              </c:numCache>
            </c:numRef>
          </c:val>
          <c:extLst>
            <c:ext xmlns:c16="http://schemas.microsoft.com/office/drawing/2014/chart" uri="{C3380CC4-5D6E-409C-BE32-E72D297353CC}">
              <c16:uniqueId val="{00000000-1DCA-42F6-87F6-0DF7AD410D04}"/>
            </c:ext>
          </c:extLst>
        </c:ser>
        <c:dLbls>
          <c:showLegendKey val="0"/>
          <c:showVal val="0"/>
          <c:showCatName val="0"/>
          <c:showSerName val="0"/>
          <c:showPercent val="0"/>
          <c:showBubbleSize val="0"/>
        </c:dLbls>
        <c:gapWidth val="182"/>
        <c:axId val="2121045807"/>
        <c:axId val="2121030447"/>
      </c:barChart>
      <c:catAx>
        <c:axId val="212104580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121030447"/>
        <c:crosses val="autoZero"/>
        <c:auto val="1"/>
        <c:lblAlgn val="ctr"/>
        <c:lblOffset val="100"/>
        <c:noMultiLvlLbl val="0"/>
      </c:catAx>
      <c:valAx>
        <c:axId val="2121030447"/>
        <c:scaling>
          <c:orientation val="minMax"/>
        </c:scaling>
        <c:delete val="1"/>
        <c:axPos val="b"/>
        <c:numFmt formatCode="&quot;₹&quot;\ #,##0.00" sourceLinked="1"/>
        <c:majorTickMark val="none"/>
        <c:minorTickMark val="none"/>
        <c:tickLblPos val="nextTo"/>
        <c:crossAx val="2121045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[MIS_Sales Dashboard_Project.xlsx]PT_PRODUCT (KPI &amp; REPORT!PRODUCT_PROFIT-MARGIN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83281053282974"/>
          <c:y val="0.10471213825544534"/>
          <c:w val="0.86587542410857166"/>
          <c:h val="0.72156253195623277"/>
        </c:manualLayout>
      </c:layout>
      <c:barChart>
        <c:barDir val="col"/>
        <c:grouping val="stacked"/>
        <c:varyColors val="0"/>
        <c:ser>
          <c:idx val="0"/>
          <c:order val="0"/>
          <c:tx>
            <c:strRef>
              <c:f>'PT_PRODUCT (KPI &amp; REPORT'!$I$19</c:f>
              <c:strCache>
                <c:ptCount val="1"/>
                <c:pt idx="0">
                  <c:v>Total</c:v>
                </c:pt>
              </c:strCache>
            </c:strRef>
          </c:tx>
          <c:spPr>
            <a:solidFill>
              <a:schemeClr val="accent1"/>
            </a:solidFill>
            <a:ln>
              <a:noFill/>
            </a:ln>
            <a:effectLst/>
          </c:spPr>
          <c:invertIfNegative val="0"/>
          <c:cat>
            <c:strRef>
              <c:f>'PT_PRODUCT (KPI &amp; REPORT'!$H$20:$H$26</c:f>
              <c:strCache>
                <c:ptCount val="6"/>
                <c:pt idx="0">
                  <c:v>Keyboard</c:v>
                </c:pt>
                <c:pt idx="1">
                  <c:v>Speaker</c:v>
                </c:pt>
                <c:pt idx="2">
                  <c:v>Printer</c:v>
                </c:pt>
                <c:pt idx="3">
                  <c:v>Mouse</c:v>
                </c:pt>
                <c:pt idx="4">
                  <c:v>Scanner</c:v>
                </c:pt>
                <c:pt idx="5">
                  <c:v>Monitor</c:v>
                </c:pt>
              </c:strCache>
            </c:strRef>
          </c:cat>
          <c:val>
            <c:numRef>
              <c:f>'PT_PRODUCT (KPI &amp; REPORT'!$I$20:$I$26</c:f>
              <c:numCache>
                <c:formatCode>0.00%</c:formatCode>
                <c:ptCount val="6"/>
                <c:pt idx="0">
                  <c:v>0.26045734015150279</c:v>
                </c:pt>
                <c:pt idx="1">
                  <c:v>0.26163872014140804</c:v>
                </c:pt>
                <c:pt idx="2">
                  <c:v>0.26660890117644859</c:v>
                </c:pt>
                <c:pt idx="3">
                  <c:v>0.26822184650810615</c:v>
                </c:pt>
                <c:pt idx="4">
                  <c:v>0.27308479718309536</c:v>
                </c:pt>
                <c:pt idx="5">
                  <c:v>0.28153957935153401</c:v>
                </c:pt>
              </c:numCache>
            </c:numRef>
          </c:val>
          <c:extLst>
            <c:ext xmlns:c16="http://schemas.microsoft.com/office/drawing/2014/chart" uri="{C3380CC4-5D6E-409C-BE32-E72D297353CC}">
              <c16:uniqueId val="{00000000-4F6A-4502-AB2E-697B3BB69BFD}"/>
            </c:ext>
          </c:extLst>
        </c:ser>
        <c:dLbls>
          <c:showLegendKey val="0"/>
          <c:showVal val="0"/>
          <c:showCatName val="0"/>
          <c:showSerName val="0"/>
          <c:showPercent val="0"/>
          <c:showBubbleSize val="0"/>
        </c:dLbls>
        <c:gapWidth val="150"/>
        <c:overlap val="100"/>
        <c:axId val="2121052527"/>
        <c:axId val="2121032847"/>
      </c:barChart>
      <c:catAx>
        <c:axId val="21210525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032847"/>
        <c:crosses val="autoZero"/>
        <c:auto val="1"/>
        <c:lblAlgn val="ctr"/>
        <c:lblOffset val="100"/>
        <c:noMultiLvlLbl val="0"/>
      </c:catAx>
      <c:valAx>
        <c:axId val="2121032847"/>
        <c:scaling>
          <c:orientation val="minMax"/>
          <c:max val="0.30000000000000004"/>
          <c:min val="0.2"/>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052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[MIS_Sales Dashboard_Project.xlsx]PT_PRODUCT (KPI &amp; REPORT!PRODUCT_QTY</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'PT_PRODUCT (KPI &amp; REPORT'!$L$19</c:f>
              <c:strCache>
                <c:ptCount val="1"/>
                <c:pt idx="0">
                  <c:v>Total</c:v>
                </c:pt>
              </c:strCache>
            </c:strRef>
          </c:tx>
          <c:spPr>
            <a:solidFill>
              <a:schemeClr val="accent1"/>
            </a:solidFill>
            <a:ln>
              <a:noFill/>
            </a:ln>
            <a:effectLst/>
          </c:spPr>
          <c:invertIfNegative val="0"/>
          <c:cat>
            <c:strRef>
              <c:f>'PT_PRODUCT (KPI &amp; REPORT'!$K$20:$K$26</c:f>
              <c:strCache>
                <c:ptCount val="6"/>
                <c:pt idx="0">
                  <c:v>Keyboard</c:v>
                </c:pt>
                <c:pt idx="1">
                  <c:v>Monitor</c:v>
                </c:pt>
                <c:pt idx="2">
                  <c:v>Scanner</c:v>
                </c:pt>
                <c:pt idx="3">
                  <c:v>Speaker</c:v>
                </c:pt>
                <c:pt idx="4">
                  <c:v>Printer</c:v>
                </c:pt>
                <c:pt idx="5">
                  <c:v>Mouse</c:v>
                </c:pt>
              </c:strCache>
            </c:strRef>
          </c:cat>
          <c:val>
            <c:numRef>
              <c:f>'PT_PRODUCT (KPI &amp; REPORT'!$L$20:$L$26</c:f>
              <c:numCache>
                <c:formatCode>0</c:formatCode>
                <c:ptCount val="6"/>
                <c:pt idx="0">
                  <c:v>1080</c:v>
                </c:pt>
                <c:pt idx="1">
                  <c:v>1091</c:v>
                </c:pt>
                <c:pt idx="2">
                  <c:v>1182</c:v>
                </c:pt>
                <c:pt idx="3">
                  <c:v>1406</c:v>
                </c:pt>
                <c:pt idx="4">
                  <c:v>1888</c:v>
                </c:pt>
                <c:pt idx="5">
                  <c:v>1925</c:v>
                </c:pt>
              </c:numCache>
            </c:numRef>
          </c:val>
          <c:extLst>
            <c:ext xmlns:c16="http://schemas.microsoft.com/office/drawing/2014/chart" uri="{C3380CC4-5D6E-409C-BE32-E72D297353CC}">
              <c16:uniqueId val="{00000000-CAF4-44F4-B4E6-4A46E97C204E}"/>
            </c:ext>
          </c:extLst>
        </c:ser>
        <c:dLbls>
          <c:showLegendKey val="0"/>
          <c:showVal val="0"/>
          <c:showCatName val="0"/>
          <c:showSerName val="0"/>
          <c:showPercent val="0"/>
          <c:showBubbleSize val="0"/>
        </c:dLbls>
        <c:gapWidth val="150"/>
        <c:overlap val="100"/>
        <c:axId val="2121039567"/>
        <c:axId val="2121044847"/>
      </c:barChart>
      <c:catAx>
        <c:axId val="212103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044847"/>
        <c:crosses val="autoZero"/>
        <c:auto val="1"/>
        <c:lblAlgn val="ctr"/>
        <c:lblOffset val="100"/>
        <c:noMultiLvlLbl val="0"/>
      </c:catAx>
      <c:valAx>
        <c:axId val="21210448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039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[MIS_Sales Dashboard_Project.xlsx]PT_PRODUCT (KPI &amp; REPORT!PRODUCT-ORDER_STATUS</c:name>
    <c:fmtId val="8"/>
  </c:pivotSource>
  <c:chart>
    <c:autoTitleDeleted val="1"/>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outerShdw blurRad="203200" dist="50800" sx="1000" sy="1000" algn="ctr" rotWithShape="0">
              <a:srgbClr val="00000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2B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outerShdw blurRad="203200" dist="50800" sx="1000" sy="1000" algn="ctr" rotWithShape="0">
              <a:srgbClr val="00000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2B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45A7A"/>
          </a:solidFill>
          <a:ln>
            <a:noFill/>
          </a:ln>
          <a:effectLst>
            <a:outerShdw blurRad="203200" dist="50800" sx="1000" sy="1000" algn="ctr" rotWithShape="0">
              <a:srgbClr val="00000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2B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12143382926996"/>
          <c:y val="6.2947067238912732E-2"/>
          <c:w val="0.80818838155145623"/>
          <c:h val="0.78326112669392722"/>
        </c:manualLayout>
      </c:layout>
      <c:barChart>
        <c:barDir val="bar"/>
        <c:grouping val="percentStacked"/>
        <c:varyColors val="0"/>
        <c:ser>
          <c:idx val="0"/>
          <c:order val="0"/>
          <c:tx>
            <c:strRef>
              <c:f>'PT_PRODUCT (KPI &amp; REPORT'!$O$19:$O$20</c:f>
              <c:strCache>
                <c:ptCount val="1"/>
                <c:pt idx="0">
                  <c:v>Completed</c:v>
                </c:pt>
              </c:strCache>
            </c:strRef>
          </c:tx>
          <c:spPr>
            <a:solidFill>
              <a:srgbClr val="145A7A"/>
            </a:solidFill>
            <a:ln>
              <a:noFill/>
            </a:ln>
            <a:effectLst>
              <a:outerShdw blurRad="203200" dist="50800" sx="1000" sy="1000" algn="ctr" rotWithShape="0">
                <a:srgbClr val="000000"/>
              </a:outerShdw>
            </a:effectLst>
          </c:spPr>
          <c:invertIfNegative val="0"/>
          <c:cat>
            <c:strRef>
              <c:f>'PT_PRODUCT (KPI &amp; REPORT'!$N$21:$N$27</c:f>
              <c:strCache>
                <c:ptCount val="6"/>
                <c:pt idx="0">
                  <c:v>Mouse</c:v>
                </c:pt>
                <c:pt idx="1">
                  <c:v>Printer</c:v>
                </c:pt>
                <c:pt idx="2">
                  <c:v>Speaker</c:v>
                </c:pt>
                <c:pt idx="3">
                  <c:v>Keyboard</c:v>
                </c:pt>
                <c:pt idx="4">
                  <c:v>Scanner</c:v>
                </c:pt>
                <c:pt idx="5">
                  <c:v>Monitor</c:v>
                </c:pt>
              </c:strCache>
            </c:strRef>
          </c:cat>
          <c:val>
            <c:numRef>
              <c:f>'PT_PRODUCT (KPI &amp; REPORT'!$O$21:$O$27</c:f>
              <c:numCache>
                <c:formatCode>0.00</c:formatCode>
                <c:ptCount val="6"/>
                <c:pt idx="0">
                  <c:v>322</c:v>
                </c:pt>
                <c:pt idx="1">
                  <c:v>283</c:v>
                </c:pt>
                <c:pt idx="2">
                  <c:v>228</c:v>
                </c:pt>
                <c:pt idx="3">
                  <c:v>198</c:v>
                </c:pt>
                <c:pt idx="4">
                  <c:v>191</c:v>
                </c:pt>
                <c:pt idx="5">
                  <c:v>173</c:v>
                </c:pt>
              </c:numCache>
            </c:numRef>
          </c:val>
          <c:extLst>
            <c:ext xmlns:c16="http://schemas.microsoft.com/office/drawing/2014/chart" uri="{C3380CC4-5D6E-409C-BE32-E72D297353CC}">
              <c16:uniqueId val="{00000000-2EC6-418F-A3E1-86EFAA125965}"/>
            </c:ext>
          </c:extLst>
        </c:ser>
        <c:ser>
          <c:idx val="1"/>
          <c:order val="1"/>
          <c:tx>
            <c:strRef>
              <c:f>'PT_PRODUCT (KPI &amp; REPORT'!$P$19:$P$20</c:f>
              <c:strCache>
                <c:ptCount val="1"/>
                <c:pt idx="0">
                  <c:v>Pending</c:v>
                </c:pt>
              </c:strCache>
            </c:strRef>
          </c:tx>
          <c:spPr>
            <a:solidFill>
              <a:srgbClr val="FFFA00"/>
            </a:solidFill>
            <a:ln>
              <a:noFill/>
            </a:ln>
            <a:effectLst/>
          </c:spPr>
          <c:invertIfNegative val="0"/>
          <c:cat>
            <c:strRef>
              <c:f>'PT_PRODUCT (KPI &amp; REPORT'!$N$21:$N$27</c:f>
              <c:strCache>
                <c:ptCount val="6"/>
                <c:pt idx="0">
                  <c:v>Mouse</c:v>
                </c:pt>
                <c:pt idx="1">
                  <c:v>Printer</c:v>
                </c:pt>
                <c:pt idx="2">
                  <c:v>Speaker</c:v>
                </c:pt>
                <c:pt idx="3">
                  <c:v>Keyboard</c:v>
                </c:pt>
                <c:pt idx="4">
                  <c:v>Scanner</c:v>
                </c:pt>
                <c:pt idx="5">
                  <c:v>Monitor</c:v>
                </c:pt>
              </c:strCache>
            </c:strRef>
          </c:cat>
          <c:val>
            <c:numRef>
              <c:f>'PT_PRODUCT (KPI &amp; REPORT'!$P$21:$P$27</c:f>
              <c:numCache>
                <c:formatCode>0.00</c:formatCode>
                <c:ptCount val="6"/>
                <c:pt idx="0">
                  <c:v>14</c:v>
                </c:pt>
                <c:pt idx="1">
                  <c:v>11</c:v>
                </c:pt>
                <c:pt idx="2">
                  <c:v>6</c:v>
                </c:pt>
                <c:pt idx="3">
                  <c:v>8</c:v>
                </c:pt>
                <c:pt idx="4">
                  <c:v>6</c:v>
                </c:pt>
                <c:pt idx="5">
                  <c:v>10</c:v>
                </c:pt>
              </c:numCache>
            </c:numRef>
          </c:val>
          <c:extLst>
            <c:ext xmlns:c16="http://schemas.microsoft.com/office/drawing/2014/chart" uri="{C3380CC4-5D6E-409C-BE32-E72D297353CC}">
              <c16:uniqueId val="{00000006-015B-4ED7-9CC8-AD9ED9C0F53A}"/>
            </c:ext>
          </c:extLst>
        </c:ser>
        <c:ser>
          <c:idx val="2"/>
          <c:order val="2"/>
          <c:tx>
            <c:strRef>
              <c:f>'PT_PRODUCT (KPI &amp; REPORT'!$Q$19:$Q$20</c:f>
              <c:strCache>
                <c:ptCount val="1"/>
                <c:pt idx="0">
                  <c:v>Returned</c:v>
                </c:pt>
              </c:strCache>
            </c:strRef>
          </c:tx>
          <c:spPr>
            <a:solidFill>
              <a:srgbClr val="F2B800"/>
            </a:solidFill>
            <a:ln>
              <a:noFill/>
            </a:ln>
            <a:effectLst/>
          </c:spPr>
          <c:invertIfNegative val="0"/>
          <c:cat>
            <c:strRef>
              <c:f>'PT_PRODUCT (KPI &amp; REPORT'!$N$21:$N$27</c:f>
              <c:strCache>
                <c:ptCount val="6"/>
                <c:pt idx="0">
                  <c:v>Mouse</c:v>
                </c:pt>
                <c:pt idx="1">
                  <c:v>Printer</c:v>
                </c:pt>
                <c:pt idx="2">
                  <c:v>Speaker</c:v>
                </c:pt>
                <c:pt idx="3">
                  <c:v>Keyboard</c:v>
                </c:pt>
                <c:pt idx="4">
                  <c:v>Scanner</c:v>
                </c:pt>
                <c:pt idx="5">
                  <c:v>Monitor</c:v>
                </c:pt>
              </c:strCache>
            </c:strRef>
          </c:cat>
          <c:val>
            <c:numRef>
              <c:f>'PT_PRODUCT (KPI &amp; REPORT'!$Q$21:$Q$27</c:f>
              <c:numCache>
                <c:formatCode>0.00</c:formatCode>
                <c:ptCount val="6"/>
                <c:pt idx="0">
                  <c:v>15</c:v>
                </c:pt>
                <c:pt idx="1">
                  <c:v>7</c:v>
                </c:pt>
                <c:pt idx="2">
                  <c:v>7</c:v>
                </c:pt>
                <c:pt idx="3">
                  <c:v>5</c:v>
                </c:pt>
                <c:pt idx="4">
                  <c:v>8</c:v>
                </c:pt>
                <c:pt idx="5">
                  <c:v>15</c:v>
                </c:pt>
              </c:numCache>
            </c:numRef>
          </c:val>
          <c:extLst>
            <c:ext xmlns:c16="http://schemas.microsoft.com/office/drawing/2014/chart" uri="{C3380CC4-5D6E-409C-BE32-E72D297353CC}">
              <c16:uniqueId val="{00000007-015B-4ED7-9CC8-AD9ED9C0F53A}"/>
            </c:ext>
          </c:extLst>
        </c:ser>
        <c:ser>
          <c:idx val="3"/>
          <c:order val="3"/>
          <c:tx>
            <c:strRef>
              <c:f>'PT_PRODUCT (KPI &amp; REPORT'!$R$19:$R$20</c:f>
              <c:strCache>
                <c:ptCount val="1"/>
                <c:pt idx="0">
                  <c:v>Cancelled</c:v>
                </c:pt>
              </c:strCache>
            </c:strRef>
          </c:tx>
          <c:spPr>
            <a:solidFill>
              <a:srgbClr val="C00000"/>
            </a:solidFill>
            <a:ln>
              <a:noFill/>
            </a:ln>
            <a:effectLst/>
          </c:spPr>
          <c:invertIfNegative val="0"/>
          <c:cat>
            <c:strRef>
              <c:f>'PT_PRODUCT (KPI &amp; REPORT'!$N$21:$N$27</c:f>
              <c:strCache>
                <c:ptCount val="6"/>
                <c:pt idx="0">
                  <c:v>Mouse</c:v>
                </c:pt>
                <c:pt idx="1">
                  <c:v>Printer</c:v>
                </c:pt>
                <c:pt idx="2">
                  <c:v>Speaker</c:v>
                </c:pt>
                <c:pt idx="3">
                  <c:v>Keyboard</c:v>
                </c:pt>
                <c:pt idx="4">
                  <c:v>Scanner</c:v>
                </c:pt>
                <c:pt idx="5">
                  <c:v>Monitor</c:v>
                </c:pt>
              </c:strCache>
            </c:strRef>
          </c:cat>
          <c:val>
            <c:numRef>
              <c:f>'PT_PRODUCT (KPI &amp; REPORT'!$R$21:$R$27</c:f>
              <c:numCache>
                <c:formatCode>0.00</c:formatCode>
                <c:ptCount val="6"/>
                <c:pt idx="0">
                  <c:v>13</c:v>
                </c:pt>
                <c:pt idx="1">
                  <c:v>19</c:v>
                </c:pt>
                <c:pt idx="2">
                  <c:v>7</c:v>
                </c:pt>
                <c:pt idx="3">
                  <c:v>7</c:v>
                </c:pt>
                <c:pt idx="4">
                  <c:v>8</c:v>
                </c:pt>
                <c:pt idx="5">
                  <c:v>5</c:v>
                </c:pt>
              </c:numCache>
            </c:numRef>
          </c:val>
          <c:extLst>
            <c:ext xmlns:c16="http://schemas.microsoft.com/office/drawing/2014/chart" uri="{C3380CC4-5D6E-409C-BE32-E72D297353CC}">
              <c16:uniqueId val="{00000008-015B-4ED7-9CC8-AD9ED9C0F53A}"/>
            </c:ext>
          </c:extLst>
        </c:ser>
        <c:dLbls>
          <c:showLegendKey val="0"/>
          <c:showVal val="0"/>
          <c:showCatName val="0"/>
          <c:showSerName val="0"/>
          <c:showPercent val="0"/>
          <c:showBubbleSize val="0"/>
        </c:dLbls>
        <c:gapWidth val="150"/>
        <c:overlap val="100"/>
        <c:axId val="375702303"/>
        <c:axId val="375694623"/>
      </c:barChart>
      <c:catAx>
        <c:axId val="37570230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75694623"/>
        <c:crosses val="autoZero"/>
        <c:auto val="1"/>
        <c:lblAlgn val="ctr"/>
        <c:lblOffset val="100"/>
        <c:noMultiLvlLbl val="0"/>
      </c:catAx>
      <c:valAx>
        <c:axId val="375694623"/>
        <c:scaling>
          <c:orientation val="minMax"/>
          <c:min val="0"/>
        </c:scaling>
        <c:delete val="1"/>
        <c:axPos val="b"/>
        <c:numFmt formatCode="0%" sourceLinked="1"/>
        <c:majorTickMark val="none"/>
        <c:minorTickMark val="none"/>
        <c:tickLblPos val="nextTo"/>
        <c:crossAx val="375702303"/>
        <c:crosses val="autoZero"/>
        <c:crossBetween val="between"/>
      </c:valAx>
      <c:spPr>
        <a:noFill/>
        <a:ln>
          <a:noFill/>
        </a:ln>
        <a:effectLst/>
      </c:spPr>
    </c:plotArea>
    <c:legend>
      <c:legendPos val="b"/>
      <c:layout>
        <c:manualLayout>
          <c:xMode val="edge"/>
          <c:yMode val="edge"/>
          <c:x val="0.1299901110094949"/>
          <c:y val="0.84595880060447004"/>
          <c:w val="0.80800814912300267"/>
          <c:h val="0.11363715899148971"/>
        </c:manualLayout>
      </c:layout>
      <c:overlay val="0"/>
      <c:spPr>
        <a:noFill/>
        <a:ln>
          <a:noFill/>
        </a:ln>
        <a:effectLst>
          <a:outerShdw blurRad="50800" dist="50800" dir="5400000" algn="ctr" rotWithShape="0">
            <a:schemeClr val="bg1"/>
          </a:outerShdw>
        </a:effectLst>
      </c:spPr>
      <c:txPr>
        <a:bodyPr rot="0" spcFirstLastPara="1" vertOverflow="ellipsis" vert="horz" wrap="square" anchor="ctr" anchorCtr="1"/>
        <a:lstStyle/>
        <a:p>
          <a:pPr>
            <a:defRPr sz="900" b="0" i="0" u="none" strike="noStrike" kern="1200" baseline="0">
              <a:solidFill>
                <a:schemeClr val="tx1">
                  <a:lumMod val="65000"/>
                  <a:lumOff val="35000"/>
                  <a:alpha val="77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[MIS_Sales Dashboard_Project.xlsx]PT_SALESMAN (KPI &amp; REPORT!SALESMAN_RANKING</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28683504725843"/>
          <c:y val="8.4291187739463605E-2"/>
          <c:w val="0.75271316495274154"/>
          <c:h val="0.83141762452107282"/>
        </c:manualLayout>
      </c:layout>
      <c:barChart>
        <c:barDir val="bar"/>
        <c:grouping val="clustered"/>
        <c:varyColors val="0"/>
        <c:ser>
          <c:idx val="0"/>
          <c:order val="0"/>
          <c:tx>
            <c:strRef>
              <c:f>'PT_SALESMAN (KPI &amp; REPORT'!$P$5</c:f>
              <c:strCache>
                <c:ptCount val="1"/>
                <c:pt idx="0">
                  <c:v>Total</c:v>
                </c:pt>
              </c:strCache>
            </c:strRef>
          </c:tx>
          <c:spPr>
            <a:solidFill>
              <a:schemeClr val="accent1"/>
            </a:solidFill>
            <a:ln>
              <a:noFill/>
            </a:ln>
            <a:effectLst/>
          </c:spPr>
          <c:invertIfNegative val="0"/>
          <c:cat>
            <c:strRef>
              <c:f>'PT_SALESMAN (KPI &amp; REPORT'!$O$6:$O$12</c:f>
              <c:strCache>
                <c:ptCount val="6"/>
                <c:pt idx="0">
                  <c:v>Alok Pal</c:v>
                </c:pt>
                <c:pt idx="1">
                  <c:v>Rohan Khanna</c:v>
                </c:pt>
                <c:pt idx="2">
                  <c:v>Anuj Narang</c:v>
                </c:pt>
                <c:pt idx="3">
                  <c:v>Sandeep Rai</c:v>
                </c:pt>
                <c:pt idx="4">
                  <c:v>Abhishek Raj</c:v>
                </c:pt>
                <c:pt idx="5">
                  <c:v>Rizwan Khan</c:v>
                </c:pt>
              </c:strCache>
            </c:strRef>
          </c:cat>
          <c:val>
            <c:numRef>
              <c:f>'PT_SALESMAN (KPI &amp; REPORT'!$P$6:$P$12</c:f>
              <c:numCache>
                <c:formatCode>"₹"\ #,##0.00</c:formatCode>
                <c:ptCount val="6"/>
                <c:pt idx="0">
                  <c:v>2129895.1</c:v>
                </c:pt>
                <c:pt idx="1">
                  <c:v>1906327.6000000006</c:v>
                </c:pt>
                <c:pt idx="2">
                  <c:v>1759077.5</c:v>
                </c:pt>
                <c:pt idx="3">
                  <c:v>794532.99999999988</c:v>
                </c:pt>
                <c:pt idx="4">
                  <c:v>758499.20000000007</c:v>
                </c:pt>
                <c:pt idx="5">
                  <c:v>596314.29999999993</c:v>
                </c:pt>
              </c:numCache>
            </c:numRef>
          </c:val>
          <c:extLst>
            <c:ext xmlns:c16="http://schemas.microsoft.com/office/drawing/2014/chart" uri="{C3380CC4-5D6E-409C-BE32-E72D297353CC}">
              <c16:uniqueId val="{00000000-F508-4DD6-A3CE-DD27980ED8C2}"/>
            </c:ext>
          </c:extLst>
        </c:ser>
        <c:dLbls>
          <c:showLegendKey val="0"/>
          <c:showVal val="0"/>
          <c:showCatName val="0"/>
          <c:showSerName val="0"/>
          <c:showPercent val="0"/>
          <c:showBubbleSize val="0"/>
        </c:dLbls>
        <c:gapWidth val="182"/>
        <c:axId val="431771327"/>
        <c:axId val="431743487"/>
      </c:barChart>
      <c:catAx>
        <c:axId val="43177132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431743487"/>
        <c:crosses val="autoZero"/>
        <c:auto val="1"/>
        <c:lblAlgn val="ctr"/>
        <c:lblOffset val="100"/>
        <c:noMultiLvlLbl val="0"/>
      </c:catAx>
      <c:valAx>
        <c:axId val="431743487"/>
        <c:scaling>
          <c:orientation val="minMax"/>
        </c:scaling>
        <c:delete val="1"/>
        <c:axPos val="b"/>
        <c:numFmt formatCode="&quot;₹&quot;\ #,##0.00" sourceLinked="1"/>
        <c:majorTickMark val="none"/>
        <c:minorTickMark val="none"/>
        <c:tickLblPos val="nextTo"/>
        <c:crossAx val="431771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[MIS_Sales Dashboard_Project.xlsx]PT_SALESMAN (KPI &amp; REPORT!SALESMAN_ORDER_STATUS</c:name>
    <c:fmtId val="4"/>
  </c:pivotSource>
  <c:chart>
    <c:autoTitleDeleted val="0"/>
    <c:pivotFmts>
      <c:pivotFmt>
        <c:idx val="0"/>
        <c:spPr>
          <a:solidFill>
            <a:srgbClr val="145A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B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B4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45A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2B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B4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45A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2B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B4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'PT_SALESMAN (KPI &amp; REPORT'!$T$3:$T$4</c:f>
              <c:strCache>
                <c:ptCount val="1"/>
                <c:pt idx="0">
                  <c:v>Completed</c:v>
                </c:pt>
              </c:strCache>
            </c:strRef>
          </c:tx>
          <c:spPr>
            <a:solidFill>
              <a:srgbClr val="145A7A"/>
            </a:solidFill>
            <a:ln>
              <a:noFill/>
            </a:ln>
            <a:effectLst/>
          </c:spPr>
          <c:invertIfNegative val="0"/>
          <c:cat>
            <c:strRef>
              <c:f>'PT_SALESMAN (KPI &amp; REPORT'!$S$5:$S$11</c:f>
              <c:strCache>
                <c:ptCount val="6"/>
                <c:pt idx="0">
                  <c:v>Alok Pal</c:v>
                </c:pt>
                <c:pt idx="1">
                  <c:v>Rohan Khanna</c:v>
                </c:pt>
                <c:pt idx="2">
                  <c:v>Anuj Narang</c:v>
                </c:pt>
                <c:pt idx="3">
                  <c:v>Sandeep Rai</c:v>
                </c:pt>
                <c:pt idx="4">
                  <c:v>Abhishek Raj</c:v>
                </c:pt>
                <c:pt idx="5">
                  <c:v>Rizwan Khan</c:v>
                </c:pt>
              </c:strCache>
            </c:strRef>
          </c:cat>
          <c:val>
            <c:numRef>
              <c:f>'PT_SALESMAN (KPI &amp; REPORT'!$T$5:$T$11</c:f>
              <c:numCache>
                <c:formatCode>0.00</c:formatCode>
                <c:ptCount val="6"/>
                <c:pt idx="0">
                  <c:v>374</c:v>
                </c:pt>
                <c:pt idx="1">
                  <c:v>324</c:v>
                </c:pt>
                <c:pt idx="2">
                  <c:v>319</c:v>
                </c:pt>
                <c:pt idx="3">
                  <c:v>131</c:v>
                </c:pt>
                <c:pt idx="4">
                  <c:v>128</c:v>
                </c:pt>
                <c:pt idx="5">
                  <c:v>119</c:v>
                </c:pt>
              </c:numCache>
            </c:numRef>
          </c:val>
          <c:extLst>
            <c:ext xmlns:c16="http://schemas.microsoft.com/office/drawing/2014/chart" uri="{C3380CC4-5D6E-409C-BE32-E72D297353CC}">
              <c16:uniqueId val="{00000000-F6CE-49BC-9C44-D4724E7BCDCF}"/>
            </c:ext>
          </c:extLst>
        </c:ser>
        <c:ser>
          <c:idx val="1"/>
          <c:order val="1"/>
          <c:tx>
            <c:strRef>
              <c:f>'PT_SALESMAN (KPI &amp; REPORT'!$U$3:$U$4</c:f>
              <c:strCache>
                <c:ptCount val="1"/>
                <c:pt idx="0">
                  <c:v>Pending</c:v>
                </c:pt>
              </c:strCache>
            </c:strRef>
          </c:tx>
          <c:spPr>
            <a:solidFill>
              <a:srgbClr val="FFFA00"/>
            </a:solidFill>
            <a:ln>
              <a:noFill/>
            </a:ln>
            <a:effectLst/>
          </c:spPr>
          <c:invertIfNegative val="0"/>
          <c:cat>
            <c:strRef>
              <c:f>'PT_SALESMAN (KPI &amp; REPORT'!$S$5:$S$11</c:f>
              <c:strCache>
                <c:ptCount val="6"/>
                <c:pt idx="0">
                  <c:v>Alok Pal</c:v>
                </c:pt>
                <c:pt idx="1">
                  <c:v>Rohan Khanna</c:v>
                </c:pt>
                <c:pt idx="2">
                  <c:v>Anuj Narang</c:v>
                </c:pt>
                <c:pt idx="3">
                  <c:v>Sandeep Rai</c:v>
                </c:pt>
                <c:pt idx="4">
                  <c:v>Abhishek Raj</c:v>
                </c:pt>
                <c:pt idx="5">
                  <c:v>Rizwan Khan</c:v>
                </c:pt>
              </c:strCache>
            </c:strRef>
          </c:cat>
          <c:val>
            <c:numRef>
              <c:f>'PT_SALESMAN (KPI &amp; REPORT'!$U$5:$U$11</c:f>
              <c:numCache>
                <c:formatCode>0.00</c:formatCode>
                <c:ptCount val="6"/>
                <c:pt idx="0">
                  <c:v>12</c:v>
                </c:pt>
                <c:pt idx="1">
                  <c:v>16</c:v>
                </c:pt>
                <c:pt idx="2">
                  <c:v>9</c:v>
                </c:pt>
                <c:pt idx="3">
                  <c:v>5</c:v>
                </c:pt>
                <c:pt idx="4">
                  <c:v>6</c:v>
                </c:pt>
                <c:pt idx="5">
                  <c:v>7</c:v>
                </c:pt>
              </c:numCache>
            </c:numRef>
          </c:val>
          <c:extLst>
            <c:ext xmlns:c16="http://schemas.microsoft.com/office/drawing/2014/chart" uri="{C3380CC4-5D6E-409C-BE32-E72D297353CC}">
              <c16:uniqueId val="{00000004-E9D3-48D5-ABE8-E7ECE331D0A7}"/>
            </c:ext>
          </c:extLst>
        </c:ser>
        <c:ser>
          <c:idx val="2"/>
          <c:order val="2"/>
          <c:tx>
            <c:strRef>
              <c:f>'PT_SALESMAN (KPI &amp; REPORT'!$V$3:$V$4</c:f>
              <c:strCache>
                <c:ptCount val="1"/>
                <c:pt idx="0">
                  <c:v>Returned</c:v>
                </c:pt>
              </c:strCache>
            </c:strRef>
          </c:tx>
          <c:spPr>
            <a:solidFill>
              <a:srgbClr val="F2B800"/>
            </a:solidFill>
            <a:ln>
              <a:noFill/>
            </a:ln>
            <a:effectLst/>
          </c:spPr>
          <c:invertIfNegative val="0"/>
          <c:cat>
            <c:strRef>
              <c:f>'PT_SALESMAN (KPI &amp; REPORT'!$S$5:$S$11</c:f>
              <c:strCache>
                <c:ptCount val="6"/>
                <c:pt idx="0">
                  <c:v>Alok Pal</c:v>
                </c:pt>
                <c:pt idx="1">
                  <c:v>Rohan Khanna</c:v>
                </c:pt>
                <c:pt idx="2">
                  <c:v>Anuj Narang</c:v>
                </c:pt>
                <c:pt idx="3">
                  <c:v>Sandeep Rai</c:v>
                </c:pt>
                <c:pt idx="4">
                  <c:v>Abhishek Raj</c:v>
                </c:pt>
                <c:pt idx="5">
                  <c:v>Rizwan Khan</c:v>
                </c:pt>
              </c:strCache>
            </c:strRef>
          </c:cat>
          <c:val>
            <c:numRef>
              <c:f>'PT_SALESMAN (KPI &amp; REPORT'!$V$5:$V$11</c:f>
              <c:numCache>
                <c:formatCode>0.00</c:formatCode>
                <c:ptCount val="6"/>
                <c:pt idx="0">
                  <c:v>17</c:v>
                </c:pt>
                <c:pt idx="1">
                  <c:v>14</c:v>
                </c:pt>
                <c:pt idx="2">
                  <c:v>13</c:v>
                </c:pt>
                <c:pt idx="3">
                  <c:v>4</c:v>
                </c:pt>
                <c:pt idx="4">
                  <c:v>5</c:v>
                </c:pt>
                <c:pt idx="5">
                  <c:v>4</c:v>
                </c:pt>
              </c:numCache>
            </c:numRef>
          </c:val>
          <c:extLst>
            <c:ext xmlns:c16="http://schemas.microsoft.com/office/drawing/2014/chart" uri="{C3380CC4-5D6E-409C-BE32-E72D297353CC}">
              <c16:uniqueId val="{00000005-E9D3-48D5-ABE8-E7ECE331D0A7}"/>
            </c:ext>
          </c:extLst>
        </c:ser>
        <c:ser>
          <c:idx val="3"/>
          <c:order val="3"/>
          <c:tx>
            <c:strRef>
              <c:f>'PT_SALESMAN (KPI &amp; REPORT'!$W$3:$W$4</c:f>
              <c:strCache>
                <c:ptCount val="1"/>
                <c:pt idx="0">
                  <c:v>Cancelled</c:v>
                </c:pt>
              </c:strCache>
            </c:strRef>
          </c:tx>
          <c:spPr>
            <a:solidFill>
              <a:srgbClr val="B40000"/>
            </a:solidFill>
            <a:ln>
              <a:noFill/>
            </a:ln>
            <a:effectLst/>
          </c:spPr>
          <c:invertIfNegative val="0"/>
          <c:cat>
            <c:strRef>
              <c:f>'PT_SALESMAN (KPI &amp; REPORT'!$S$5:$S$11</c:f>
              <c:strCache>
                <c:ptCount val="6"/>
                <c:pt idx="0">
                  <c:v>Alok Pal</c:v>
                </c:pt>
                <c:pt idx="1">
                  <c:v>Rohan Khanna</c:v>
                </c:pt>
                <c:pt idx="2">
                  <c:v>Anuj Narang</c:v>
                </c:pt>
                <c:pt idx="3">
                  <c:v>Sandeep Rai</c:v>
                </c:pt>
                <c:pt idx="4">
                  <c:v>Abhishek Raj</c:v>
                </c:pt>
                <c:pt idx="5">
                  <c:v>Rizwan Khan</c:v>
                </c:pt>
              </c:strCache>
            </c:strRef>
          </c:cat>
          <c:val>
            <c:numRef>
              <c:f>'PT_SALESMAN (KPI &amp; REPORT'!$W$5:$W$11</c:f>
              <c:numCache>
                <c:formatCode>0.00</c:formatCode>
                <c:ptCount val="6"/>
                <c:pt idx="0">
                  <c:v>13</c:v>
                </c:pt>
                <c:pt idx="1">
                  <c:v>17</c:v>
                </c:pt>
                <c:pt idx="2">
                  <c:v>12</c:v>
                </c:pt>
                <c:pt idx="3">
                  <c:v>8</c:v>
                </c:pt>
                <c:pt idx="4">
                  <c:v>2</c:v>
                </c:pt>
                <c:pt idx="5">
                  <c:v>7</c:v>
                </c:pt>
              </c:numCache>
            </c:numRef>
          </c:val>
          <c:extLst>
            <c:ext xmlns:c16="http://schemas.microsoft.com/office/drawing/2014/chart" uri="{C3380CC4-5D6E-409C-BE32-E72D297353CC}">
              <c16:uniqueId val="{00000006-E9D3-48D5-ABE8-E7ECE331D0A7}"/>
            </c:ext>
          </c:extLst>
        </c:ser>
        <c:dLbls>
          <c:showLegendKey val="0"/>
          <c:showVal val="0"/>
          <c:showCatName val="0"/>
          <c:showSerName val="0"/>
          <c:showPercent val="0"/>
          <c:showBubbleSize val="0"/>
        </c:dLbls>
        <c:gapWidth val="150"/>
        <c:overlap val="100"/>
        <c:axId val="485693279"/>
        <c:axId val="485706239"/>
      </c:barChart>
      <c:catAx>
        <c:axId val="48569327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485706239"/>
        <c:crosses val="autoZero"/>
        <c:auto val="1"/>
        <c:lblAlgn val="ctr"/>
        <c:lblOffset val="100"/>
        <c:noMultiLvlLbl val="0"/>
      </c:catAx>
      <c:valAx>
        <c:axId val="485706239"/>
        <c:scaling>
          <c:orientation val="minMax"/>
        </c:scaling>
        <c:delete val="1"/>
        <c:axPos val="b"/>
        <c:numFmt formatCode="0%" sourceLinked="1"/>
        <c:majorTickMark val="none"/>
        <c:minorTickMark val="none"/>
        <c:tickLblPos val="nextTo"/>
        <c:crossAx val="485693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[MIS_Sales Dashboard_Project.xlsx]PT_SALESMAN (KPI &amp; REPORT!SALESMAN-SALES_PROFIT</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'PT_SALESMAN (KPI &amp; REPORT'!$D$19</c:f>
              <c:strCache>
                <c:ptCount val="1"/>
                <c:pt idx="0">
                  <c:v>Sum of Net Sales</c:v>
                </c:pt>
              </c:strCache>
            </c:strRef>
          </c:tx>
          <c:spPr>
            <a:solidFill>
              <a:schemeClr val="accent1"/>
            </a:solidFill>
            <a:ln>
              <a:noFill/>
            </a:ln>
            <a:effectLst/>
          </c:spPr>
          <c:invertIfNegative val="0"/>
          <c:cat>
            <c:strRef>
              <c:f>'PT_SALESMAN (KPI &amp; REPORT'!$C$20:$C$26</c:f>
              <c:strCache>
                <c:ptCount val="6"/>
                <c:pt idx="0">
                  <c:v>Rizwan Khan</c:v>
                </c:pt>
                <c:pt idx="1">
                  <c:v>Abhishek Raj</c:v>
                </c:pt>
                <c:pt idx="2">
                  <c:v>Sandeep Rai</c:v>
                </c:pt>
                <c:pt idx="3">
                  <c:v>Anuj Narang</c:v>
                </c:pt>
                <c:pt idx="4">
                  <c:v>Rohan Khanna</c:v>
                </c:pt>
                <c:pt idx="5">
                  <c:v>Alok Pal</c:v>
                </c:pt>
              </c:strCache>
            </c:strRef>
          </c:cat>
          <c:val>
            <c:numRef>
              <c:f>'PT_SALESMAN (KPI &amp; REPORT'!$D$20:$D$26</c:f>
              <c:numCache>
                <c:formatCode>"₹"\ #,##0.00</c:formatCode>
                <c:ptCount val="6"/>
                <c:pt idx="0">
                  <c:v>596314.29999999993</c:v>
                </c:pt>
                <c:pt idx="1">
                  <c:v>758499.20000000007</c:v>
                </c:pt>
                <c:pt idx="2">
                  <c:v>794532.99999999988</c:v>
                </c:pt>
                <c:pt idx="3">
                  <c:v>1759077.5</c:v>
                </c:pt>
                <c:pt idx="4">
                  <c:v>1906327.6000000006</c:v>
                </c:pt>
                <c:pt idx="5">
                  <c:v>2129895.1</c:v>
                </c:pt>
              </c:numCache>
            </c:numRef>
          </c:val>
          <c:extLst>
            <c:ext xmlns:c16="http://schemas.microsoft.com/office/drawing/2014/chart" uri="{C3380CC4-5D6E-409C-BE32-E72D297353CC}">
              <c16:uniqueId val="{00000000-D2C4-4B69-8B08-615AAF2E2CC8}"/>
            </c:ext>
          </c:extLst>
        </c:ser>
        <c:ser>
          <c:idx val="1"/>
          <c:order val="1"/>
          <c:tx>
            <c:strRef>
              <c:f>'PT_SALESMAN (KPI &amp; REPORT'!$E$19</c:f>
              <c:strCache>
                <c:ptCount val="1"/>
                <c:pt idx="0">
                  <c:v>Sum of Profit</c:v>
                </c:pt>
              </c:strCache>
            </c:strRef>
          </c:tx>
          <c:spPr>
            <a:solidFill>
              <a:schemeClr val="accent6">
                <a:lumMod val="75000"/>
              </a:schemeClr>
            </a:solidFill>
            <a:ln>
              <a:noFill/>
            </a:ln>
            <a:effectLst/>
          </c:spPr>
          <c:invertIfNegative val="0"/>
          <c:cat>
            <c:strRef>
              <c:f>'PT_SALESMAN (KPI &amp; REPORT'!$C$20:$C$26</c:f>
              <c:strCache>
                <c:ptCount val="6"/>
                <c:pt idx="0">
                  <c:v>Rizwan Khan</c:v>
                </c:pt>
                <c:pt idx="1">
                  <c:v>Abhishek Raj</c:v>
                </c:pt>
                <c:pt idx="2">
                  <c:v>Sandeep Rai</c:v>
                </c:pt>
                <c:pt idx="3">
                  <c:v>Anuj Narang</c:v>
                </c:pt>
                <c:pt idx="4">
                  <c:v>Rohan Khanna</c:v>
                </c:pt>
                <c:pt idx="5">
                  <c:v>Alok Pal</c:v>
                </c:pt>
              </c:strCache>
            </c:strRef>
          </c:cat>
          <c:val>
            <c:numRef>
              <c:f>'PT_SALESMAN (KPI &amp; REPORT'!$E$20:$E$26</c:f>
              <c:numCache>
                <c:formatCode>"₹"\ #,##0.00</c:formatCode>
                <c:ptCount val="6"/>
                <c:pt idx="0">
                  <c:v>172354.30000000002</c:v>
                </c:pt>
                <c:pt idx="1">
                  <c:v>199419.2</c:v>
                </c:pt>
                <c:pt idx="2">
                  <c:v>212123.00000000003</c:v>
                </c:pt>
                <c:pt idx="3">
                  <c:v>469127.50000000006</c:v>
                </c:pt>
                <c:pt idx="4">
                  <c:v>521457.59999999986</c:v>
                </c:pt>
                <c:pt idx="5">
                  <c:v>572835.10000000009</c:v>
                </c:pt>
              </c:numCache>
            </c:numRef>
          </c:val>
          <c:extLst>
            <c:ext xmlns:c16="http://schemas.microsoft.com/office/drawing/2014/chart" uri="{C3380CC4-5D6E-409C-BE32-E72D297353CC}">
              <c16:uniqueId val="{00000001-D2C4-4B69-8B08-615AAF2E2CC8}"/>
            </c:ext>
          </c:extLst>
        </c:ser>
        <c:dLbls>
          <c:showLegendKey val="0"/>
          <c:showVal val="0"/>
          <c:showCatName val="0"/>
          <c:showSerName val="0"/>
          <c:showPercent val="0"/>
          <c:showBubbleSize val="0"/>
        </c:dLbls>
        <c:gapWidth val="219"/>
        <c:overlap val="-27"/>
        <c:axId val="431757407"/>
        <c:axId val="431752607"/>
      </c:barChart>
      <c:catAx>
        <c:axId val="43175740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accent4">
                    <a:lumMod val="50000"/>
                  </a:schemeClr>
                </a:solidFill>
                <a:latin typeface="+mn-lt"/>
                <a:ea typeface="+mn-ea"/>
                <a:cs typeface="+mn-cs"/>
              </a:defRPr>
            </a:pPr>
            <a:endParaRPr lang="en-US"/>
          </a:p>
        </c:txPr>
        <c:crossAx val="431752607"/>
        <c:crosses val="autoZero"/>
        <c:auto val="1"/>
        <c:lblAlgn val="ctr"/>
        <c:lblOffset val="100"/>
        <c:noMultiLvlLbl val="0"/>
      </c:catAx>
      <c:valAx>
        <c:axId val="431752607"/>
        <c:scaling>
          <c:orientation val="minMax"/>
        </c:scaling>
        <c:delete val="1"/>
        <c:axPos val="l"/>
        <c:numFmt formatCode="&quot;₹&quot;\ #,##0.00" sourceLinked="1"/>
        <c:majorTickMark val="out"/>
        <c:minorTickMark val="none"/>
        <c:tickLblPos val="nextTo"/>
        <c:crossAx val="431757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[MIS_Sales Dashboard_Project.xlsx]PT_SALESMAN (KPI &amp; REPORT!SALESMAN_PROFIT-MARGIN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89083647152801"/>
          <c:y val="9.8765432098765427E-2"/>
          <c:w val="0.77916713454296471"/>
          <c:h val="0.72742166488448223"/>
        </c:manualLayout>
      </c:layout>
      <c:barChart>
        <c:barDir val="col"/>
        <c:grouping val="clustered"/>
        <c:varyColors val="0"/>
        <c:ser>
          <c:idx val="0"/>
          <c:order val="0"/>
          <c:tx>
            <c:strRef>
              <c:f>'PT_SALESMAN (KPI &amp; REPORT'!$H$19</c:f>
              <c:strCache>
                <c:ptCount val="1"/>
                <c:pt idx="0">
                  <c:v>Total</c:v>
                </c:pt>
              </c:strCache>
            </c:strRef>
          </c:tx>
          <c:spPr>
            <a:solidFill>
              <a:schemeClr val="accent1"/>
            </a:solidFill>
            <a:ln>
              <a:noFill/>
            </a:ln>
            <a:effectLst/>
          </c:spPr>
          <c:invertIfNegative val="0"/>
          <c:cat>
            <c:strRef>
              <c:f>'PT_SALESMAN (KPI &amp; REPORT'!$G$20:$G$26</c:f>
              <c:strCache>
                <c:ptCount val="6"/>
                <c:pt idx="0">
                  <c:v>Rizwan Khan</c:v>
                </c:pt>
                <c:pt idx="1">
                  <c:v>Rohan Khanna</c:v>
                </c:pt>
                <c:pt idx="2">
                  <c:v>Alok Pal</c:v>
                </c:pt>
                <c:pt idx="3">
                  <c:v>Sandeep Rai</c:v>
                </c:pt>
                <c:pt idx="4">
                  <c:v>Anuj Narang</c:v>
                </c:pt>
                <c:pt idx="5">
                  <c:v>Abhishek Raj</c:v>
                </c:pt>
              </c:strCache>
            </c:strRef>
          </c:cat>
          <c:val>
            <c:numRef>
              <c:f>'PT_SALESMAN (KPI &amp; REPORT'!$H$20:$H$26</c:f>
              <c:numCache>
                <c:formatCode>0.00%</c:formatCode>
                <c:ptCount val="6"/>
                <c:pt idx="0">
                  <c:v>0.28903264603917772</c:v>
                </c:pt>
                <c:pt idx="1">
                  <c:v>0.27354039253274187</c:v>
                </c:pt>
                <c:pt idx="2">
                  <c:v>0.26894991213417041</c:v>
                </c:pt>
                <c:pt idx="3">
                  <c:v>0.26697821235870639</c:v>
                </c:pt>
                <c:pt idx="4">
                  <c:v>0.26668950060472041</c:v>
                </c:pt>
                <c:pt idx="5">
                  <c:v>0.26291286793710528</c:v>
                </c:pt>
              </c:numCache>
            </c:numRef>
          </c:val>
          <c:extLst>
            <c:ext xmlns:c16="http://schemas.microsoft.com/office/drawing/2014/chart" uri="{C3380CC4-5D6E-409C-BE32-E72D297353CC}">
              <c16:uniqueId val="{00000000-006C-4892-BE96-DCFB0F5EA325}"/>
            </c:ext>
          </c:extLst>
        </c:ser>
        <c:dLbls>
          <c:showLegendKey val="0"/>
          <c:showVal val="0"/>
          <c:showCatName val="0"/>
          <c:showSerName val="0"/>
          <c:showPercent val="0"/>
          <c:showBubbleSize val="0"/>
        </c:dLbls>
        <c:gapWidth val="219"/>
        <c:overlap val="-27"/>
        <c:axId val="485687519"/>
        <c:axId val="485701439"/>
      </c:barChart>
      <c:catAx>
        <c:axId val="4856875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accent4">
                    <a:lumMod val="50000"/>
                  </a:schemeClr>
                </a:solidFill>
                <a:latin typeface="+mn-lt"/>
                <a:ea typeface="+mn-ea"/>
                <a:cs typeface="+mn-cs"/>
              </a:defRPr>
            </a:pPr>
            <a:endParaRPr lang="en-US"/>
          </a:p>
        </c:txPr>
        <c:crossAx val="485701439"/>
        <c:crosses val="autoZero"/>
        <c:auto val="1"/>
        <c:lblAlgn val="ctr"/>
        <c:lblOffset val="100"/>
        <c:noMultiLvlLbl val="0"/>
      </c:catAx>
      <c:valAx>
        <c:axId val="485701439"/>
        <c:scaling>
          <c:orientation val="minMax"/>
          <c:min val="0.2"/>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crossAx val="485687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155511811023623E-2"/>
          <c:y val="6.0185185185185182E-2"/>
          <c:w val="0.93888888888888888"/>
          <c:h val="0.78975726073456509"/>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'PT_SALESMAN (KPI &amp; REPORT'!$R$20:$R$25</c:f>
              <c:strCache>
                <c:ptCount val="6"/>
                <c:pt idx="0">
                  <c:v>Sandeep Rai</c:v>
                </c:pt>
                <c:pt idx="1">
                  <c:v>Rohan Khanna</c:v>
                </c:pt>
                <c:pt idx="2">
                  <c:v>Rizwan Khan</c:v>
                </c:pt>
                <c:pt idx="3">
                  <c:v>Anuj Narang</c:v>
                </c:pt>
                <c:pt idx="4">
                  <c:v>Alok Pal</c:v>
                </c:pt>
                <c:pt idx="5">
                  <c:v>Abhishek Raj</c:v>
                </c:pt>
              </c:strCache>
            </c:strRef>
          </c:cat>
          <c:val>
            <c:numRef>
              <c:f>'PT_SALESMAN (KPI &amp; REPORT'!$S$20:$S$25</c:f>
              <c:numCache>
                <c:formatCode>"₹"\ #,##0</c:formatCode>
                <c:ptCount val="6"/>
                <c:pt idx="0">
                  <c:v>6065.1374045801522</c:v>
                </c:pt>
                <c:pt idx="1">
                  <c:v>5883.7271604938287</c:v>
                </c:pt>
                <c:pt idx="2">
                  <c:v>5011.0445378151253</c:v>
                </c:pt>
                <c:pt idx="3">
                  <c:v>5514.3495297805639</c:v>
                </c:pt>
                <c:pt idx="4">
                  <c:v>5694.9066844919789</c:v>
                </c:pt>
                <c:pt idx="5">
                  <c:v>5925.7750000000005</c:v>
                </c:pt>
              </c:numCache>
            </c:numRef>
          </c:val>
          <c:extLst>
            <c:ext xmlns:c16="http://schemas.microsoft.com/office/drawing/2014/chart" uri="{C3380CC4-5D6E-409C-BE32-E72D297353CC}">
              <c16:uniqueId val="{00000000-DB42-49BD-A2E1-9BCC39F8137D}"/>
            </c:ext>
          </c:extLst>
        </c:ser>
        <c:dLbls>
          <c:showLegendKey val="0"/>
          <c:showVal val="0"/>
          <c:showCatName val="0"/>
          <c:showSerName val="0"/>
          <c:showPercent val="0"/>
          <c:showBubbleSize val="0"/>
        </c:dLbls>
        <c:gapWidth val="219"/>
        <c:overlap val="-27"/>
        <c:axId val="431836127"/>
        <c:axId val="431839967"/>
      </c:barChart>
      <c:catAx>
        <c:axId val="4318361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t" anchorCtr="1"/>
          <a:lstStyle/>
          <a:p>
            <a:pPr>
              <a:defRPr sz="900" b="1" i="0" u="none" strike="noStrike" kern="1200" baseline="0">
                <a:solidFill>
                  <a:schemeClr val="accent4">
                    <a:lumMod val="50000"/>
                  </a:schemeClr>
                </a:solidFill>
                <a:latin typeface="+mn-lt"/>
                <a:ea typeface="+mn-ea"/>
                <a:cs typeface="+mn-cs"/>
              </a:defRPr>
            </a:pPr>
            <a:endParaRPr lang="en-US"/>
          </a:p>
        </c:txPr>
        <c:crossAx val="431839967"/>
        <c:crosses val="autoZero"/>
        <c:auto val="1"/>
        <c:lblAlgn val="ctr"/>
        <c:lblOffset val="100"/>
        <c:noMultiLvlLbl val="0"/>
      </c:catAx>
      <c:valAx>
        <c:axId val="431839967"/>
        <c:scaling>
          <c:orientation val="minMax"/>
        </c:scaling>
        <c:delete val="1"/>
        <c:axPos val="l"/>
        <c:numFmt formatCode="&quot;₹&quot;\ #,##0" sourceLinked="1"/>
        <c:majorTickMark val="none"/>
        <c:minorTickMark val="none"/>
        <c:tickLblPos val="nextTo"/>
        <c:crossAx val="43183612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[MIS_Sales Dashboard_Project.xlsx]PT_DASHBOARD (KPI &amp; Reports)!DASHBOARD_ORDER_STATUS</c:name>
    <c:fmtId val="14"/>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rgbClr val="00206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75000"/>
            </a:schemeClr>
          </a:solidFill>
          <a:ln w="19050">
            <a:no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2B800"/>
          </a:solidFill>
          <a:ln w="19050">
            <a:noFill/>
          </a:ln>
          <a:effectLst/>
        </c:spPr>
      </c:pivotFmt>
      <c:pivotFmt>
        <c:idx val="3"/>
        <c:spPr>
          <a:solidFill>
            <a:srgbClr val="FEF800"/>
          </a:solidFill>
          <a:ln w="19050">
            <a:noFill/>
          </a:ln>
          <a:effectLst/>
        </c:spPr>
      </c:pivotFmt>
      <c:pivotFmt>
        <c:idx val="4"/>
        <c:spPr>
          <a:solidFill>
            <a:srgbClr val="C00000"/>
          </a:solidFill>
          <a:ln w="19050">
            <a:noFill/>
          </a:ln>
          <a:effectLst/>
        </c:spPr>
      </c:pivotFmt>
    </c:pivotFmts>
    <c:plotArea>
      <c:layout>
        <c:manualLayout>
          <c:layoutTarget val="inner"/>
          <c:xMode val="edge"/>
          <c:yMode val="edge"/>
          <c:x val="9.9293509363961086E-2"/>
          <c:y val="0.10866634665494854"/>
          <c:w val="0.58451680382057503"/>
          <c:h val="0.8014513090625911"/>
        </c:manualLayout>
      </c:layout>
      <c:pieChart>
        <c:varyColors val="1"/>
        <c:ser>
          <c:idx val="0"/>
          <c:order val="0"/>
          <c:tx>
            <c:strRef>
              <c:f>'PT_DASHBOARD (KPI &amp; Reports)'!$R$24</c:f>
              <c:strCache>
                <c:ptCount val="1"/>
                <c:pt idx="0">
                  <c:v>Total</c:v>
                </c:pt>
              </c:strCache>
            </c:strRef>
          </c:tx>
          <c:spPr>
            <a:ln>
              <a:noFill/>
            </a:ln>
          </c:spPr>
          <c:dPt>
            <c:idx val="0"/>
            <c:bubble3D val="0"/>
            <c:spPr>
              <a:solidFill>
                <a:schemeClr val="accent6">
                  <a:lumMod val="75000"/>
                </a:schemeClr>
              </a:solidFill>
              <a:ln w="19050">
                <a:noFill/>
              </a:ln>
              <a:effectLst/>
            </c:spPr>
            <c:extLst>
              <c:ext xmlns:c16="http://schemas.microsoft.com/office/drawing/2014/chart" uri="{C3380CC4-5D6E-409C-BE32-E72D297353CC}">
                <c16:uniqueId val="{00000002-8BA0-4530-8FE5-8F74DFEEE9AC}"/>
              </c:ext>
            </c:extLst>
          </c:dPt>
          <c:dPt>
            <c:idx val="1"/>
            <c:bubble3D val="0"/>
            <c:spPr>
              <a:solidFill>
                <a:srgbClr val="F2B800"/>
              </a:solidFill>
              <a:ln w="19050">
                <a:noFill/>
              </a:ln>
              <a:effectLst/>
            </c:spPr>
            <c:extLst>
              <c:ext xmlns:c16="http://schemas.microsoft.com/office/drawing/2014/chart" uri="{C3380CC4-5D6E-409C-BE32-E72D297353CC}">
                <c16:uniqueId val="{00000003-8BA0-4530-8FE5-8F74DFEEE9AC}"/>
              </c:ext>
            </c:extLst>
          </c:dPt>
          <c:dPt>
            <c:idx val="2"/>
            <c:bubble3D val="0"/>
            <c:spPr>
              <a:solidFill>
                <a:srgbClr val="FEF800"/>
              </a:solidFill>
              <a:ln w="19050">
                <a:noFill/>
              </a:ln>
              <a:effectLst/>
            </c:spPr>
            <c:extLst>
              <c:ext xmlns:c16="http://schemas.microsoft.com/office/drawing/2014/chart" uri="{C3380CC4-5D6E-409C-BE32-E72D297353CC}">
                <c16:uniqueId val="{00000004-8BA0-4530-8FE5-8F74DFEEE9AC}"/>
              </c:ext>
            </c:extLst>
          </c:dPt>
          <c:dPt>
            <c:idx val="3"/>
            <c:bubble3D val="0"/>
            <c:spPr>
              <a:solidFill>
                <a:srgbClr val="C00000"/>
              </a:solidFill>
              <a:ln w="19050">
                <a:noFill/>
              </a:ln>
              <a:effectLst/>
            </c:spPr>
            <c:extLst>
              <c:ext xmlns:c16="http://schemas.microsoft.com/office/drawing/2014/chart" uri="{C3380CC4-5D6E-409C-BE32-E72D297353CC}">
                <c16:uniqueId val="{00000005-8BA0-4530-8FE5-8F74DFEEE9AC}"/>
              </c:ext>
            </c:extLst>
          </c:dPt>
          <c:dLbls>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8BA0-4530-8FE5-8F74DFEEE9AC}"/>
                </c:ext>
              </c:extLst>
            </c:dLbl>
            <c:spPr>
              <a:noFill/>
              <a:ln>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rgbClr val="00206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'PT_DASHBOARD (KPI &amp; Reports)'!$Q$25:$Q$29</c:f>
              <c:strCache>
                <c:ptCount val="4"/>
                <c:pt idx="0">
                  <c:v>Completed</c:v>
                </c:pt>
                <c:pt idx="1">
                  <c:v>Cancelled</c:v>
                </c:pt>
                <c:pt idx="2">
                  <c:v>Returned</c:v>
                </c:pt>
                <c:pt idx="3">
                  <c:v>Pending</c:v>
                </c:pt>
              </c:strCache>
            </c:strRef>
          </c:cat>
          <c:val>
            <c:numRef>
              <c:f>'PT_DASHBOARD (KPI &amp; Reports)'!$R$25:$R$29</c:f>
              <c:numCache>
                <c:formatCode>#,##0</c:formatCode>
                <c:ptCount val="4"/>
                <c:pt idx="0">
                  <c:v>1395</c:v>
                </c:pt>
                <c:pt idx="1">
                  <c:v>59</c:v>
                </c:pt>
                <c:pt idx="2">
                  <c:v>57</c:v>
                </c:pt>
                <c:pt idx="3">
                  <c:v>55</c:v>
                </c:pt>
              </c:numCache>
            </c:numRef>
          </c:val>
          <c:extLst>
            <c:ext xmlns:c16="http://schemas.microsoft.com/office/drawing/2014/chart" uri="{C3380CC4-5D6E-409C-BE32-E72D297353CC}">
              <c16:uniqueId val="{00000000-8BA0-4530-8FE5-8F74DFEEE9AC}"/>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3811970872062038"/>
          <c:y val="0.23388802514335388"/>
          <c:w val="0.23652398713318729"/>
          <c:h val="0.53222328100707161"/>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alpha val="51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A7C05EE0-E140-4B00-B04D-1D9CDEF41F59}">
          <cx:dataPt idx="0">
            <cx:spPr>
              <a:solidFill>
                <a:srgbClr val="00B050"/>
              </a:solidFill>
            </cx:spPr>
          </cx:dataPt>
          <cx:dataPt idx="1">
            <cx:spPr>
              <a:solidFill>
                <a:srgbClr val="99CC00"/>
              </a:solidFill>
            </cx:spPr>
          </cx:dataPt>
          <cx:dataPt idx="2">
            <cx:spPr>
              <a:solidFill>
                <a:srgbClr val="FFC000"/>
              </a:solidFill>
            </cx:spPr>
          </cx:dataPt>
          <cx:dataPt idx="3">
            <cx:spPr>
              <a:solidFill>
                <a:srgbClr val="E97132"/>
              </a:solidFill>
            </cx:spPr>
          </cx:dataPt>
          <cx:dataPt idx="5">
            <cx:spPr>
              <a:solidFill>
                <a:srgbClr val="0070C0"/>
              </a:solidFill>
            </cx:spPr>
          </cx:dataPt>
          <cx:dataPt idx="7">
            <cx:spPr>
              <a:solidFill>
                <a:srgbClr val="00D0CB"/>
              </a:solidFill>
            </cx:spPr>
          </cx:dataPt>
          <cx:dataLabels>
            <cx:txPr>
              <a:bodyPr spcFirstLastPara="1" vertOverflow="ellipsis" horzOverflow="overflow" wrap="square" lIns="0" tIns="0" rIns="0" bIns="0" anchor="ctr" anchorCtr="1"/>
              <a:lstStyle/>
              <a:p>
                <a:pPr algn="ctr" rtl="0">
                  <a:defRPr sz="800"/>
                </a:pPr>
                <a:endParaRPr lang="en-US" sz="800" b="0" i="0" u="none" strike="noStrike" baseline="0">
                  <a:solidFill>
                    <a:sysClr val="window" lastClr="FFFFFF"/>
                  </a:solidFill>
                  <a:latin typeface="Aptos Narrow" panose="02110004020202020204"/>
                </a:endParaRPr>
              </a:p>
            </cx:txPr>
            <cx:visibility seriesName="0" categoryName="1" value="0"/>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_rels/data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iagrams/_rels/data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iagrams/_rels/data3.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iagrams/_rels/data4.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iagram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iagram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iagrams/_rels/drawing3.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iagrams/_rels/drawing4.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7C9D7E42-A956-4905-836A-E993BBC68484}" type="doc">
      <dgm:prSet loTypeId="urn:microsoft.com/office/officeart/2008/layout/BendingPictureCaption" loCatId="picture" qsTypeId="urn:microsoft.com/office/officeart/2005/8/quickstyle/simple1" qsCatId="simple" csTypeId="urn:microsoft.com/office/officeart/2005/8/colors/accent1_2" csCatId="accent1" phldr="1"/>
      <dgm:spPr/>
    </dgm:pt>
    <dgm:pt modelId="{F39C6274-20E5-4E5C-8534-C682749A05F6}">
      <dgm:prSet phldrT="[Text]" custT="1"/>
      <dgm:spPr>
        <a:noFill/>
        <a:ln>
          <a:noFill/>
        </a:ln>
      </dgm:spPr>
      <dgm:t>
        <a:bodyPr/>
        <a:lstStyle/>
        <a:p>
          <a:r>
            <a:rPr lang="en-IN" sz="900" b="1">
              <a:solidFill>
                <a:srgbClr val="FFC000"/>
              </a:solidFill>
              <a:latin typeface="Aptos" panose="020B0004020202020204" pitchFamily="34" charset="0"/>
            </a:rPr>
            <a:t>NAXORA</a:t>
          </a:r>
        </a:p>
      </dgm:t>
    </dgm:pt>
    <dgm:pt modelId="{2FF85CE4-321C-4C30-862F-679B5BE65910}" type="parTrans" cxnId="{FB8A23E5-8013-441B-A8FF-CD968C01DBA5}">
      <dgm:prSet/>
      <dgm:spPr/>
      <dgm:t>
        <a:bodyPr/>
        <a:lstStyle/>
        <a:p>
          <a:endParaRPr lang="en-IN"/>
        </a:p>
      </dgm:t>
    </dgm:pt>
    <dgm:pt modelId="{FE5C8A68-D027-43C1-8E43-F425B4A3B61A}" type="sibTrans" cxnId="{FB8A23E5-8013-441B-A8FF-CD968C01DBA5}">
      <dgm:prSet/>
      <dgm:spPr/>
      <dgm:t>
        <a:bodyPr/>
        <a:lstStyle/>
        <a:p>
          <a:endParaRPr lang="en-IN"/>
        </a:p>
      </dgm:t>
    </dgm:pt>
    <dgm:pt modelId="{B77DDF60-36D3-4456-8A54-B4D00770F6F2}" type="pres">
      <dgm:prSet presAssocID="{7C9D7E42-A956-4905-836A-E993BBC68484}" presName="diagram" presStyleCnt="0">
        <dgm:presLayoutVars>
          <dgm:dir/>
        </dgm:presLayoutVars>
      </dgm:prSet>
      <dgm:spPr/>
    </dgm:pt>
    <dgm:pt modelId="{12748A1D-DD5E-4594-8205-4C349543B723}" type="pres">
      <dgm:prSet presAssocID="{F39C6274-20E5-4E5C-8534-C682749A05F6}" presName="composite" presStyleCnt="0"/>
      <dgm:spPr/>
    </dgm:pt>
    <dgm:pt modelId="{930B2DA6-3669-42ED-8C6F-27FEB0C1ADF8}" type="pres">
      <dgm:prSet presAssocID="{F39C6274-20E5-4E5C-8534-C682749A05F6}" presName="Image" presStyleLbl="bgShp" presStyleIdx="0" presStyleCnt="1"/>
      <dgm:spPr>
        <a:blipFill>
          <a:blip xmlns:r="http://schemas.openxmlformats.org/officeDocument/2006/relationships" r:embed="rId1" cstate="print">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t="-7000" b="-7000"/>
          </a:stretch>
        </a:blipFill>
      </dgm:spPr>
    </dgm:pt>
    <dgm:pt modelId="{620DF799-2E42-4ABF-8316-67DFEF4BF1AE}" type="pres">
      <dgm:prSet presAssocID="{F39C6274-20E5-4E5C-8534-C682749A05F6}" presName="Parent" presStyleLbl="node0" presStyleIdx="0" presStyleCnt="1" custAng="0" custScaleX="101437" custScaleY="55972" custLinFactNeighborX="-14073" custLinFactNeighborY="46771">
        <dgm:presLayoutVars>
          <dgm:bulletEnabled val="1"/>
        </dgm:presLayoutVars>
      </dgm:prSet>
      <dgm:spPr/>
    </dgm:pt>
  </dgm:ptLst>
  <dgm:cxnLst>
    <dgm:cxn modelId="{EEA8095D-5474-42A2-BEAE-BA93D5D5F100}" type="presOf" srcId="{7C9D7E42-A956-4905-836A-E993BBC68484}" destId="{B77DDF60-36D3-4456-8A54-B4D00770F6F2}" srcOrd="0" destOrd="0" presId="urn:microsoft.com/office/officeart/2008/layout/BendingPictureCaption"/>
    <dgm:cxn modelId="{4BDB1E9A-4E31-428D-81D8-F54463C62A4D}" type="presOf" srcId="{F39C6274-20E5-4E5C-8534-C682749A05F6}" destId="{620DF799-2E42-4ABF-8316-67DFEF4BF1AE}" srcOrd="0" destOrd="0" presId="urn:microsoft.com/office/officeart/2008/layout/BendingPictureCaption"/>
    <dgm:cxn modelId="{FB8A23E5-8013-441B-A8FF-CD968C01DBA5}" srcId="{7C9D7E42-A956-4905-836A-E993BBC68484}" destId="{F39C6274-20E5-4E5C-8534-C682749A05F6}" srcOrd="0" destOrd="0" parTransId="{2FF85CE4-321C-4C30-862F-679B5BE65910}" sibTransId="{FE5C8A68-D027-43C1-8E43-F425B4A3B61A}"/>
    <dgm:cxn modelId="{B1602C12-7E25-44D3-A4CF-D7F6DAF8D902}" type="presParOf" srcId="{B77DDF60-36D3-4456-8A54-B4D00770F6F2}" destId="{12748A1D-DD5E-4594-8205-4C349543B723}" srcOrd="0" destOrd="0" presId="urn:microsoft.com/office/officeart/2008/layout/BendingPictureCaption"/>
    <dgm:cxn modelId="{D490DB7A-359C-4BBD-9FBC-1127BF914423}" type="presParOf" srcId="{12748A1D-DD5E-4594-8205-4C349543B723}" destId="{930B2DA6-3669-42ED-8C6F-27FEB0C1ADF8}" srcOrd="0" destOrd="0" presId="urn:microsoft.com/office/officeart/2008/layout/BendingPictureCaption"/>
    <dgm:cxn modelId="{36B4EA99-62B2-44FB-8CC6-0B33B472C394}" type="presParOf" srcId="{12748A1D-DD5E-4594-8205-4C349543B723}" destId="{620DF799-2E42-4ABF-8316-67DFEF4BF1AE}" srcOrd="1" destOrd="0" presId="urn:microsoft.com/office/officeart/2008/layout/BendingPictureCaption"/>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7C9D7E42-A956-4905-836A-E993BBC68484}" type="doc">
      <dgm:prSet loTypeId="urn:microsoft.com/office/officeart/2008/layout/BendingPictureCaption" loCatId="picture" qsTypeId="urn:microsoft.com/office/officeart/2005/8/quickstyle/simple1" qsCatId="simple" csTypeId="urn:microsoft.com/office/officeart/2005/8/colors/accent1_2" csCatId="accent1" phldr="1"/>
      <dgm:spPr/>
    </dgm:pt>
    <dgm:pt modelId="{F39C6274-20E5-4E5C-8534-C682749A05F6}">
      <dgm:prSet phldrT="[Text]" custT="1"/>
      <dgm:spPr>
        <a:noFill/>
        <a:ln>
          <a:noFill/>
        </a:ln>
      </dgm:spPr>
      <dgm:t>
        <a:bodyPr/>
        <a:lstStyle/>
        <a:p>
          <a:r>
            <a:rPr lang="en-IN" sz="900" b="1">
              <a:solidFill>
                <a:srgbClr val="FFC000"/>
              </a:solidFill>
              <a:latin typeface="Aptos" panose="020B0004020202020204" pitchFamily="34" charset="0"/>
            </a:rPr>
            <a:t>NAXORA</a:t>
          </a:r>
        </a:p>
      </dgm:t>
    </dgm:pt>
    <dgm:pt modelId="{2FF85CE4-321C-4C30-862F-679B5BE65910}" type="parTrans" cxnId="{FB8A23E5-8013-441B-A8FF-CD968C01DBA5}">
      <dgm:prSet/>
      <dgm:spPr/>
      <dgm:t>
        <a:bodyPr/>
        <a:lstStyle/>
        <a:p>
          <a:endParaRPr lang="en-IN"/>
        </a:p>
      </dgm:t>
    </dgm:pt>
    <dgm:pt modelId="{FE5C8A68-D027-43C1-8E43-F425B4A3B61A}" type="sibTrans" cxnId="{FB8A23E5-8013-441B-A8FF-CD968C01DBA5}">
      <dgm:prSet/>
      <dgm:spPr/>
      <dgm:t>
        <a:bodyPr/>
        <a:lstStyle/>
        <a:p>
          <a:endParaRPr lang="en-IN"/>
        </a:p>
      </dgm:t>
    </dgm:pt>
    <dgm:pt modelId="{B77DDF60-36D3-4456-8A54-B4D00770F6F2}" type="pres">
      <dgm:prSet presAssocID="{7C9D7E42-A956-4905-836A-E993BBC68484}" presName="diagram" presStyleCnt="0">
        <dgm:presLayoutVars>
          <dgm:dir/>
        </dgm:presLayoutVars>
      </dgm:prSet>
      <dgm:spPr/>
    </dgm:pt>
    <dgm:pt modelId="{12748A1D-DD5E-4594-8205-4C349543B723}" type="pres">
      <dgm:prSet presAssocID="{F39C6274-20E5-4E5C-8534-C682749A05F6}" presName="composite" presStyleCnt="0"/>
      <dgm:spPr/>
    </dgm:pt>
    <dgm:pt modelId="{930B2DA6-3669-42ED-8C6F-27FEB0C1ADF8}" type="pres">
      <dgm:prSet presAssocID="{F39C6274-20E5-4E5C-8534-C682749A05F6}" presName="Image" presStyleLbl="bgShp" presStyleIdx="0" presStyleCnt="1"/>
      <dgm:spPr>
        <a:blipFill>
          <a:blip xmlns:r="http://schemas.openxmlformats.org/officeDocument/2006/relationships" r:embed="rId1" cstate="print">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t="-7000" b="-7000"/>
          </a:stretch>
        </a:blipFill>
      </dgm:spPr>
    </dgm:pt>
    <dgm:pt modelId="{620DF799-2E42-4ABF-8316-67DFEF4BF1AE}" type="pres">
      <dgm:prSet presAssocID="{F39C6274-20E5-4E5C-8534-C682749A05F6}" presName="Parent" presStyleLbl="node0" presStyleIdx="0" presStyleCnt="1" custAng="0" custScaleX="101437" custScaleY="55972" custLinFactNeighborX="-14073" custLinFactNeighborY="46771">
        <dgm:presLayoutVars>
          <dgm:bulletEnabled val="1"/>
        </dgm:presLayoutVars>
      </dgm:prSet>
      <dgm:spPr/>
    </dgm:pt>
  </dgm:ptLst>
  <dgm:cxnLst>
    <dgm:cxn modelId="{EEA8095D-5474-42A2-BEAE-BA93D5D5F100}" type="presOf" srcId="{7C9D7E42-A956-4905-836A-E993BBC68484}" destId="{B77DDF60-36D3-4456-8A54-B4D00770F6F2}" srcOrd="0" destOrd="0" presId="urn:microsoft.com/office/officeart/2008/layout/BendingPictureCaption"/>
    <dgm:cxn modelId="{4BDB1E9A-4E31-428D-81D8-F54463C62A4D}" type="presOf" srcId="{F39C6274-20E5-4E5C-8534-C682749A05F6}" destId="{620DF799-2E42-4ABF-8316-67DFEF4BF1AE}" srcOrd="0" destOrd="0" presId="urn:microsoft.com/office/officeart/2008/layout/BendingPictureCaption"/>
    <dgm:cxn modelId="{FB8A23E5-8013-441B-A8FF-CD968C01DBA5}" srcId="{7C9D7E42-A956-4905-836A-E993BBC68484}" destId="{F39C6274-20E5-4E5C-8534-C682749A05F6}" srcOrd="0" destOrd="0" parTransId="{2FF85CE4-321C-4C30-862F-679B5BE65910}" sibTransId="{FE5C8A68-D027-43C1-8E43-F425B4A3B61A}"/>
    <dgm:cxn modelId="{B1602C12-7E25-44D3-A4CF-D7F6DAF8D902}" type="presParOf" srcId="{B77DDF60-36D3-4456-8A54-B4D00770F6F2}" destId="{12748A1D-DD5E-4594-8205-4C349543B723}" srcOrd="0" destOrd="0" presId="urn:microsoft.com/office/officeart/2008/layout/BendingPictureCaption"/>
    <dgm:cxn modelId="{D490DB7A-359C-4BBD-9FBC-1127BF914423}" type="presParOf" srcId="{12748A1D-DD5E-4594-8205-4C349543B723}" destId="{930B2DA6-3669-42ED-8C6F-27FEB0C1ADF8}" srcOrd="0" destOrd="0" presId="urn:microsoft.com/office/officeart/2008/layout/BendingPictureCaption"/>
    <dgm:cxn modelId="{36B4EA99-62B2-44FB-8CC6-0B33B472C394}" type="presParOf" srcId="{12748A1D-DD5E-4594-8205-4C349543B723}" destId="{620DF799-2E42-4ABF-8316-67DFEF4BF1AE}" srcOrd="1" destOrd="0" presId="urn:microsoft.com/office/officeart/2008/layout/BendingPictureCaption"/>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7C9D7E42-A956-4905-836A-E993BBC68484}" type="doc">
      <dgm:prSet loTypeId="urn:microsoft.com/office/officeart/2008/layout/BendingPictureCaption" loCatId="picture" qsTypeId="urn:microsoft.com/office/officeart/2005/8/quickstyle/simple1" qsCatId="simple" csTypeId="urn:microsoft.com/office/officeart/2005/8/colors/accent1_2" csCatId="accent1" phldr="1"/>
      <dgm:spPr/>
    </dgm:pt>
    <dgm:pt modelId="{F39C6274-20E5-4E5C-8534-C682749A05F6}">
      <dgm:prSet phldrT="[Text]" custT="1"/>
      <dgm:spPr>
        <a:noFill/>
        <a:ln>
          <a:noFill/>
        </a:ln>
      </dgm:spPr>
      <dgm:t>
        <a:bodyPr/>
        <a:lstStyle/>
        <a:p>
          <a:r>
            <a:rPr lang="en-IN" sz="900" b="1">
              <a:solidFill>
                <a:srgbClr val="FFC000"/>
              </a:solidFill>
              <a:latin typeface="Aptos" panose="020B0004020202020204" pitchFamily="34" charset="0"/>
            </a:rPr>
            <a:t>NAXORA</a:t>
          </a:r>
        </a:p>
      </dgm:t>
    </dgm:pt>
    <dgm:pt modelId="{2FF85CE4-321C-4C30-862F-679B5BE65910}" type="parTrans" cxnId="{FB8A23E5-8013-441B-A8FF-CD968C01DBA5}">
      <dgm:prSet/>
      <dgm:spPr/>
      <dgm:t>
        <a:bodyPr/>
        <a:lstStyle/>
        <a:p>
          <a:endParaRPr lang="en-IN"/>
        </a:p>
      </dgm:t>
    </dgm:pt>
    <dgm:pt modelId="{FE5C8A68-D027-43C1-8E43-F425B4A3B61A}" type="sibTrans" cxnId="{FB8A23E5-8013-441B-A8FF-CD968C01DBA5}">
      <dgm:prSet/>
      <dgm:spPr/>
      <dgm:t>
        <a:bodyPr/>
        <a:lstStyle/>
        <a:p>
          <a:endParaRPr lang="en-IN"/>
        </a:p>
      </dgm:t>
    </dgm:pt>
    <dgm:pt modelId="{B77DDF60-36D3-4456-8A54-B4D00770F6F2}" type="pres">
      <dgm:prSet presAssocID="{7C9D7E42-A956-4905-836A-E993BBC68484}" presName="diagram" presStyleCnt="0">
        <dgm:presLayoutVars>
          <dgm:dir/>
        </dgm:presLayoutVars>
      </dgm:prSet>
      <dgm:spPr/>
    </dgm:pt>
    <dgm:pt modelId="{12748A1D-DD5E-4594-8205-4C349543B723}" type="pres">
      <dgm:prSet presAssocID="{F39C6274-20E5-4E5C-8534-C682749A05F6}" presName="composite" presStyleCnt="0"/>
      <dgm:spPr/>
    </dgm:pt>
    <dgm:pt modelId="{930B2DA6-3669-42ED-8C6F-27FEB0C1ADF8}" type="pres">
      <dgm:prSet presAssocID="{F39C6274-20E5-4E5C-8534-C682749A05F6}" presName="Image" presStyleLbl="bgShp" presStyleIdx="0" presStyleCnt="1"/>
      <dgm:spPr>
        <a:blipFill>
          <a:blip xmlns:r="http://schemas.openxmlformats.org/officeDocument/2006/relationships" r:embed="rId1" cstate="print">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t="-7000" b="-7000"/>
          </a:stretch>
        </a:blipFill>
      </dgm:spPr>
    </dgm:pt>
    <dgm:pt modelId="{620DF799-2E42-4ABF-8316-67DFEF4BF1AE}" type="pres">
      <dgm:prSet presAssocID="{F39C6274-20E5-4E5C-8534-C682749A05F6}" presName="Parent" presStyleLbl="node0" presStyleIdx="0" presStyleCnt="1" custAng="0" custScaleX="101437" custScaleY="55972" custLinFactNeighborX="-14073" custLinFactNeighborY="46771">
        <dgm:presLayoutVars>
          <dgm:bulletEnabled val="1"/>
        </dgm:presLayoutVars>
      </dgm:prSet>
      <dgm:spPr/>
    </dgm:pt>
  </dgm:ptLst>
  <dgm:cxnLst>
    <dgm:cxn modelId="{EEA8095D-5474-42A2-BEAE-BA93D5D5F100}" type="presOf" srcId="{7C9D7E42-A956-4905-836A-E993BBC68484}" destId="{B77DDF60-36D3-4456-8A54-B4D00770F6F2}" srcOrd="0" destOrd="0" presId="urn:microsoft.com/office/officeart/2008/layout/BendingPictureCaption"/>
    <dgm:cxn modelId="{4BDB1E9A-4E31-428D-81D8-F54463C62A4D}" type="presOf" srcId="{F39C6274-20E5-4E5C-8534-C682749A05F6}" destId="{620DF799-2E42-4ABF-8316-67DFEF4BF1AE}" srcOrd="0" destOrd="0" presId="urn:microsoft.com/office/officeart/2008/layout/BendingPictureCaption"/>
    <dgm:cxn modelId="{FB8A23E5-8013-441B-A8FF-CD968C01DBA5}" srcId="{7C9D7E42-A956-4905-836A-E993BBC68484}" destId="{F39C6274-20E5-4E5C-8534-C682749A05F6}" srcOrd="0" destOrd="0" parTransId="{2FF85CE4-321C-4C30-862F-679B5BE65910}" sibTransId="{FE5C8A68-D027-43C1-8E43-F425B4A3B61A}"/>
    <dgm:cxn modelId="{B1602C12-7E25-44D3-A4CF-D7F6DAF8D902}" type="presParOf" srcId="{B77DDF60-36D3-4456-8A54-B4D00770F6F2}" destId="{12748A1D-DD5E-4594-8205-4C349543B723}" srcOrd="0" destOrd="0" presId="urn:microsoft.com/office/officeart/2008/layout/BendingPictureCaption"/>
    <dgm:cxn modelId="{D490DB7A-359C-4BBD-9FBC-1127BF914423}" type="presParOf" srcId="{12748A1D-DD5E-4594-8205-4C349543B723}" destId="{930B2DA6-3669-42ED-8C6F-27FEB0C1ADF8}" srcOrd="0" destOrd="0" presId="urn:microsoft.com/office/officeart/2008/layout/BendingPictureCaption"/>
    <dgm:cxn modelId="{36B4EA99-62B2-44FB-8CC6-0B33B472C394}" type="presParOf" srcId="{12748A1D-DD5E-4594-8205-4C349543B723}" destId="{620DF799-2E42-4ABF-8316-67DFEF4BF1AE}" srcOrd="1" destOrd="0" presId="urn:microsoft.com/office/officeart/2008/layout/BendingPictureCaption"/>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7C9D7E42-A956-4905-836A-E993BBC68484}" type="doc">
      <dgm:prSet loTypeId="urn:microsoft.com/office/officeart/2008/layout/BendingPictureCaption" loCatId="picture" qsTypeId="urn:microsoft.com/office/officeart/2005/8/quickstyle/simple1" qsCatId="simple" csTypeId="urn:microsoft.com/office/officeart/2005/8/colors/accent1_2" csCatId="accent1" phldr="1"/>
      <dgm:spPr/>
    </dgm:pt>
    <dgm:pt modelId="{F39C6274-20E5-4E5C-8534-C682749A05F6}">
      <dgm:prSet phldrT="[Text]" custT="1"/>
      <dgm:spPr>
        <a:noFill/>
        <a:ln>
          <a:noFill/>
        </a:ln>
      </dgm:spPr>
      <dgm:t>
        <a:bodyPr/>
        <a:lstStyle/>
        <a:p>
          <a:r>
            <a:rPr lang="en-IN" sz="900" b="1">
              <a:solidFill>
                <a:srgbClr val="FFC000"/>
              </a:solidFill>
              <a:latin typeface="Aptos" panose="020B0004020202020204" pitchFamily="34" charset="0"/>
            </a:rPr>
            <a:t>NAXORA</a:t>
          </a:r>
        </a:p>
      </dgm:t>
    </dgm:pt>
    <dgm:pt modelId="{2FF85CE4-321C-4C30-862F-679B5BE65910}" type="parTrans" cxnId="{FB8A23E5-8013-441B-A8FF-CD968C01DBA5}">
      <dgm:prSet/>
      <dgm:spPr/>
      <dgm:t>
        <a:bodyPr/>
        <a:lstStyle/>
        <a:p>
          <a:endParaRPr lang="en-IN"/>
        </a:p>
      </dgm:t>
    </dgm:pt>
    <dgm:pt modelId="{FE5C8A68-D027-43C1-8E43-F425B4A3B61A}" type="sibTrans" cxnId="{FB8A23E5-8013-441B-A8FF-CD968C01DBA5}">
      <dgm:prSet/>
      <dgm:spPr/>
      <dgm:t>
        <a:bodyPr/>
        <a:lstStyle/>
        <a:p>
          <a:endParaRPr lang="en-IN"/>
        </a:p>
      </dgm:t>
    </dgm:pt>
    <dgm:pt modelId="{B77DDF60-36D3-4456-8A54-B4D00770F6F2}" type="pres">
      <dgm:prSet presAssocID="{7C9D7E42-A956-4905-836A-E993BBC68484}" presName="diagram" presStyleCnt="0">
        <dgm:presLayoutVars>
          <dgm:dir/>
        </dgm:presLayoutVars>
      </dgm:prSet>
      <dgm:spPr/>
    </dgm:pt>
    <dgm:pt modelId="{12748A1D-DD5E-4594-8205-4C349543B723}" type="pres">
      <dgm:prSet presAssocID="{F39C6274-20E5-4E5C-8534-C682749A05F6}" presName="composite" presStyleCnt="0"/>
      <dgm:spPr/>
    </dgm:pt>
    <dgm:pt modelId="{930B2DA6-3669-42ED-8C6F-27FEB0C1ADF8}" type="pres">
      <dgm:prSet presAssocID="{F39C6274-20E5-4E5C-8534-C682749A05F6}" presName="Image" presStyleLbl="bgShp" presStyleIdx="0" presStyleCnt="1"/>
      <dgm:spPr>
        <a:blipFill>
          <a:blip xmlns:r="http://schemas.openxmlformats.org/officeDocument/2006/relationships" r:embed="rId1" cstate="print">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t="-7000" b="-7000"/>
          </a:stretch>
        </a:blipFill>
      </dgm:spPr>
    </dgm:pt>
    <dgm:pt modelId="{620DF799-2E42-4ABF-8316-67DFEF4BF1AE}" type="pres">
      <dgm:prSet presAssocID="{F39C6274-20E5-4E5C-8534-C682749A05F6}" presName="Parent" presStyleLbl="node0" presStyleIdx="0" presStyleCnt="1" custAng="0" custScaleX="101437" custScaleY="55972" custLinFactNeighborX="-14073" custLinFactNeighborY="46771">
        <dgm:presLayoutVars>
          <dgm:bulletEnabled val="1"/>
        </dgm:presLayoutVars>
      </dgm:prSet>
      <dgm:spPr/>
    </dgm:pt>
  </dgm:ptLst>
  <dgm:cxnLst>
    <dgm:cxn modelId="{EEA8095D-5474-42A2-BEAE-BA93D5D5F100}" type="presOf" srcId="{7C9D7E42-A956-4905-836A-E993BBC68484}" destId="{B77DDF60-36D3-4456-8A54-B4D00770F6F2}" srcOrd="0" destOrd="0" presId="urn:microsoft.com/office/officeart/2008/layout/BendingPictureCaption"/>
    <dgm:cxn modelId="{4BDB1E9A-4E31-428D-81D8-F54463C62A4D}" type="presOf" srcId="{F39C6274-20E5-4E5C-8534-C682749A05F6}" destId="{620DF799-2E42-4ABF-8316-67DFEF4BF1AE}" srcOrd="0" destOrd="0" presId="urn:microsoft.com/office/officeart/2008/layout/BendingPictureCaption"/>
    <dgm:cxn modelId="{FB8A23E5-8013-441B-A8FF-CD968C01DBA5}" srcId="{7C9D7E42-A956-4905-836A-E993BBC68484}" destId="{F39C6274-20E5-4E5C-8534-C682749A05F6}" srcOrd="0" destOrd="0" parTransId="{2FF85CE4-321C-4C30-862F-679B5BE65910}" sibTransId="{FE5C8A68-D027-43C1-8E43-F425B4A3B61A}"/>
    <dgm:cxn modelId="{B1602C12-7E25-44D3-A4CF-D7F6DAF8D902}" type="presParOf" srcId="{B77DDF60-36D3-4456-8A54-B4D00770F6F2}" destId="{12748A1D-DD5E-4594-8205-4C349543B723}" srcOrd="0" destOrd="0" presId="urn:microsoft.com/office/officeart/2008/layout/BendingPictureCaption"/>
    <dgm:cxn modelId="{D490DB7A-359C-4BBD-9FBC-1127BF914423}" type="presParOf" srcId="{12748A1D-DD5E-4594-8205-4C349543B723}" destId="{930B2DA6-3669-42ED-8C6F-27FEB0C1ADF8}" srcOrd="0" destOrd="0" presId="urn:microsoft.com/office/officeart/2008/layout/BendingPictureCaption"/>
    <dgm:cxn modelId="{36B4EA99-62B2-44FB-8CC6-0B33B472C394}" type="presParOf" srcId="{12748A1D-DD5E-4594-8205-4C349543B723}" destId="{620DF799-2E42-4ABF-8316-67DFEF4BF1AE}" srcOrd="1" destOrd="0" presId="urn:microsoft.com/office/officeart/2008/layout/BendingPictureCaption"/>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930B2DA6-3669-42ED-8C6F-27FEB0C1ADF8}">
      <dsp:nvSpPr>
        <dsp:cNvPr id="0" name=""/>
        <dsp:cNvSpPr/>
      </dsp:nvSpPr>
      <dsp:spPr>
        <a:xfrm>
          <a:off x="46" y="116444"/>
          <a:ext cx="1174937" cy="868274"/>
        </a:xfrm>
        <a:prstGeom prst="rect">
          <a:avLst/>
        </a:prstGeom>
        <a:blipFill>
          <a:blip xmlns:r="http://schemas.openxmlformats.org/officeDocument/2006/relationships" r:embed="rId1" cstate="print">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t="-7000" b="-7000"/>
          </a:stretch>
        </a:blipFill>
        <a:ln>
          <a:noFill/>
        </a:ln>
        <a:effectLst/>
      </dsp:spPr>
      <dsp:style>
        <a:lnRef idx="0">
          <a:scrgbClr r="0" g="0" b="0"/>
        </a:lnRef>
        <a:fillRef idx="1">
          <a:scrgbClr r="0" g="0" b="0"/>
        </a:fillRef>
        <a:effectRef idx="0">
          <a:scrgbClr r="0" g="0" b="0"/>
        </a:effectRef>
        <a:fontRef idx="minor"/>
      </dsp:style>
    </dsp:sp>
    <dsp:sp modelId="{620DF799-2E42-4ABF-8316-67DFEF4BF1AE}">
      <dsp:nvSpPr>
        <dsp:cNvPr id="0" name=""/>
        <dsp:cNvSpPr/>
      </dsp:nvSpPr>
      <dsp:spPr>
        <a:xfrm>
          <a:off x="87777" y="994643"/>
          <a:ext cx="1026994" cy="136184"/>
        </a:xfrm>
        <a:prstGeom prst="rect">
          <a:avLst/>
        </a:prstGeom>
        <a:noFill/>
        <a:ln w="19050" cap="flat" cmpd="sng" algn="ctr">
          <a:no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7145" tIns="17145" rIns="17145" bIns="17145" numCol="1" spcCol="1270" anchor="ctr" anchorCtr="0">
          <a:noAutofit/>
        </a:bodyPr>
        <a:lstStyle/>
        <a:p>
          <a:pPr marL="0" lvl="0" indent="0" algn="ctr" defTabSz="400050">
            <a:lnSpc>
              <a:spcPct val="90000"/>
            </a:lnSpc>
            <a:spcBef>
              <a:spcPct val="0"/>
            </a:spcBef>
            <a:spcAft>
              <a:spcPct val="5000"/>
            </a:spcAft>
            <a:buNone/>
          </a:pPr>
          <a:r>
            <a:rPr lang="en-IN" sz="900" b="1" kern="1200">
              <a:solidFill>
                <a:srgbClr val="FFC000"/>
              </a:solidFill>
              <a:latin typeface="Aptos" panose="020B0004020202020204" pitchFamily="34" charset="0"/>
            </a:rPr>
            <a:t>NAXORA</a:t>
          </a:r>
        </a:p>
      </dsp:txBody>
      <dsp:txXfrm>
        <a:off x="87777" y="994643"/>
        <a:ext cx="1026994" cy="136184"/>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930B2DA6-3669-42ED-8C6F-27FEB0C1ADF8}">
      <dsp:nvSpPr>
        <dsp:cNvPr id="0" name=""/>
        <dsp:cNvSpPr/>
      </dsp:nvSpPr>
      <dsp:spPr>
        <a:xfrm>
          <a:off x="46" y="116444"/>
          <a:ext cx="1174937" cy="868274"/>
        </a:xfrm>
        <a:prstGeom prst="rect">
          <a:avLst/>
        </a:prstGeom>
        <a:blipFill>
          <a:blip xmlns:r="http://schemas.openxmlformats.org/officeDocument/2006/relationships" r:embed="rId1" cstate="print">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t="-7000" b="-7000"/>
          </a:stretch>
        </a:blipFill>
        <a:ln>
          <a:noFill/>
        </a:ln>
        <a:effectLst/>
      </dsp:spPr>
      <dsp:style>
        <a:lnRef idx="0">
          <a:scrgbClr r="0" g="0" b="0"/>
        </a:lnRef>
        <a:fillRef idx="1">
          <a:scrgbClr r="0" g="0" b="0"/>
        </a:fillRef>
        <a:effectRef idx="0">
          <a:scrgbClr r="0" g="0" b="0"/>
        </a:effectRef>
        <a:fontRef idx="minor"/>
      </dsp:style>
    </dsp:sp>
    <dsp:sp modelId="{620DF799-2E42-4ABF-8316-67DFEF4BF1AE}">
      <dsp:nvSpPr>
        <dsp:cNvPr id="0" name=""/>
        <dsp:cNvSpPr/>
      </dsp:nvSpPr>
      <dsp:spPr>
        <a:xfrm>
          <a:off x="87777" y="994643"/>
          <a:ext cx="1026994" cy="136184"/>
        </a:xfrm>
        <a:prstGeom prst="rect">
          <a:avLst/>
        </a:prstGeom>
        <a:noFill/>
        <a:ln w="19050" cap="flat" cmpd="sng" algn="ctr">
          <a:no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7145" tIns="17145" rIns="17145" bIns="17145" numCol="1" spcCol="1270" anchor="ctr" anchorCtr="0">
          <a:noAutofit/>
        </a:bodyPr>
        <a:lstStyle/>
        <a:p>
          <a:pPr marL="0" lvl="0" indent="0" algn="ctr" defTabSz="400050">
            <a:lnSpc>
              <a:spcPct val="90000"/>
            </a:lnSpc>
            <a:spcBef>
              <a:spcPct val="0"/>
            </a:spcBef>
            <a:spcAft>
              <a:spcPct val="5000"/>
            </a:spcAft>
            <a:buNone/>
          </a:pPr>
          <a:r>
            <a:rPr lang="en-IN" sz="900" b="1" kern="1200">
              <a:solidFill>
                <a:srgbClr val="FFC000"/>
              </a:solidFill>
              <a:latin typeface="Aptos" panose="020B0004020202020204" pitchFamily="34" charset="0"/>
            </a:rPr>
            <a:t>NAXORA</a:t>
          </a:r>
        </a:p>
      </dsp:txBody>
      <dsp:txXfrm>
        <a:off x="87777" y="994643"/>
        <a:ext cx="1026994" cy="136184"/>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930B2DA6-3669-42ED-8C6F-27FEB0C1ADF8}">
      <dsp:nvSpPr>
        <dsp:cNvPr id="0" name=""/>
        <dsp:cNvSpPr/>
      </dsp:nvSpPr>
      <dsp:spPr>
        <a:xfrm>
          <a:off x="46" y="116444"/>
          <a:ext cx="1174937" cy="868274"/>
        </a:xfrm>
        <a:prstGeom prst="rect">
          <a:avLst/>
        </a:prstGeom>
        <a:blipFill>
          <a:blip xmlns:r="http://schemas.openxmlformats.org/officeDocument/2006/relationships" r:embed="rId1" cstate="print">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t="-7000" b="-7000"/>
          </a:stretch>
        </a:blipFill>
        <a:ln>
          <a:noFill/>
        </a:ln>
        <a:effectLst/>
      </dsp:spPr>
      <dsp:style>
        <a:lnRef idx="0">
          <a:scrgbClr r="0" g="0" b="0"/>
        </a:lnRef>
        <a:fillRef idx="1">
          <a:scrgbClr r="0" g="0" b="0"/>
        </a:fillRef>
        <a:effectRef idx="0">
          <a:scrgbClr r="0" g="0" b="0"/>
        </a:effectRef>
        <a:fontRef idx="minor"/>
      </dsp:style>
    </dsp:sp>
    <dsp:sp modelId="{620DF799-2E42-4ABF-8316-67DFEF4BF1AE}">
      <dsp:nvSpPr>
        <dsp:cNvPr id="0" name=""/>
        <dsp:cNvSpPr/>
      </dsp:nvSpPr>
      <dsp:spPr>
        <a:xfrm>
          <a:off x="87777" y="994643"/>
          <a:ext cx="1026994" cy="136184"/>
        </a:xfrm>
        <a:prstGeom prst="rect">
          <a:avLst/>
        </a:prstGeom>
        <a:noFill/>
        <a:ln w="19050" cap="flat" cmpd="sng" algn="ctr">
          <a:no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7145" tIns="17145" rIns="17145" bIns="17145" numCol="1" spcCol="1270" anchor="ctr" anchorCtr="0">
          <a:noAutofit/>
        </a:bodyPr>
        <a:lstStyle/>
        <a:p>
          <a:pPr marL="0" lvl="0" indent="0" algn="ctr" defTabSz="400050">
            <a:lnSpc>
              <a:spcPct val="90000"/>
            </a:lnSpc>
            <a:spcBef>
              <a:spcPct val="0"/>
            </a:spcBef>
            <a:spcAft>
              <a:spcPct val="5000"/>
            </a:spcAft>
            <a:buNone/>
          </a:pPr>
          <a:r>
            <a:rPr lang="en-IN" sz="900" b="1" kern="1200">
              <a:solidFill>
                <a:srgbClr val="FFC000"/>
              </a:solidFill>
              <a:latin typeface="Aptos" panose="020B0004020202020204" pitchFamily="34" charset="0"/>
            </a:rPr>
            <a:t>NAXORA</a:t>
          </a:r>
        </a:p>
      </dsp:txBody>
      <dsp:txXfrm>
        <a:off x="87777" y="994643"/>
        <a:ext cx="1026994" cy="136184"/>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930B2DA6-3669-42ED-8C6F-27FEB0C1ADF8}">
      <dsp:nvSpPr>
        <dsp:cNvPr id="0" name=""/>
        <dsp:cNvSpPr/>
      </dsp:nvSpPr>
      <dsp:spPr>
        <a:xfrm>
          <a:off x="46" y="116444"/>
          <a:ext cx="1174937" cy="868274"/>
        </a:xfrm>
        <a:prstGeom prst="rect">
          <a:avLst/>
        </a:prstGeom>
        <a:blipFill>
          <a:blip xmlns:r="http://schemas.openxmlformats.org/officeDocument/2006/relationships" r:embed="rId1" cstate="print">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t="-7000" b="-7000"/>
          </a:stretch>
        </a:blipFill>
        <a:ln>
          <a:noFill/>
        </a:ln>
        <a:effectLst/>
      </dsp:spPr>
      <dsp:style>
        <a:lnRef idx="0">
          <a:scrgbClr r="0" g="0" b="0"/>
        </a:lnRef>
        <a:fillRef idx="1">
          <a:scrgbClr r="0" g="0" b="0"/>
        </a:fillRef>
        <a:effectRef idx="0">
          <a:scrgbClr r="0" g="0" b="0"/>
        </a:effectRef>
        <a:fontRef idx="minor"/>
      </dsp:style>
    </dsp:sp>
    <dsp:sp modelId="{620DF799-2E42-4ABF-8316-67DFEF4BF1AE}">
      <dsp:nvSpPr>
        <dsp:cNvPr id="0" name=""/>
        <dsp:cNvSpPr/>
      </dsp:nvSpPr>
      <dsp:spPr>
        <a:xfrm>
          <a:off x="87777" y="994643"/>
          <a:ext cx="1026994" cy="136184"/>
        </a:xfrm>
        <a:prstGeom prst="rect">
          <a:avLst/>
        </a:prstGeom>
        <a:noFill/>
        <a:ln w="19050" cap="flat" cmpd="sng" algn="ctr">
          <a:no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7145" tIns="17145" rIns="17145" bIns="17145" numCol="1" spcCol="1270" anchor="ctr" anchorCtr="0">
          <a:noAutofit/>
        </a:bodyPr>
        <a:lstStyle/>
        <a:p>
          <a:pPr marL="0" lvl="0" indent="0" algn="ctr" defTabSz="400050">
            <a:lnSpc>
              <a:spcPct val="90000"/>
            </a:lnSpc>
            <a:spcBef>
              <a:spcPct val="0"/>
            </a:spcBef>
            <a:spcAft>
              <a:spcPct val="5000"/>
            </a:spcAft>
            <a:buNone/>
          </a:pPr>
          <a:r>
            <a:rPr lang="en-IN" sz="900" b="1" kern="1200">
              <a:solidFill>
                <a:srgbClr val="FFC000"/>
              </a:solidFill>
              <a:latin typeface="Aptos" panose="020B0004020202020204" pitchFamily="34" charset="0"/>
            </a:rPr>
            <a:t>NAXORA</a:t>
          </a:r>
        </a:p>
      </dsp:txBody>
      <dsp:txXfrm>
        <a:off x="87777" y="994643"/>
        <a:ext cx="1026994" cy="136184"/>
      </dsp:txXfrm>
    </dsp:sp>
  </dsp:spTree>
</dsp:drawing>
</file>

<file path=xl/diagrams/layout1.xml><?xml version="1.0" encoding="utf-8"?>
<dgm:layoutDef xmlns:dgm="http://schemas.openxmlformats.org/drawingml/2006/diagram" xmlns:a="http://schemas.openxmlformats.org/drawingml/2006/main" uniqueId="urn:microsoft.com/office/officeart/2008/layout/BendingPictureCaption">
  <dgm:title val=""/>
  <dgm:desc val=""/>
  <dgm:catLst>
    <dgm:cat type="picture" pri="6000"/>
    <dgm:cat type="pictureconvert" pri="6000"/>
  </dgm:catLst>
  <dgm:sampData>
    <dgm:dataModel>
      <dgm:ptLst>
        <dgm:pt modelId="0" type="doc"/>
        <dgm:pt modelId="1">
          <dgm:prSet phldr="1"/>
        </dgm:pt>
        <dgm:pt modelId="2">
          <dgm:prSet phldr="1"/>
        </dgm:pt>
      </dgm:ptLst>
      <dgm:cxnLst>
        <dgm:cxn modelId="7" srcId="0" destId="1" srcOrd="0" destOrd="0"/>
        <dgm:cxn modelId="8" srcId="0" destId="2" srcOrd="1"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diagram">
    <dgm:varLst>
      <dgm:dir/>
    </dgm:varLst>
    <dgm:choose name="Name0">
      <dgm:if name="Name1" func="var" arg="dir" op="equ" val="norm">
        <dgm:alg type="snake">
          <dgm:param type="off" val="ctr"/>
        </dgm:alg>
      </dgm:if>
      <dgm:else name="Name2">
        <dgm:alg type="snake">
          <dgm:param type="grDir" val="tR"/>
          <dgm:param type="off" val="ctr"/>
        </dgm:alg>
      </dgm:else>
    </dgm:choose>
    <dgm:shape xmlns:r="http://schemas.openxmlformats.org/officeDocument/2006/relationships" r:blip="">
      <dgm:adjLst/>
    </dgm:shape>
    <dgm:constrLst>
      <dgm:constr type="primFontSz" for="des" ptType="node" op="equ" val="65"/>
      <dgm:constr type="w" for="ch" forName="composite" refType="w"/>
      <dgm:constr type="h" for="ch" forName="composite" refType="h"/>
      <dgm:constr type="sp" refType="w" refFor="ch" refForName="composite" op="equ" fact="0.1"/>
      <dgm:constr type="w" for="ch" forName="sibTrans" refType="w" refFor="ch" refForName="composite" op="equ" fact="0.1"/>
      <dgm:constr type="h" for="ch" forName="sibTrans" refType="w" refFor="ch" refForName="sibTrans" op="equ"/>
    </dgm:constrLst>
    <dgm:forEach name="nodesForEach" axis="ch" ptType="node">
      <dgm:layoutNode name="composite">
        <dgm:alg type="composite">
          <dgm:param type="ar" val="1.31"/>
        </dgm:alg>
        <dgm:shape xmlns:r="http://schemas.openxmlformats.org/officeDocument/2006/relationships" r:blip="">
          <dgm:adjLst/>
        </dgm:shape>
        <dgm:choose name="Name3">
          <dgm:if name="Name4" func="var" arg="dir" op="equ" val="norm">
            <dgm:constrLst>
              <dgm:constr type="l" for="ch" forName="Image" refType="w" fact="0"/>
              <dgm:constr type="t" for="ch" forName="Image" refType="h" fact="0"/>
              <dgm:constr type="w" for="ch" forName="Image" refType="w" fact="0.94"/>
              <dgm:constr type="h" for="ch" forName="Image" refType="h" fact="0.91"/>
              <dgm:constr type="l" for="ch" forName="Parent" refType="w" fact="0.19"/>
              <dgm:constr type="t" for="ch" forName="Parent" refType="h" fact="0.745"/>
              <dgm:constr type="w" for="ch" forName="Parent" refType="w" fact="0.81"/>
              <dgm:constr type="h" for="ch" forName="Parent" refType="h" fact="0.255"/>
            </dgm:constrLst>
          </dgm:if>
          <dgm:else name="Name5">
            <dgm:constrLst>
              <dgm:constr type="l" for="ch" forName="Image" refType="w" fact="0.06"/>
              <dgm:constr type="t" for="ch" forName="Image" refType="h" fact="0"/>
              <dgm:constr type="w" for="ch" forName="Image" refType="w" fact="0.94"/>
              <dgm:constr type="h" for="ch" forName="Image" refType="h" fact="0.91"/>
              <dgm:constr type="l" for="ch" forName="Parent" refType="w" fact="0"/>
              <dgm:constr type="t" for="ch" forName="Parent" refType="h" fact="0.745"/>
              <dgm:constr type="w" for="ch" forName="Parent" refType="w" fact="0.81"/>
              <dgm:constr type="h" for="ch" forName="Parent" refType="h" fact="0.255"/>
            </dgm:constrLst>
          </dgm:else>
        </dgm:choose>
        <dgm:layoutNode name="Image" styleLbl="bgShp">
          <dgm:alg type="sp"/>
          <dgm:shape xmlns:r="http://schemas.openxmlformats.org/officeDocument/2006/relationships" type="rect" r:blip="" blipPhldr="1">
            <dgm:adjLst/>
          </dgm:shape>
          <dgm:presOf/>
        </dgm:layoutNode>
        <dgm:layoutNode name="Parent" styleLbl="node0">
          <dgm:varLst>
            <dgm:bulletEnabled val="1"/>
          </dgm:varLst>
          <dgm:alg type="tx">
            <dgm:param type="txAnchorVertCh" val="mid"/>
            <dgm:param type="shpTxRTLAlignCh" val="r"/>
            <dgm:param type="lnSpAfParP" val="5"/>
          </dgm:alg>
          <dgm:shape xmlns:r="http://schemas.openxmlformats.org/officeDocument/2006/relationships" type="rect" r:blip="">
            <dgm:adjLst/>
          </dgm:shape>
          <dgm:presOf axis="desOrSelf" ptType="node"/>
          <dgm:constrLst>
            <dgm:constr type="lMarg" refType="primFontSz" fact="0.15"/>
            <dgm:constr type="rMarg" refType="primFontSz" fact="0.15"/>
            <dgm:constr type="tMarg" refType="primFontSz" fact="0.15"/>
            <dgm:constr type="bMarg" refType="primFontSz" fact="0.15"/>
          </dgm:constrLst>
          <dgm:ruleLst>
            <dgm:rule type="primFontSz" val="5" fact="NaN" max="NaN"/>
          </dgm:ruleLst>
        </dgm:layoutNod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8/layout/BendingPictureCaption">
  <dgm:title val=""/>
  <dgm:desc val=""/>
  <dgm:catLst>
    <dgm:cat type="picture" pri="6000"/>
    <dgm:cat type="pictureconvert" pri="6000"/>
  </dgm:catLst>
  <dgm:sampData>
    <dgm:dataModel>
      <dgm:ptLst>
        <dgm:pt modelId="0" type="doc"/>
        <dgm:pt modelId="1">
          <dgm:prSet phldr="1"/>
        </dgm:pt>
        <dgm:pt modelId="2">
          <dgm:prSet phldr="1"/>
        </dgm:pt>
      </dgm:ptLst>
      <dgm:cxnLst>
        <dgm:cxn modelId="7" srcId="0" destId="1" srcOrd="0" destOrd="0"/>
        <dgm:cxn modelId="8" srcId="0" destId="2" srcOrd="1"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diagram">
    <dgm:varLst>
      <dgm:dir/>
    </dgm:varLst>
    <dgm:choose name="Name0">
      <dgm:if name="Name1" func="var" arg="dir" op="equ" val="norm">
        <dgm:alg type="snake">
          <dgm:param type="off" val="ctr"/>
        </dgm:alg>
      </dgm:if>
      <dgm:else name="Name2">
        <dgm:alg type="snake">
          <dgm:param type="grDir" val="tR"/>
          <dgm:param type="off" val="ctr"/>
        </dgm:alg>
      </dgm:else>
    </dgm:choose>
    <dgm:shape xmlns:r="http://schemas.openxmlformats.org/officeDocument/2006/relationships" r:blip="">
      <dgm:adjLst/>
    </dgm:shape>
    <dgm:constrLst>
      <dgm:constr type="primFontSz" for="des" ptType="node" op="equ" val="65"/>
      <dgm:constr type="w" for="ch" forName="composite" refType="w"/>
      <dgm:constr type="h" for="ch" forName="composite" refType="h"/>
      <dgm:constr type="sp" refType="w" refFor="ch" refForName="composite" op="equ" fact="0.1"/>
      <dgm:constr type="w" for="ch" forName="sibTrans" refType="w" refFor="ch" refForName="composite" op="equ" fact="0.1"/>
      <dgm:constr type="h" for="ch" forName="sibTrans" refType="w" refFor="ch" refForName="sibTrans" op="equ"/>
    </dgm:constrLst>
    <dgm:forEach name="nodesForEach" axis="ch" ptType="node">
      <dgm:layoutNode name="composite">
        <dgm:alg type="composite">
          <dgm:param type="ar" val="1.31"/>
        </dgm:alg>
        <dgm:shape xmlns:r="http://schemas.openxmlformats.org/officeDocument/2006/relationships" r:blip="">
          <dgm:adjLst/>
        </dgm:shape>
        <dgm:choose name="Name3">
          <dgm:if name="Name4" func="var" arg="dir" op="equ" val="norm">
            <dgm:constrLst>
              <dgm:constr type="l" for="ch" forName="Image" refType="w" fact="0"/>
              <dgm:constr type="t" for="ch" forName="Image" refType="h" fact="0"/>
              <dgm:constr type="w" for="ch" forName="Image" refType="w" fact="0.94"/>
              <dgm:constr type="h" for="ch" forName="Image" refType="h" fact="0.91"/>
              <dgm:constr type="l" for="ch" forName="Parent" refType="w" fact="0.19"/>
              <dgm:constr type="t" for="ch" forName="Parent" refType="h" fact="0.745"/>
              <dgm:constr type="w" for="ch" forName="Parent" refType="w" fact="0.81"/>
              <dgm:constr type="h" for="ch" forName="Parent" refType="h" fact="0.255"/>
            </dgm:constrLst>
          </dgm:if>
          <dgm:else name="Name5">
            <dgm:constrLst>
              <dgm:constr type="l" for="ch" forName="Image" refType="w" fact="0.06"/>
              <dgm:constr type="t" for="ch" forName="Image" refType="h" fact="0"/>
              <dgm:constr type="w" for="ch" forName="Image" refType="w" fact="0.94"/>
              <dgm:constr type="h" for="ch" forName="Image" refType="h" fact="0.91"/>
              <dgm:constr type="l" for="ch" forName="Parent" refType="w" fact="0"/>
              <dgm:constr type="t" for="ch" forName="Parent" refType="h" fact="0.745"/>
              <dgm:constr type="w" for="ch" forName="Parent" refType="w" fact="0.81"/>
              <dgm:constr type="h" for="ch" forName="Parent" refType="h" fact="0.255"/>
            </dgm:constrLst>
          </dgm:else>
        </dgm:choose>
        <dgm:layoutNode name="Image" styleLbl="bgShp">
          <dgm:alg type="sp"/>
          <dgm:shape xmlns:r="http://schemas.openxmlformats.org/officeDocument/2006/relationships" type="rect" r:blip="" blipPhldr="1">
            <dgm:adjLst/>
          </dgm:shape>
          <dgm:presOf/>
        </dgm:layoutNode>
        <dgm:layoutNode name="Parent" styleLbl="node0">
          <dgm:varLst>
            <dgm:bulletEnabled val="1"/>
          </dgm:varLst>
          <dgm:alg type="tx">
            <dgm:param type="txAnchorVertCh" val="mid"/>
            <dgm:param type="shpTxRTLAlignCh" val="r"/>
            <dgm:param type="lnSpAfParP" val="5"/>
          </dgm:alg>
          <dgm:shape xmlns:r="http://schemas.openxmlformats.org/officeDocument/2006/relationships" type="rect" r:blip="">
            <dgm:adjLst/>
          </dgm:shape>
          <dgm:presOf axis="desOrSelf" ptType="node"/>
          <dgm:constrLst>
            <dgm:constr type="lMarg" refType="primFontSz" fact="0.15"/>
            <dgm:constr type="rMarg" refType="primFontSz" fact="0.15"/>
            <dgm:constr type="tMarg" refType="primFontSz" fact="0.15"/>
            <dgm:constr type="bMarg" refType="primFontSz" fact="0.15"/>
          </dgm:constrLst>
          <dgm:ruleLst>
            <dgm:rule type="primFontSz" val="5" fact="NaN" max="NaN"/>
          </dgm:ruleLst>
        </dgm:layoutNod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8/layout/BendingPictureCaption">
  <dgm:title val=""/>
  <dgm:desc val=""/>
  <dgm:catLst>
    <dgm:cat type="picture" pri="6000"/>
    <dgm:cat type="pictureconvert" pri="6000"/>
  </dgm:catLst>
  <dgm:sampData>
    <dgm:dataModel>
      <dgm:ptLst>
        <dgm:pt modelId="0" type="doc"/>
        <dgm:pt modelId="1">
          <dgm:prSet phldr="1"/>
        </dgm:pt>
        <dgm:pt modelId="2">
          <dgm:prSet phldr="1"/>
        </dgm:pt>
      </dgm:ptLst>
      <dgm:cxnLst>
        <dgm:cxn modelId="7" srcId="0" destId="1" srcOrd="0" destOrd="0"/>
        <dgm:cxn modelId="8" srcId="0" destId="2" srcOrd="1"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diagram">
    <dgm:varLst>
      <dgm:dir/>
    </dgm:varLst>
    <dgm:choose name="Name0">
      <dgm:if name="Name1" func="var" arg="dir" op="equ" val="norm">
        <dgm:alg type="snake">
          <dgm:param type="off" val="ctr"/>
        </dgm:alg>
      </dgm:if>
      <dgm:else name="Name2">
        <dgm:alg type="snake">
          <dgm:param type="grDir" val="tR"/>
          <dgm:param type="off" val="ctr"/>
        </dgm:alg>
      </dgm:else>
    </dgm:choose>
    <dgm:shape xmlns:r="http://schemas.openxmlformats.org/officeDocument/2006/relationships" r:blip="">
      <dgm:adjLst/>
    </dgm:shape>
    <dgm:constrLst>
      <dgm:constr type="primFontSz" for="des" ptType="node" op="equ" val="65"/>
      <dgm:constr type="w" for="ch" forName="composite" refType="w"/>
      <dgm:constr type="h" for="ch" forName="composite" refType="h"/>
      <dgm:constr type="sp" refType="w" refFor="ch" refForName="composite" op="equ" fact="0.1"/>
      <dgm:constr type="w" for="ch" forName="sibTrans" refType="w" refFor="ch" refForName="composite" op="equ" fact="0.1"/>
      <dgm:constr type="h" for="ch" forName="sibTrans" refType="w" refFor="ch" refForName="sibTrans" op="equ"/>
    </dgm:constrLst>
    <dgm:forEach name="nodesForEach" axis="ch" ptType="node">
      <dgm:layoutNode name="composite">
        <dgm:alg type="composite">
          <dgm:param type="ar" val="1.31"/>
        </dgm:alg>
        <dgm:shape xmlns:r="http://schemas.openxmlformats.org/officeDocument/2006/relationships" r:blip="">
          <dgm:adjLst/>
        </dgm:shape>
        <dgm:choose name="Name3">
          <dgm:if name="Name4" func="var" arg="dir" op="equ" val="norm">
            <dgm:constrLst>
              <dgm:constr type="l" for="ch" forName="Image" refType="w" fact="0"/>
              <dgm:constr type="t" for="ch" forName="Image" refType="h" fact="0"/>
              <dgm:constr type="w" for="ch" forName="Image" refType="w" fact="0.94"/>
              <dgm:constr type="h" for="ch" forName="Image" refType="h" fact="0.91"/>
              <dgm:constr type="l" for="ch" forName="Parent" refType="w" fact="0.19"/>
              <dgm:constr type="t" for="ch" forName="Parent" refType="h" fact="0.745"/>
              <dgm:constr type="w" for="ch" forName="Parent" refType="w" fact="0.81"/>
              <dgm:constr type="h" for="ch" forName="Parent" refType="h" fact="0.255"/>
            </dgm:constrLst>
          </dgm:if>
          <dgm:else name="Name5">
            <dgm:constrLst>
              <dgm:constr type="l" for="ch" forName="Image" refType="w" fact="0.06"/>
              <dgm:constr type="t" for="ch" forName="Image" refType="h" fact="0"/>
              <dgm:constr type="w" for="ch" forName="Image" refType="w" fact="0.94"/>
              <dgm:constr type="h" for="ch" forName="Image" refType="h" fact="0.91"/>
              <dgm:constr type="l" for="ch" forName="Parent" refType="w" fact="0"/>
              <dgm:constr type="t" for="ch" forName="Parent" refType="h" fact="0.745"/>
              <dgm:constr type="w" for="ch" forName="Parent" refType="w" fact="0.81"/>
              <dgm:constr type="h" for="ch" forName="Parent" refType="h" fact="0.255"/>
            </dgm:constrLst>
          </dgm:else>
        </dgm:choose>
        <dgm:layoutNode name="Image" styleLbl="bgShp">
          <dgm:alg type="sp"/>
          <dgm:shape xmlns:r="http://schemas.openxmlformats.org/officeDocument/2006/relationships" type="rect" r:blip="" blipPhldr="1">
            <dgm:adjLst/>
          </dgm:shape>
          <dgm:presOf/>
        </dgm:layoutNode>
        <dgm:layoutNode name="Parent" styleLbl="node0">
          <dgm:varLst>
            <dgm:bulletEnabled val="1"/>
          </dgm:varLst>
          <dgm:alg type="tx">
            <dgm:param type="txAnchorVertCh" val="mid"/>
            <dgm:param type="shpTxRTLAlignCh" val="r"/>
            <dgm:param type="lnSpAfParP" val="5"/>
          </dgm:alg>
          <dgm:shape xmlns:r="http://schemas.openxmlformats.org/officeDocument/2006/relationships" type="rect" r:blip="">
            <dgm:adjLst/>
          </dgm:shape>
          <dgm:presOf axis="desOrSelf" ptType="node"/>
          <dgm:constrLst>
            <dgm:constr type="lMarg" refType="primFontSz" fact="0.15"/>
            <dgm:constr type="rMarg" refType="primFontSz" fact="0.15"/>
            <dgm:constr type="tMarg" refType="primFontSz" fact="0.15"/>
            <dgm:constr type="bMarg" refType="primFontSz" fact="0.15"/>
          </dgm:constrLst>
          <dgm:ruleLst>
            <dgm:rule type="primFontSz" val="5" fact="NaN" max="NaN"/>
          </dgm:ruleLst>
        </dgm:layoutNod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8/layout/BendingPictureCaption">
  <dgm:title val=""/>
  <dgm:desc val=""/>
  <dgm:catLst>
    <dgm:cat type="picture" pri="6000"/>
    <dgm:cat type="pictureconvert" pri="6000"/>
  </dgm:catLst>
  <dgm:sampData>
    <dgm:dataModel>
      <dgm:ptLst>
        <dgm:pt modelId="0" type="doc"/>
        <dgm:pt modelId="1">
          <dgm:prSet phldr="1"/>
        </dgm:pt>
        <dgm:pt modelId="2">
          <dgm:prSet phldr="1"/>
        </dgm:pt>
      </dgm:ptLst>
      <dgm:cxnLst>
        <dgm:cxn modelId="7" srcId="0" destId="1" srcOrd="0" destOrd="0"/>
        <dgm:cxn modelId="8" srcId="0" destId="2" srcOrd="1"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diagram">
    <dgm:varLst>
      <dgm:dir/>
    </dgm:varLst>
    <dgm:choose name="Name0">
      <dgm:if name="Name1" func="var" arg="dir" op="equ" val="norm">
        <dgm:alg type="snake">
          <dgm:param type="off" val="ctr"/>
        </dgm:alg>
      </dgm:if>
      <dgm:else name="Name2">
        <dgm:alg type="snake">
          <dgm:param type="grDir" val="tR"/>
          <dgm:param type="off" val="ctr"/>
        </dgm:alg>
      </dgm:else>
    </dgm:choose>
    <dgm:shape xmlns:r="http://schemas.openxmlformats.org/officeDocument/2006/relationships" r:blip="">
      <dgm:adjLst/>
    </dgm:shape>
    <dgm:constrLst>
      <dgm:constr type="primFontSz" for="des" ptType="node" op="equ" val="65"/>
      <dgm:constr type="w" for="ch" forName="composite" refType="w"/>
      <dgm:constr type="h" for="ch" forName="composite" refType="h"/>
      <dgm:constr type="sp" refType="w" refFor="ch" refForName="composite" op="equ" fact="0.1"/>
      <dgm:constr type="w" for="ch" forName="sibTrans" refType="w" refFor="ch" refForName="composite" op="equ" fact="0.1"/>
      <dgm:constr type="h" for="ch" forName="sibTrans" refType="w" refFor="ch" refForName="sibTrans" op="equ"/>
    </dgm:constrLst>
    <dgm:forEach name="nodesForEach" axis="ch" ptType="node">
      <dgm:layoutNode name="composite">
        <dgm:alg type="composite">
          <dgm:param type="ar" val="1.31"/>
        </dgm:alg>
        <dgm:shape xmlns:r="http://schemas.openxmlformats.org/officeDocument/2006/relationships" r:blip="">
          <dgm:adjLst/>
        </dgm:shape>
        <dgm:choose name="Name3">
          <dgm:if name="Name4" func="var" arg="dir" op="equ" val="norm">
            <dgm:constrLst>
              <dgm:constr type="l" for="ch" forName="Image" refType="w" fact="0"/>
              <dgm:constr type="t" for="ch" forName="Image" refType="h" fact="0"/>
              <dgm:constr type="w" for="ch" forName="Image" refType="w" fact="0.94"/>
              <dgm:constr type="h" for="ch" forName="Image" refType="h" fact="0.91"/>
              <dgm:constr type="l" for="ch" forName="Parent" refType="w" fact="0.19"/>
              <dgm:constr type="t" for="ch" forName="Parent" refType="h" fact="0.745"/>
              <dgm:constr type="w" for="ch" forName="Parent" refType="w" fact="0.81"/>
              <dgm:constr type="h" for="ch" forName="Parent" refType="h" fact="0.255"/>
            </dgm:constrLst>
          </dgm:if>
          <dgm:else name="Name5">
            <dgm:constrLst>
              <dgm:constr type="l" for="ch" forName="Image" refType="w" fact="0.06"/>
              <dgm:constr type="t" for="ch" forName="Image" refType="h" fact="0"/>
              <dgm:constr type="w" for="ch" forName="Image" refType="w" fact="0.94"/>
              <dgm:constr type="h" for="ch" forName="Image" refType="h" fact="0.91"/>
              <dgm:constr type="l" for="ch" forName="Parent" refType="w" fact="0"/>
              <dgm:constr type="t" for="ch" forName="Parent" refType="h" fact="0.745"/>
              <dgm:constr type="w" for="ch" forName="Parent" refType="w" fact="0.81"/>
              <dgm:constr type="h" for="ch" forName="Parent" refType="h" fact="0.255"/>
            </dgm:constrLst>
          </dgm:else>
        </dgm:choose>
        <dgm:layoutNode name="Image" styleLbl="bgShp">
          <dgm:alg type="sp"/>
          <dgm:shape xmlns:r="http://schemas.openxmlformats.org/officeDocument/2006/relationships" type="rect" r:blip="" blipPhldr="1">
            <dgm:adjLst/>
          </dgm:shape>
          <dgm:presOf/>
        </dgm:layoutNode>
        <dgm:layoutNode name="Parent" styleLbl="node0">
          <dgm:varLst>
            <dgm:bulletEnabled val="1"/>
          </dgm:varLst>
          <dgm:alg type="tx">
            <dgm:param type="txAnchorVertCh" val="mid"/>
            <dgm:param type="shpTxRTLAlignCh" val="r"/>
            <dgm:param type="lnSpAfParP" val="5"/>
          </dgm:alg>
          <dgm:shape xmlns:r="http://schemas.openxmlformats.org/officeDocument/2006/relationships" type="rect" r:blip="">
            <dgm:adjLst/>
          </dgm:shape>
          <dgm:presOf axis="desOrSelf" ptType="node"/>
          <dgm:constrLst>
            <dgm:constr type="lMarg" refType="primFontSz" fact="0.15"/>
            <dgm:constr type="rMarg" refType="primFontSz" fact="0.15"/>
            <dgm:constr type="tMarg" refType="primFontSz" fact="0.15"/>
            <dgm:constr type="bMarg" refType="primFontSz" fact="0.15"/>
          </dgm:constrLst>
          <dgm:ruleLst>
            <dgm:rule type="primFontSz" val="5" fact="NaN" max="NaN"/>
          </dgm:ruleLst>
        </dgm:layoutNod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hyperlink" Target="#SALESMAN_PERFORMANCE!A1"/><Relationship Id="rId13" Type="http://schemas.openxmlformats.org/officeDocument/2006/relationships/image" Target="../media/image5.svg"/><Relationship Id="rId18" Type="http://schemas.openxmlformats.org/officeDocument/2006/relationships/image" Target="../media/image10.png"/><Relationship Id="rId26" Type="http://schemas.microsoft.com/office/2014/relationships/chartEx" Target="../charts/chartEx1.xml"/><Relationship Id="rId3" Type="http://schemas.openxmlformats.org/officeDocument/2006/relationships/diagramQuickStyle" Target="../diagrams/quickStyle1.xml"/><Relationship Id="rId21" Type="http://schemas.openxmlformats.org/officeDocument/2006/relationships/image" Target="../media/image13.svg"/><Relationship Id="rId7" Type="http://schemas.openxmlformats.org/officeDocument/2006/relationships/hyperlink" Target="#PRODUCT_PERFORMANCE!A1"/><Relationship Id="rId12" Type="http://schemas.openxmlformats.org/officeDocument/2006/relationships/image" Target="../media/image4.png"/><Relationship Id="rId17" Type="http://schemas.openxmlformats.org/officeDocument/2006/relationships/image" Target="../media/image9.svg"/><Relationship Id="rId25" Type="http://schemas.openxmlformats.org/officeDocument/2006/relationships/chart" Target="../charts/chart4.xml"/><Relationship Id="rId2" Type="http://schemas.openxmlformats.org/officeDocument/2006/relationships/diagramLayout" Target="../diagrams/layout1.xml"/><Relationship Id="rId16" Type="http://schemas.openxmlformats.org/officeDocument/2006/relationships/image" Target="../media/image8.png"/><Relationship Id="rId20" Type="http://schemas.openxmlformats.org/officeDocument/2006/relationships/image" Target="../media/image12.png"/><Relationship Id="rId29" Type="http://schemas.openxmlformats.org/officeDocument/2006/relationships/image" Target="../media/image14.png"/><Relationship Id="rId1" Type="http://schemas.openxmlformats.org/officeDocument/2006/relationships/diagramData" Target="../diagrams/data1.xml"/><Relationship Id="rId6" Type="http://schemas.openxmlformats.org/officeDocument/2006/relationships/hyperlink" Target="#DASHBOARD!A1"/><Relationship Id="rId11" Type="http://schemas.openxmlformats.org/officeDocument/2006/relationships/image" Target="../media/image3.svg"/><Relationship Id="rId24" Type="http://schemas.openxmlformats.org/officeDocument/2006/relationships/chart" Target="../charts/chart3.xml"/><Relationship Id="rId5" Type="http://schemas.microsoft.com/office/2007/relationships/diagramDrawing" Target="../diagrams/drawing1.xml"/><Relationship Id="rId15" Type="http://schemas.openxmlformats.org/officeDocument/2006/relationships/image" Target="../media/image7.svg"/><Relationship Id="rId23" Type="http://schemas.openxmlformats.org/officeDocument/2006/relationships/chart" Target="../charts/chart2.xml"/><Relationship Id="rId28" Type="http://schemas.openxmlformats.org/officeDocument/2006/relationships/chart" Target="../charts/chart6.xml"/><Relationship Id="rId10" Type="http://schemas.openxmlformats.org/officeDocument/2006/relationships/image" Target="../media/image2.png"/><Relationship Id="rId19" Type="http://schemas.openxmlformats.org/officeDocument/2006/relationships/image" Target="../media/image11.svg"/><Relationship Id="rId4" Type="http://schemas.openxmlformats.org/officeDocument/2006/relationships/diagramColors" Target="../diagrams/colors1.xml"/><Relationship Id="rId9" Type="http://schemas.openxmlformats.org/officeDocument/2006/relationships/hyperlink" Target="#ABOUT!A1"/><Relationship Id="rId14" Type="http://schemas.openxmlformats.org/officeDocument/2006/relationships/image" Target="../media/image6.png"/><Relationship Id="rId22" Type="http://schemas.openxmlformats.org/officeDocument/2006/relationships/chart" Target="../charts/chart1.xml"/><Relationship Id="rId27" Type="http://schemas.openxmlformats.org/officeDocument/2006/relationships/chart" Target="../charts/chart5.xml"/></Relationships>
</file>

<file path=xl/drawings/_rels/drawing2.xml.rels><?xml version="1.0" encoding="UTF-8" standalone="yes"?>
<Relationships xmlns="http://schemas.openxmlformats.org/package/2006/relationships"><Relationship Id="rId8" Type="http://schemas.openxmlformats.org/officeDocument/2006/relationships/hyperlink" Target="#SALESMAN_PERFORMANCE!A1"/><Relationship Id="rId13" Type="http://schemas.openxmlformats.org/officeDocument/2006/relationships/image" Target="../media/image7.svg"/><Relationship Id="rId18" Type="http://schemas.openxmlformats.org/officeDocument/2006/relationships/image" Target="../media/image16.png"/><Relationship Id="rId26" Type="http://schemas.openxmlformats.org/officeDocument/2006/relationships/image" Target="../media/image3.svg"/><Relationship Id="rId3" Type="http://schemas.openxmlformats.org/officeDocument/2006/relationships/diagramQuickStyle" Target="../diagrams/quickStyle2.xml"/><Relationship Id="rId21" Type="http://schemas.openxmlformats.org/officeDocument/2006/relationships/chart" Target="../charts/chart8.xml"/><Relationship Id="rId7" Type="http://schemas.openxmlformats.org/officeDocument/2006/relationships/hyperlink" Target="#PRODUCT_PERFORMANCE!A1"/><Relationship Id="rId12" Type="http://schemas.openxmlformats.org/officeDocument/2006/relationships/image" Target="../media/image6.png"/><Relationship Id="rId17" Type="http://schemas.openxmlformats.org/officeDocument/2006/relationships/image" Target="../media/image13.svg"/><Relationship Id="rId25" Type="http://schemas.openxmlformats.org/officeDocument/2006/relationships/image" Target="../media/image2.png"/><Relationship Id="rId2" Type="http://schemas.openxmlformats.org/officeDocument/2006/relationships/diagramLayout" Target="../diagrams/layout2.xml"/><Relationship Id="rId16" Type="http://schemas.openxmlformats.org/officeDocument/2006/relationships/image" Target="../media/image12.png"/><Relationship Id="rId20" Type="http://schemas.openxmlformats.org/officeDocument/2006/relationships/chart" Target="../charts/chart7.xml"/><Relationship Id="rId1" Type="http://schemas.openxmlformats.org/officeDocument/2006/relationships/diagramData" Target="../diagrams/data2.xml"/><Relationship Id="rId6" Type="http://schemas.openxmlformats.org/officeDocument/2006/relationships/hyperlink" Target="#DASHBOARD!A1"/><Relationship Id="rId11" Type="http://schemas.openxmlformats.org/officeDocument/2006/relationships/image" Target="../media/image15.svg"/><Relationship Id="rId24" Type="http://schemas.openxmlformats.org/officeDocument/2006/relationships/chart" Target="../charts/chart11.xml"/><Relationship Id="rId5" Type="http://schemas.microsoft.com/office/2007/relationships/diagramDrawing" Target="../diagrams/drawing2.xml"/><Relationship Id="rId15" Type="http://schemas.openxmlformats.org/officeDocument/2006/relationships/image" Target="../media/image11.svg"/><Relationship Id="rId23" Type="http://schemas.openxmlformats.org/officeDocument/2006/relationships/chart" Target="../charts/chart10.xml"/><Relationship Id="rId10" Type="http://schemas.openxmlformats.org/officeDocument/2006/relationships/image" Target="../media/image4.png"/><Relationship Id="rId19" Type="http://schemas.openxmlformats.org/officeDocument/2006/relationships/image" Target="../media/image17.svg"/><Relationship Id="rId4" Type="http://schemas.openxmlformats.org/officeDocument/2006/relationships/diagramColors" Target="../diagrams/colors2.xml"/><Relationship Id="rId9" Type="http://schemas.openxmlformats.org/officeDocument/2006/relationships/hyperlink" Target="#ABOUT!A1"/><Relationship Id="rId14" Type="http://schemas.openxmlformats.org/officeDocument/2006/relationships/image" Target="../media/image10.png"/><Relationship Id="rId22" Type="http://schemas.openxmlformats.org/officeDocument/2006/relationships/chart" Target="../charts/chart9.xml"/><Relationship Id="rId27" Type="http://schemas.openxmlformats.org/officeDocument/2006/relationships/image" Target="../media/image14.png"/></Relationships>
</file>

<file path=xl/drawings/_rels/drawing3.xml.rels><?xml version="1.0" encoding="UTF-8" standalone="yes"?>
<Relationships xmlns="http://schemas.openxmlformats.org/package/2006/relationships"><Relationship Id="rId8" Type="http://schemas.openxmlformats.org/officeDocument/2006/relationships/hyperlink" Target="#SALESMAN_PERFORMANCE!A1"/><Relationship Id="rId13" Type="http://schemas.openxmlformats.org/officeDocument/2006/relationships/image" Target="../media/image7.svg"/><Relationship Id="rId18" Type="http://schemas.openxmlformats.org/officeDocument/2006/relationships/image" Target="../media/image16.png"/><Relationship Id="rId26" Type="http://schemas.openxmlformats.org/officeDocument/2006/relationships/chart" Target="../charts/chart15.xml"/><Relationship Id="rId3" Type="http://schemas.openxmlformats.org/officeDocument/2006/relationships/diagramQuickStyle" Target="../diagrams/quickStyle3.xml"/><Relationship Id="rId21" Type="http://schemas.openxmlformats.org/officeDocument/2006/relationships/image" Target="../media/image3.svg"/><Relationship Id="rId7" Type="http://schemas.openxmlformats.org/officeDocument/2006/relationships/hyperlink" Target="#PRODUCT_PERFORMANCE!A1"/><Relationship Id="rId12" Type="http://schemas.openxmlformats.org/officeDocument/2006/relationships/image" Target="../media/image6.png"/><Relationship Id="rId17" Type="http://schemas.openxmlformats.org/officeDocument/2006/relationships/image" Target="../media/image13.svg"/><Relationship Id="rId25" Type="http://schemas.openxmlformats.org/officeDocument/2006/relationships/chart" Target="../charts/chart14.xml"/><Relationship Id="rId2" Type="http://schemas.openxmlformats.org/officeDocument/2006/relationships/diagramLayout" Target="../diagrams/layout3.xml"/><Relationship Id="rId16" Type="http://schemas.openxmlformats.org/officeDocument/2006/relationships/image" Target="../media/image12.png"/><Relationship Id="rId20" Type="http://schemas.openxmlformats.org/officeDocument/2006/relationships/image" Target="../media/image2.png"/><Relationship Id="rId1" Type="http://schemas.openxmlformats.org/officeDocument/2006/relationships/diagramData" Target="../diagrams/data3.xml"/><Relationship Id="rId6" Type="http://schemas.openxmlformats.org/officeDocument/2006/relationships/hyperlink" Target="#DASHBOARD!A1"/><Relationship Id="rId11" Type="http://schemas.openxmlformats.org/officeDocument/2006/relationships/image" Target="../media/image15.svg"/><Relationship Id="rId24" Type="http://schemas.openxmlformats.org/officeDocument/2006/relationships/chart" Target="../charts/chart13.xml"/><Relationship Id="rId5" Type="http://schemas.microsoft.com/office/2007/relationships/diagramDrawing" Target="../diagrams/drawing3.xml"/><Relationship Id="rId15" Type="http://schemas.openxmlformats.org/officeDocument/2006/relationships/image" Target="../media/image11.svg"/><Relationship Id="rId23" Type="http://schemas.openxmlformats.org/officeDocument/2006/relationships/chart" Target="../charts/chart12.xml"/><Relationship Id="rId10" Type="http://schemas.openxmlformats.org/officeDocument/2006/relationships/image" Target="../media/image4.png"/><Relationship Id="rId19" Type="http://schemas.openxmlformats.org/officeDocument/2006/relationships/image" Target="../media/image17.svg"/><Relationship Id="rId4" Type="http://schemas.openxmlformats.org/officeDocument/2006/relationships/diagramColors" Target="../diagrams/colors3.xml"/><Relationship Id="rId9" Type="http://schemas.openxmlformats.org/officeDocument/2006/relationships/hyperlink" Target="#ABOUT!A1"/><Relationship Id="rId14" Type="http://schemas.openxmlformats.org/officeDocument/2006/relationships/image" Target="../media/image10.png"/><Relationship Id="rId22" Type="http://schemas.openxmlformats.org/officeDocument/2006/relationships/image" Target="../media/image14.png"/><Relationship Id="rId27"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8" Type="http://schemas.openxmlformats.org/officeDocument/2006/relationships/hyperlink" Target="#SALESMAN_PERFORMANCE!A1"/><Relationship Id="rId3" Type="http://schemas.openxmlformats.org/officeDocument/2006/relationships/diagramQuickStyle" Target="../diagrams/quickStyle4.xml"/><Relationship Id="rId7" Type="http://schemas.openxmlformats.org/officeDocument/2006/relationships/hyperlink" Target="#PRODUCT_PERFORMANCE!A1"/><Relationship Id="rId2" Type="http://schemas.openxmlformats.org/officeDocument/2006/relationships/diagramLayout" Target="../diagrams/layout4.xml"/><Relationship Id="rId1" Type="http://schemas.openxmlformats.org/officeDocument/2006/relationships/diagramData" Target="../diagrams/data4.xml"/><Relationship Id="rId6" Type="http://schemas.openxmlformats.org/officeDocument/2006/relationships/hyperlink" Target="#DASHBOARD!A1"/><Relationship Id="rId5" Type="http://schemas.microsoft.com/office/2007/relationships/diagramDrawing" Target="../diagrams/drawing4.xml"/><Relationship Id="rId4" Type="http://schemas.openxmlformats.org/officeDocument/2006/relationships/diagramColors" Target="../diagrams/colors4.xml"/><Relationship Id="rId9" Type="http://schemas.openxmlformats.org/officeDocument/2006/relationships/hyperlink" Target="#ABOUT!A1"/></Relationships>
</file>

<file path=xl/drawings/_rels/drawing5.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1</xdr:col>
      <xdr:colOff>9525</xdr:colOff>
      <xdr:row>5</xdr:row>
      <xdr:rowOff>0</xdr:rowOff>
    </xdr:from>
    <xdr:to>
      <xdr:col>21</xdr:col>
      <xdr:colOff>200026</xdr:colOff>
      <xdr:row>35</xdr:row>
      <xdr:rowOff>28574</xdr:rowOff>
    </xdr:to>
    <xdr:grpSp>
      <xdr:nvGrpSpPr>
        <xdr:cNvPr id="74" name="Group 73">
          <a:extLst>
            <a:ext uri="{FF2B5EF4-FFF2-40B4-BE49-F238E27FC236}">
              <a16:creationId xmlns:a16="http://schemas.microsoft.com/office/drawing/2014/main" id="{7CED20E1-D229-9C34-329B-B7B33F5BC113}"/>
            </a:ext>
          </a:extLst>
        </xdr:cNvPr>
        <xdr:cNvGrpSpPr/>
      </xdr:nvGrpSpPr>
      <xdr:grpSpPr>
        <a:xfrm>
          <a:off x="295275" y="1190625"/>
          <a:ext cx="16954501" cy="7172324"/>
          <a:chOff x="9525" y="0"/>
          <a:chExt cx="16954501" cy="7172324"/>
        </a:xfrm>
      </xdr:grpSpPr>
      <xdr:grpSp>
        <xdr:nvGrpSpPr>
          <xdr:cNvPr id="24" name="Group 23">
            <a:extLst>
              <a:ext uri="{FF2B5EF4-FFF2-40B4-BE49-F238E27FC236}">
                <a16:creationId xmlns:a16="http://schemas.microsoft.com/office/drawing/2014/main" id="{5C7B0168-C852-BF34-83C3-645025F42D9C}"/>
              </a:ext>
            </a:extLst>
          </xdr:cNvPr>
          <xdr:cNvGrpSpPr/>
        </xdr:nvGrpSpPr>
        <xdr:grpSpPr>
          <a:xfrm>
            <a:off x="9525" y="19051"/>
            <a:ext cx="16954501" cy="7153273"/>
            <a:chOff x="-19050" y="-47624"/>
            <a:chExt cx="16954501" cy="7153273"/>
          </a:xfrm>
        </xdr:grpSpPr>
        <xdr:sp macro="" textlink="">
          <xdr:nvSpPr>
            <xdr:cNvPr id="3" name="Rectangle: Rounded Corners 2">
              <a:extLst>
                <a:ext uri="{FF2B5EF4-FFF2-40B4-BE49-F238E27FC236}">
                  <a16:creationId xmlns:a16="http://schemas.microsoft.com/office/drawing/2014/main" id="{FF8431DA-466D-93A2-E1B5-55A5CA19EB05}"/>
                </a:ext>
              </a:extLst>
            </xdr:cNvPr>
            <xdr:cNvSpPr/>
          </xdr:nvSpPr>
          <xdr:spPr>
            <a:xfrm>
              <a:off x="-19050" y="-47624"/>
              <a:ext cx="16954501" cy="7143750"/>
            </a:xfrm>
            <a:prstGeom prst="roundRect">
              <a:avLst>
                <a:gd name="adj" fmla="val 2323"/>
              </a:avLst>
            </a:prstGeom>
            <a:solidFill>
              <a:schemeClr val="tx1">
                <a:lumMod val="95000"/>
                <a:lumOff val="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C000"/>
                </a:solidFill>
              </a:endParaRPr>
            </a:p>
          </xdr:txBody>
        </xdr:sp>
        <xdr:sp macro="" textlink="">
          <xdr:nvSpPr>
            <xdr:cNvPr id="4" name="Rectangle: Rounded Corners 3">
              <a:extLst>
                <a:ext uri="{FF2B5EF4-FFF2-40B4-BE49-F238E27FC236}">
                  <a16:creationId xmlns:a16="http://schemas.microsoft.com/office/drawing/2014/main" id="{FFD89CDE-1B10-BB4B-DE8A-4A6F61724D8E}"/>
                </a:ext>
              </a:extLst>
            </xdr:cNvPr>
            <xdr:cNvSpPr/>
          </xdr:nvSpPr>
          <xdr:spPr>
            <a:xfrm>
              <a:off x="0" y="1200150"/>
              <a:ext cx="16878302" cy="5905499"/>
            </a:xfrm>
            <a:prstGeom prst="roundRect">
              <a:avLst>
                <a:gd name="adj" fmla="val 2937"/>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2" name="Rectangle 1">
            <a:extLst>
              <a:ext uri="{FF2B5EF4-FFF2-40B4-BE49-F238E27FC236}">
                <a16:creationId xmlns:a16="http://schemas.microsoft.com/office/drawing/2014/main" id="{93794045-BB92-63B4-88FF-498486170D5D}"/>
              </a:ext>
            </a:extLst>
          </xdr:cNvPr>
          <xdr:cNvSpPr/>
        </xdr:nvSpPr>
        <xdr:spPr>
          <a:xfrm>
            <a:off x="1295400" y="95250"/>
            <a:ext cx="15259050" cy="438150"/>
          </a:xfrm>
          <a:prstGeom prst="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rgbClr val="FFC000"/>
                </a:solidFill>
                <a:effectLst>
                  <a:glow rad="63500">
                    <a:schemeClr val="accent2">
                      <a:satMod val="175000"/>
                      <a:alpha val="40000"/>
                    </a:schemeClr>
                  </a:glow>
                </a:effectLst>
                <a:latin typeface="+mj-lt"/>
              </a:rPr>
              <a:t>Naxora  Retail </a:t>
            </a:r>
            <a:r>
              <a:rPr lang="en-IN" sz="2400" baseline="0">
                <a:solidFill>
                  <a:srgbClr val="FFC000"/>
                </a:solidFill>
                <a:effectLst>
                  <a:glow rad="63500">
                    <a:schemeClr val="accent2">
                      <a:satMod val="175000"/>
                      <a:alpha val="40000"/>
                    </a:schemeClr>
                  </a:glow>
                </a:effectLst>
                <a:latin typeface="+mj-lt"/>
              </a:rPr>
              <a:t> Sales Performance  &amp; MIS Dashboard</a:t>
            </a:r>
            <a:endParaRPr lang="en-IN" sz="2400">
              <a:solidFill>
                <a:srgbClr val="FFC000"/>
              </a:solidFill>
              <a:effectLst>
                <a:glow rad="63500">
                  <a:schemeClr val="accent2">
                    <a:satMod val="175000"/>
                    <a:alpha val="40000"/>
                  </a:schemeClr>
                </a:glow>
              </a:effectLst>
              <a:latin typeface="+mj-lt"/>
            </a:endParaRPr>
          </a:p>
        </xdr:txBody>
      </xdr:sp>
      <xdr:graphicFrame macro="">
        <xdr:nvGraphicFramePr>
          <xdr:cNvPr id="10" name="Diagram 9">
            <a:extLst>
              <a:ext uri="{FF2B5EF4-FFF2-40B4-BE49-F238E27FC236}">
                <a16:creationId xmlns:a16="http://schemas.microsoft.com/office/drawing/2014/main" id="{0497463B-8F72-5331-A94B-971C299DD195}"/>
              </a:ext>
            </a:extLst>
          </xdr:cNvPr>
          <xdr:cNvGraphicFramePr/>
        </xdr:nvGraphicFramePr>
        <xdr:xfrm>
          <a:off x="85726" y="0"/>
          <a:ext cx="1257300" cy="1133475"/>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E62B668D-FD24-45AA-9772-89856F7F687B}"/>
              </a:ext>
            </a:extLst>
          </xdr:cNvPr>
          <xdr:cNvSpPr/>
        </xdr:nvSpPr>
        <xdr:spPr>
          <a:xfrm>
            <a:off x="2905125" y="790575"/>
            <a:ext cx="1914525" cy="360000"/>
          </a:xfrm>
          <a:prstGeom prst="roundRect">
            <a:avLst/>
          </a:prstGeom>
          <a:solidFill>
            <a:srgbClr val="FFFFB7"/>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rgbClr val="D6A300"/>
                </a:solidFill>
                <a:latin typeface="Aptos" panose="020B0004020202020204" pitchFamily="34" charset="0"/>
              </a:rPr>
              <a:t>DASHBOARD</a:t>
            </a:r>
          </a:p>
        </xdr:txBody>
      </xdr:sp>
      <xdr:sp macro="" textlink="">
        <xdr:nvSpPr>
          <xdr:cNvPr id="16" name="Rectangle: Rounded Corners 15">
            <a:hlinkClick xmlns:r="http://schemas.openxmlformats.org/officeDocument/2006/relationships" r:id="rId7"/>
            <a:extLst>
              <a:ext uri="{FF2B5EF4-FFF2-40B4-BE49-F238E27FC236}">
                <a16:creationId xmlns:a16="http://schemas.microsoft.com/office/drawing/2014/main" id="{76563B78-390D-06BE-FF56-5A079F35BFFA}"/>
              </a:ext>
            </a:extLst>
          </xdr:cNvPr>
          <xdr:cNvSpPr/>
        </xdr:nvSpPr>
        <xdr:spPr>
          <a:xfrm>
            <a:off x="5400674" y="790575"/>
            <a:ext cx="3276601" cy="360000"/>
          </a:xfrm>
          <a:prstGeom prst="roundRect">
            <a:avLst/>
          </a:prstGeom>
          <a:no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rgbClr val="FFC000"/>
                </a:solidFill>
                <a:latin typeface="Aptos" panose="020B0004020202020204" pitchFamily="34" charset="0"/>
              </a:rPr>
              <a:t>PRODUCT</a:t>
            </a:r>
            <a:r>
              <a:rPr lang="en-IN" sz="1600" b="1" baseline="0">
                <a:solidFill>
                  <a:srgbClr val="FFC000"/>
                </a:solidFill>
                <a:latin typeface="Aptos" panose="020B0004020202020204" pitchFamily="34" charset="0"/>
              </a:rPr>
              <a:t> PERFORMANCE</a:t>
            </a:r>
            <a:endParaRPr lang="en-IN" sz="1600" b="1">
              <a:solidFill>
                <a:srgbClr val="FFC000"/>
              </a:solidFill>
              <a:latin typeface="Aptos" panose="020B0004020202020204" pitchFamily="34" charset="0"/>
            </a:endParaRPr>
          </a:p>
        </xdr:txBody>
      </xdr:sp>
      <xdr:sp macro="" textlink="">
        <xdr:nvSpPr>
          <xdr:cNvPr id="25" name="Rectangle: Rounded Corners 24">
            <a:hlinkClick xmlns:r="http://schemas.openxmlformats.org/officeDocument/2006/relationships" r:id="rId8"/>
            <a:extLst>
              <a:ext uri="{FF2B5EF4-FFF2-40B4-BE49-F238E27FC236}">
                <a16:creationId xmlns:a16="http://schemas.microsoft.com/office/drawing/2014/main" id="{0BBE7346-BA2B-1C5A-9A90-4FF8B229E826}"/>
              </a:ext>
            </a:extLst>
          </xdr:cNvPr>
          <xdr:cNvSpPr/>
        </xdr:nvSpPr>
        <xdr:spPr>
          <a:xfrm>
            <a:off x="9391649" y="781050"/>
            <a:ext cx="3219451" cy="360000"/>
          </a:xfrm>
          <a:prstGeom prst="roundRect">
            <a:avLst/>
          </a:prstGeom>
          <a:no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rgbClr val="FFC000"/>
                </a:solidFill>
                <a:latin typeface="Aptos" panose="020B0004020202020204" pitchFamily="34" charset="0"/>
              </a:rPr>
              <a:t>SALES</a:t>
            </a:r>
            <a:r>
              <a:rPr lang="en-IN" sz="1600" b="1" baseline="0">
                <a:solidFill>
                  <a:srgbClr val="FFC000"/>
                </a:solidFill>
                <a:latin typeface="Aptos" panose="020B0004020202020204" pitchFamily="34" charset="0"/>
              </a:rPr>
              <a:t> TEAM PERFORMANCE</a:t>
            </a:r>
            <a:endParaRPr lang="en-IN" sz="1600" b="1">
              <a:solidFill>
                <a:srgbClr val="FFC000"/>
              </a:solidFill>
              <a:latin typeface="Aptos" panose="020B0004020202020204" pitchFamily="34" charset="0"/>
            </a:endParaRPr>
          </a:p>
        </xdr:txBody>
      </xdr:sp>
      <xdr:sp macro="" textlink="">
        <xdr:nvSpPr>
          <xdr:cNvPr id="33" name="Rectangle: Rounded Corners 32">
            <a:hlinkClick xmlns:r="http://schemas.openxmlformats.org/officeDocument/2006/relationships" r:id="rId9"/>
            <a:extLst>
              <a:ext uri="{FF2B5EF4-FFF2-40B4-BE49-F238E27FC236}">
                <a16:creationId xmlns:a16="http://schemas.microsoft.com/office/drawing/2014/main" id="{304D3D21-5813-C5B7-547D-FD21438DA781}"/>
              </a:ext>
            </a:extLst>
          </xdr:cNvPr>
          <xdr:cNvSpPr/>
        </xdr:nvSpPr>
        <xdr:spPr>
          <a:xfrm>
            <a:off x="13287376" y="781050"/>
            <a:ext cx="2047874" cy="360000"/>
          </a:xfrm>
          <a:prstGeom prst="roundRect">
            <a:avLst/>
          </a:prstGeom>
          <a:no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rgbClr val="FFC000"/>
                </a:solidFill>
                <a:latin typeface="Aptos" panose="020B0004020202020204" pitchFamily="34" charset="0"/>
              </a:rPr>
              <a:t>ABOUT</a:t>
            </a:r>
          </a:p>
        </xdr:txBody>
      </xdr:sp>
      <xdr:sp macro="" textlink="">
        <xdr:nvSpPr>
          <xdr:cNvPr id="35" name="Rectangle: Rounded Corners 34">
            <a:extLst>
              <a:ext uri="{FF2B5EF4-FFF2-40B4-BE49-F238E27FC236}">
                <a16:creationId xmlns:a16="http://schemas.microsoft.com/office/drawing/2014/main" id="{71AD88F4-6914-4A18-B478-54C28E87C73E}"/>
              </a:ext>
            </a:extLst>
          </xdr:cNvPr>
          <xdr:cNvSpPr/>
        </xdr:nvSpPr>
        <xdr:spPr>
          <a:xfrm>
            <a:off x="314325" y="1247775"/>
            <a:ext cx="1819275" cy="333374"/>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cap="none" spc="0">
                <a:ln w="0">
                  <a:solidFill>
                    <a:schemeClr val="tx2"/>
                  </a:solidFill>
                </a:ln>
                <a:solidFill>
                  <a:srgbClr val="FFC000"/>
                </a:solidFill>
                <a:effectLst>
                  <a:outerShdw blurRad="38100" dist="25400" dir="5400000" algn="ctr" rotWithShape="0">
                    <a:srgbClr val="6E747A">
                      <a:alpha val="43000"/>
                    </a:srgbClr>
                  </a:outerShdw>
                </a:effectLst>
                <a:latin typeface="+mj-lt"/>
              </a:rPr>
              <a:t>A</a:t>
            </a:r>
            <a:r>
              <a:rPr lang="en-IN" sz="1800" b="0" cap="none" spc="0">
                <a:ln w="0">
                  <a:solidFill>
                    <a:schemeClr val="tx2"/>
                  </a:solidFill>
                </a:ln>
                <a:solidFill>
                  <a:srgbClr val="00B050"/>
                </a:solidFill>
                <a:effectLst>
                  <a:outerShdw blurRad="38100" dist="25400" dir="5400000" algn="ctr" rotWithShape="0">
                    <a:srgbClr val="6E747A">
                      <a:alpha val="43000"/>
                    </a:srgbClr>
                  </a:outerShdw>
                </a:effectLst>
                <a:latin typeface="+mj-lt"/>
              </a:rPr>
              <a:t>n</a:t>
            </a:r>
            <a:r>
              <a:rPr lang="en-IN" sz="1800" b="0" cap="none" spc="0">
                <a:ln w="0">
                  <a:solidFill>
                    <a:schemeClr val="tx2"/>
                  </a:solidFill>
                </a:ln>
                <a:solidFill>
                  <a:srgbClr val="FF0000"/>
                </a:solidFill>
                <a:effectLst>
                  <a:outerShdw blurRad="38100" dist="25400" dir="5400000" algn="ctr" rotWithShape="0">
                    <a:srgbClr val="6E747A">
                      <a:alpha val="43000"/>
                    </a:srgbClr>
                  </a:outerShdw>
                </a:effectLst>
                <a:latin typeface="+mj-lt"/>
              </a:rPr>
              <a:t>a</a:t>
            </a:r>
            <a:r>
              <a:rPr lang="en-IN" sz="1800" b="0" cap="none" spc="0">
                <a:ln w="0">
                  <a:solidFill>
                    <a:schemeClr val="tx2"/>
                  </a:solidFill>
                </a:ln>
                <a:solidFill>
                  <a:srgbClr val="FFFF00"/>
                </a:solidFill>
                <a:effectLst>
                  <a:outerShdw blurRad="38100" dist="25400" dir="5400000" algn="ctr" rotWithShape="0">
                    <a:srgbClr val="6E747A">
                      <a:alpha val="43000"/>
                    </a:srgbClr>
                  </a:outerShdw>
                </a:effectLst>
                <a:latin typeface="+mj-lt"/>
              </a:rPr>
              <a:t>l</a:t>
            </a:r>
            <a:r>
              <a:rPr lang="en-IN" sz="1800" b="0" cap="none" spc="0">
                <a:ln w="0">
                  <a:solidFill>
                    <a:schemeClr val="tx2"/>
                  </a:solidFill>
                </a:ln>
                <a:solidFill>
                  <a:srgbClr val="00B0F0"/>
                </a:solidFill>
                <a:effectLst>
                  <a:outerShdw blurRad="38100" dist="25400" dir="5400000" algn="ctr" rotWithShape="0">
                    <a:srgbClr val="6E747A">
                      <a:alpha val="43000"/>
                    </a:srgbClr>
                  </a:outerShdw>
                </a:effectLst>
                <a:latin typeface="+mj-lt"/>
              </a:rPr>
              <a:t>y</a:t>
            </a:r>
            <a:r>
              <a:rPr lang="en-IN" sz="1800" b="0" cap="none" spc="0">
                <a:ln w="0">
                  <a:solidFill>
                    <a:schemeClr val="tx2"/>
                  </a:solidFill>
                </a:ln>
                <a:solidFill>
                  <a:srgbClr val="002060"/>
                </a:solidFill>
                <a:effectLst>
                  <a:outerShdw blurRad="38100" dist="25400" dir="5400000" algn="ctr" rotWithShape="0">
                    <a:srgbClr val="6E747A">
                      <a:alpha val="43000"/>
                    </a:srgbClr>
                  </a:outerShdw>
                </a:effectLst>
                <a:latin typeface="+mj-lt"/>
              </a:rPr>
              <a:t>t</a:t>
            </a:r>
            <a:r>
              <a:rPr lang="en-IN" sz="1800" b="0" cap="none" spc="0">
                <a:ln w="0">
                  <a:solidFill>
                    <a:srgbClr val="00F0EA"/>
                  </a:solidFill>
                </a:ln>
                <a:solidFill>
                  <a:srgbClr val="C00000"/>
                </a:solidFill>
                <a:effectLst>
                  <a:outerShdw blurRad="38100" dist="25400" dir="5400000" algn="ctr" rotWithShape="0">
                    <a:srgbClr val="6E747A">
                      <a:alpha val="43000"/>
                    </a:srgbClr>
                  </a:outerShdw>
                </a:effectLst>
                <a:latin typeface="+mj-lt"/>
              </a:rPr>
              <a:t>i</a:t>
            </a:r>
            <a:r>
              <a:rPr lang="en-IN" sz="1800" b="0" cap="none" spc="0">
                <a:ln w="0">
                  <a:solidFill>
                    <a:srgbClr val="7030A0"/>
                  </a:solidFill>
                </a:ln>
                <a:solidFill>
                  <a:srgbClr val="C00000"/>
                </a:solidFill>
                <a:effectLst>
                  <a:outerShdw blurRad="38100" dist="25400" dir="5400000" algn="ctr" rotWithShape="0">
                    <a:srgbClr val="6E747A">
                      <a:alpha val="43000"/>
                    </a:srgbClr>
                  </a:outerShdw>
                </a:effectLst>
                <a:latin typeface="+mj-lt"/>
              </a:rPr>
              <a:t>c</a:t>
            </a:r>
            <a:r>
              <a:rPr lang="en-IN" sz="1800" b="0" cap="none" spc="0">
                <a:ln w="0">
                  <a:solidFill>
                    <a:schemeClr val="tx2"/>
                  </a:solidFill>
                </a:ln>
                <a:solidFill>
                  <a:schemeClr val="accent2">
                    <a:lumMod val="75000"/>
                  </a:schemeClr>
                </a:solidFill>
                <a:effectLst>
                  <a:outerShdw blurRad="38100" dist="25400" dir="5400000" algn="ctr" rotWithShape="0">
                    <a:srgbClr val="6E747A">
                      <a:alpha val="43000"/>
                    </a:srgbClr>
                  </a:outerShdw>
                </a:effectLst>
                <a:latin typeface="+mj-lt"/>
              </a:rPr>
              <a:t>s</a:t>
            </a:r>
            <a:endParaRPr lang="en-IN" sz="2000" b="1" cap="none" spc="0">
              <a:ln w="0">
                <a:solidFill>
                  <a:schemeClr val="tx2"/>
                </a:solidFill>
              </a:ln>
              <a:solidFill>
                <a:schemeClr val="accent2">
                  <a:lumMod val="75000"/>
                </a:schemeClr>
              </a:solidFill>
              <a:effectLst>
                <a:outerShdw blurRad="38100" dist="25400" dir="5400000" algn="ctr" rotWithShape="0">
                  <a:srgbClr val="6E747A">
                    <a:alpha val="43000"/>
                  </a:srgbClr>
                </a:outerShdw>
              </a:effectLst>
              <a:latin typeface="+mj-lt"/>
            </a:endParaRPr>
          </a:p>
        </xdr:txBody>
      </xdr:sp>
      <xdr:pic>
        <xdr:nvPicPr>
          <xdr:cNvPr id="37" name="Graphic 36" descr="Statistics with solid fill">
            <a:extLst>
              <a:ext uri="{FF2B5EF4-FFF2-40B4-BE49-F238E27FC236}">
                <a16:creationId xmlns:a16="http://schemas.microsoft.com/office/drawing/2014/main" id="{E3E9B6C8-E3CD-A86E-0D57-2E6F7E30DD9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52425" y="1250041"/>
            <a:ext cx="409575" cy="350158"/>
          </a:xfrm>
          <a:prstGeom prst="rect">
            <a:avLst/>
          </a:prstGeom>
          <a:ln>
            <a:noFill/>
          </a:ln>
          <a:effectLst>
            <a:outerShdw blurRad="44450" dist="27940" dir="5400000" algn="ctr">
              <a:srgbClr val="000000">
                <a:alpha val="32000"/>
              </a:srgbClr>
            </a:outerShdw>
          </a:effectLst>
        </xdr:spPr>
      </xdr:pic>
      <xdr:sp macro="" textlink="">
        <xdr:nvSpPr>
          <xdr:cNvPr id="59" name="TextBox 58">
            <a:extLst>
              <a:ext uri="{FF2B5EF4-FFF2-40B4-BE49-F238E27FC236}">
                <a16:creationId xmlns:a16="http://schemas.microsoft.com/office/drawing/2014/main" id="{92B311E0-FC7D-CD71-814E-F0CEA0AABC7B}"/>
              </a:ext>
            </a:extLst>
          </xdr:cNvPr>
          <xdr:cNvSpPr txBox="1"/>
        </xdr:nvSpPr>
        <xdr:spPr>
          <a:xfrm>
            <a:off x="13630275" y="2324100"/>
            <a:ext cx="2324101" cy="209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r>
              <a:rPr lang="en-IN" sz="1200" b="1" i="0" baseline="0">
                <a:solidFill>
                  <a:schemeClr val="tx1"/>
                </a:solidFill>
                <a:latin typeface="+mn-lt"/>
              </a:rPr>
              <a:t>+14.7% above target</a:t>
            </a:r>
            <a:endParaRPr lang="en-IN" sz="1200" b="1" i="0">
              <a:solidFill>
                <a:schemeClr val="tx1"/>
              </a:solidFill>
              <a:latin typeface="+mn-lt"/>
            </a:endParaRPr>
          </a:p>
        </xdr:txBody>
      </xdr:sp>
      <xdr:grpSp>
        <xdr:nvGrpSpPr>
          <xdr:cNvPr id="39" name="Group 38">
            <a:extLst>
              <a:ext uri="{FF2B5EF4-FFF2-40B4-BE49-F238E27FC236}">
                <a16:creationId xmlns:a16="http://schemas.microsoft.com/office/drawing/2014/main" id="{A0F92453-F6D0-8590-8B1F-E5D4B46F480B}"/>
              </a:ext>
            </a:extLst>
          </xdr:cNvPr>
          <xdr:cNvGrpSpPr/>
        </xdr:nvGrpSpPr>
        <xdr:grpSpPr>
          <a:xfrm>
            <a:off x="266699" y="1609725"/>
            <a:ext cx="15697200" cy="1066800"/>
            <a:chOff x="266699" y="1609725"/>
            <a:chExt cx="15697200" cy="1066800"/>
          </a:xfrm>
        </xdr:grpSpPr>
        <xdr:grpSp>
          <xdr:nvGrpSpPr>
            <xdr:cNvPr id="31" name="Group 30">
              <a:extLst>
                <a:ext uri="{FF2B5EF4-FFF2-40B4-BE49-F238E27FC236}">
                  <a16:creationId xmlns:a16="http://schemas.microsoft.com/office/drawing/2014/main" id="{999722DA-77FF-B709-9492-C2C6BB4AE75F}"/>
                </a:ext>
              </a:extLst>
            </xdr:cNvPr>
            <xdr:cNvGrpSpPr/>
          </xdr:nvGrpSpPr>
          <xdr:grpSpPr>
            <a:xfrm>
              <a:off x="266699" y="1609725"/>
              <a:ext cx="2543175" cy="1009650"/>
              <a:chOff x="266699" y="1609725"/>
              <a:chExt cx="2543175" cy="1009650"/>
            </a:xfrm>
          </xdr:grpSpPr>
          <xdr:grpSp>
            <xdr:nvGrpSpPr>
              <xdr:cNvPr id="29" name="Group 28">
                <a:extLst>
                  <a:ext uri="{FF2B5EF4-FFF2-40B4-BE49-F238E27FC236}">
                    <a16:creationId xmlns:a16="http://schemas.microsoft.com/office/drawing/2014/main" id="{4E51A8E9-FCD5-D087-DEFA-7C0DB3C30726}"/>
                  </a:ext>
                </a:extLst>
              </xdr:cNvPr>
              <xdr:cNvGrpSpPr/>
            </xdr:nvGrpSpPr>
            <xdr:grpSpPr>
              <a:xfrm>
                <a:off x="266699" y="1609725"/>
                <a:ext cx="2543175" cy="1009650"/>
                <a:chOff x="266699" y="1609725"/>
                <a:chExt cx="2543175" cy="1009650"/>
              </a:xfrm>
            </xdr:grpSpPr>
            <xdr:sp macro="" textlink="'PT_DASHBOARD (KPI &amp; Reports)'!B5">
              <xdr:nvSpPr>
                <xdr:cNvPr id="43" name="Rectangle: Rounded Corners 42">
                  <a:extLst>
                    <a:ext uri="{FF2B5EF4-FFF2-40B4-BE49-F238E27FC236}">
                      <a16:creationId xmlns:a16="http://schemas.microsoft.com/office/drawing/2014/main" id="{F1001731-1F9B-8F70-AB60-B700EAE1EF9E}"/>
                    </a:ext>
                  </a:extLst>
                </xdr:cNvPr>
                <xdr:cNvSpPr/>
              </xdr:nvSpPr>
              <xdr:spPr>
                <a:xfrm>
                  <a:off x="266699" y="1609725"/>
                  <a:ext cx="2543175" cy="100965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EA53958D-66C3-4DCC-BE50-990A792C692B}" type="TxLink">
                    <a:rPr lang="en-US" sz="1600" b="1" i="0" u="none" strike="noStrike">
                      <a:solidFill>
                        <a:srgbClr val="002060"/>
                      </a:solidFill>
                      <a:latin typeface="+mj-lt"/>
                    </a:rPr>
                    <a:pPr algn="r"/>
                    <a:t>₹ 79,44,646.70</a:t>
                  </a:fld>
                  <a:endParaRPr lang="en-IN" sz="1200" b="1">
                    <a:solidFill>
                      <a:srgbClr val="002060"/>
                    </a:solidFill>
                    <a:latin typeface="+mj-lt"/>
                  </a:endParaRPr>
                </a:p>
              </xdr:txBody>
            </xdr:sp>
            <xdr:sp macro="" textlink="">
              <xdr:nvSpPr>
                <xdr:cNvPr id="44" name="TextBox 43">
                  <a:extLst>
                    <a:ext uri="{FF2B5EF4-FFF2-40B4-BE49-F238E27FC236}">
                      <a16:creationId xmlns:a16="http://schemas.microsoft.com/office/drawing/2014/main" id="{580EE746-1165-4B21-B060-8E3169F79A97}"/>
                    </a:ext>
                  </a:extLst>
                </xdr:cNvPr>
                <xdr:cNvSpPr txBox="1"/>
              </xdr:nvSpPr>
              <xdr:spPr>
                <a:xfrm>
                  <a:off x="857250" y="1657349"/>
                  <a:ext cx="1895475" cy="25560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r>
                    <a:rPr lang="en-IN" sz="1600" b="1">
                      <a:solidFill>
                        <a:schemeClr val="accent1">
                          <a:lumMod val="50000"/>
                        </a:schemeClr>
                      </a:solidFill>
                      <a:latin typeface="Aptos" panose="020B0004020202020204" pitchFamily="34" charset="0"/>
                    </a:rPr>
                    <a:t>TOTAL</a:t>
                  </a:r>
                  <a:r>
                    <a:rPr lang="en-IN" sz="1600" b="1" baseline="0">
                      <a:solidFill>
                        <a:schemeClr val="accent1">
                          <a:lumMod val="50000"/>
                        </a:schemeClr>
                      </a:solidFill>
                      <a:latin typeface="Aptos" panose="020B0004020202020204" pitchFamily="34" charset="0"/>
                    </a:rPr>
                    <a:t>  NET SALES</a:t>
                  </a:r>
                  <a:endParaRPr lang="en-IN" sz="1600" b="1">
                    <a:solidFill>
                      <a:schemeClr val="accent1">
                        <a:lumMod val="50000"/>
                      </a:schemeClr>
                    </a:solidFill>
                    <a:latin typeface="Aptos" panose="020B0004020202020204" pitchFamily="34" charset="0"/>
                  </a:endParaRPr>
                </a:p>
              </xdr:txBody>
            </xdr:sp>
          </xdr:grpSp>
          <xdr:pic>
            <xdr:nvPicPr>
              <xdr:cNvPr id="46" name="Graphic 45" descr="Money with solid fill">
                <a:extLst>
                  <a:ext uri="{FF2B5EF4-FFF2-40B4-BE49-F238E27FC236}">
                    <a16:creationId xmlns:a16="http://schemas.microsoft.com/office/drawing/2014/main" id="{18D8C8CB-3D44-C27B-7ABC-5A5D1AD7C18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95275" y="1876425"/>
                <a:ext cx="584354" cy="723900"/>
              </a:xfrm>
              <a:prstGeom prst="rect">
                <a:avLst/>
              </a:prstGeom>
            </xdr:spPr>
          </xdr:pic>
        </xdr:grpSp>
        <xdr:sp macro="" textlink="'PT_DASHBOARD (KPI &amp; Reports)'!V5">
          <xdr:nvSpPr>
            <xdr:cNvPr id="51" name="Rectangle: Rounded Corners 50">
              <a:extLst>
                <a:ext uri="{FF2B5EF4-FFF2-40B4-BE49-F238E27FC236}">
                  <a16:creationId xmlns:a16="http://schemas.microsoft.com/office/drawing/2014/main" id="{E138D490-4D71-686F-D263-58943FF9B746}"/>
                </a:ext>
              </a:extLst>
            </xdr:cNvPr>
            <xdr:cNvSpPr/>
          </xdr:nvSpPr>
          <xdr:spPr>
            <a:xfrm>
              <a:off x="10132217" y="1609725"/>
              <a:ext cx="2543175" cy="100965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439EF154-E993-4629-B08D-9E2AA343AF8D}" type="TxLink">
                <a:rPr lang="en-US" sz="1600" b="1" i="0" u="none" strike="noStrike">
                  <a:solidFill>
                    <a:schemeClr val="accent1">
                      <a:lumMod val="50000"/>
                    </a:schemeClr>
                  </a:solidFill>
                  <a:latin typeface="Aptos Narrow"/>
                  <a:ea typeface="+mn-ea"/>
                  <a:cs typeface="+mn-cs"/>
                </a:rPr>
                <a:pPr marL="0" indent="0" algn="r"/>
                <a:t>27.03%</a:t>
              </a:fld>
              <a:endParaRPr lang="en-IN" sz="1600" b="1" i="0" u="none" strike="noStrike">
                <a:solidFill>
                  <a:schemeClr val="accent1">
                    <a:lumMod val="50000"/>
                  </a:schemeClr>
                </a:solidFill>
                <a:latin typeface="Aptos Narrow"/>
                <a:ea typeface="+mn-ea"/>
                <a:cs typeface="+mn-cs"/>
              </a:endParaRPr>
            </a:p>
          </xdr:txBody>
        </xdr:sp>
        <xdr:grpSp>
          <xdr:nvGrpSpPr>
            <xdr:cNvPr id="34" name="Group 33">
              <a:extLst>
                <a:ext uri="{FF2B5EF4-FFF2-40B4-BE49-F238E27FC236}">
                  <a16:creationId xmlns:a16="http://schemas.microsoft.com/office/drawing/2014/main" id="{DCDAF91B-AE0F-127C-949E-AB17C2502CD7}"/>
                </a:ext>
              </a:extLst>
            </xdr:cNvPr>
            <xdr:cNvGrpSpPr/>
          </xdr:nvGrpSpPr>
          <xdr:grpSpPr>
            <a:xfrm>
              <a:off x="6843711" y="1609725"/>
              <a:ext cx="2543175" cy="1066800"/>
              <a:chOff x="6843711" y="1609725"/>
              <a:chExt cx="2543175" cy="1066800"/>
            </a:xfrm>
          </xdr:grpSpPr>
          <xdr:sp macro="" textlink="'PT_DASHBOARD (KPI &amp; Reports)'!T6">
            <xdr:nvSpPr>
              <xdr:cNvPr id="50" name="Rectangle: Rounded Corners 49">
                <a:extLst>
                  <a:ext uri="{FF2B5EF4-FFF2-40B4-BE49-F238E27FC236}">
                    <a16:creationId xmlns:a16="http://schemas.microsoft.com/office/drawing/2014/main" id="{B3BE674A-1B49-E810-227F-2B8F70725EEA}"/>
                  </a:ext>
                </a:extLst>
              </xdr:cNvPr>
              <xdr:cNvSpPr/>
            </xdr:nvSpPr>
            <xdr:spPr>
              <a:xfrm>
                <a:off x="6843711" y="1609725"/>
                <a:ext cx="2543175" cy="100965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FBEED427-51A7-4BC3-85F4-F49FA09AEE53}" type="TxLink">
                  <a:rPr lang="en-US" sz="1600" b="1" i="0" u="none" strike="noStrike">
                    <a:solidFill>
                      <a:srgbClr val="000000"/>
                    </a:solidFill>
                    <a:latin typeface="+mj-lt"/>
                    <a:ea typeface="+mn-ea"/>
                    <a:cs typeface="+mn-cs"/>
                  </a:rPr>
                  <a:pPr marL="0" indent="0" algn="r"/>
                  <a:t>₹ 21,47,316.70</a:t>
                </a:fld>
                <a:endParaRPr lang="en-IN" sz="2000" b="1" i="0" u="none" strike="noStrike">
                  <a:solidFill>
                    <a:schemeClr val="accent1">
                      <a:lumMod val="50000"/>
                    </a:schemeClr>
                  </a:solidFill>
                  <a:latin typeface="+mj-lt"/>
                  <a:ea typeface="+mn-ea"/>
                  <a:cs typeface="+mn-cs"/>
                </a:endParaRPr>
              </a:p>
            </xdr:txBody>
          </xdr:sp>
          <xdr:sp macro="" textlink="">
            <xdr:nvSpPr>
              <xdr:cNvPr id="54" name="TextBox 53">
                <a:extLst>
                  <a:ext uri="{FF2B5EF4-FFF2-40B4-BE49-F238E27FC236}">
                    <a16:creationId xmlns:a16="http://schemas.microsoft.com/office/drawing/2014/main" id="{6AD97277-E265-F602-36A4-730BCD94BAC9}"/>
                  </a:ext>
                </a:extLst>
              </xdr:cNvPr>
              <xdr:cNvSpPr txBox="1"/>
            </xdr:nvSpPr>
            <xdr:spPr>
              <a:xfrm>
                <a:off x="7410451" y="1666874"/>
                <a:ext cx="1924050" cy="25560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r>
                  <a:rPr lang="en-IN" sz="1600" b="1">
                    <a:solidFill>
                      <a:schemeClr val="accent1">
                        <a:lumMod val="50000"/>
                      </a:schemeClr>
                    </a:solidFill>
                    <a:latin typeface="Aptos" panose="020B0004020202020204" pitchFamily="34" charset="0"/>
                  </a:rPr>
                  <a:t>TOTAL</a:t>
                </a:r>
                <a:r>
                  <a:rPr lang="en-IN" sz="1600" b="1" baseline="0">
                    <a:solidFill>
                      <a:schemeClr val="accent1">
                        <a:lumMod val="50000"/>
                      </a:schemeClr>
                    </a:solidFill>
                    <a:latin typeface="Aptos" panose="020B0004020202020204" pitchFamily="34" charset="0"/>
                  </a:rPr>
                  <a:t>  PROFIT</a:t>
                </a:r>
                <a:endParaRPr lang="en-IN" sz="1600" b="1">
                  <a:solidFill>
                    <a:schemeClr val="accent1">
                      <a:lumMod val="50000"/>
                    </a:schemeClr>
                  </a:solidFill>
                  <a:latin typeface="Aptos" panose="020B0004020202020204" pitchFamily="34" charset="0"/>
                </a:endParaRPr>
              </a:p>
            </xdr:txBody>
          </xdr:sp>
          <xdr:pic>
            <xdr:nvPicPr>
              <xdr:cNvPr id="61" name="Graphic 60" descr="Coins with solid fill">
                <a:extLst>
                  <a:ext uri="{FF2B5EF4-FFF2-40B4-BE49-F238E27FC236}">
                    <a16:creationId xmlns:a16="http://schemas.microsoft.com/office/drawing/2014/main" id="{961E7691-84AF-3A6B-D5BC-5B014DA04B4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848474" y="1885950"/>
                <a:ext cx="648449" cy="790575"/>
              </a:xfrm>
              <a:prstGeom prst="rect">
                <a:avLst/>
              </a:prstGeom>
            </xdr:spPr>
          </xdr:pic>
        </xdr:grpSp>
        <xdr:grpSp>
          <xdr:nvGrpSpPr>
            <xdr:cNvPr id="38" name="Group 37">
              <a:extLst>
                <a:ext uri="{FF2B5EF4-FFF2-40B4-BE49-F238E27FC236}">
                  <a16:creationId xmlns:a16="http://schemas.microsoft.com/office/drawing/2014/main" id="{F34224E5-233C-594F-11D8-9B3DEDCFFAF4}"/>
                </a:ext>
              </a:extLst>
            </xdr:cNvPr>
            <xdr:cNvGrpSpPr/>
          </xdr:nvGrpSpPr>
          <xdr:grpSpPr>
            <a:xfrm>
              <a:off x="13420724" y="1609725"/>
              <a:ext cx="2543175" cy="1009650"/>
              <a:chOff x="13420724" y="1609725"/>
              <a:chExt cx="2543175" cy="1009650"/>
            </a:xfrm>
          </xdr:grpSpPr>
          <xdr:sp macro="" textlink="'PT_DASHBOARD (KPI &amp; Reports)'!V16">
            <xdr:nvSpPr>
              <xdr:cNvPr id="52" name="Rectangle: Rounded Corners 51">
                <a:extLst>
                  <a:ext uri="{FF2B5EF4-FFF2-40B4-BE49-F238E27FC236}">
                    <a16:creationId xmlns:a16="http://schemas.microsoft.com/office/drawing/2014/main" id="{0B948F5C-E4FE-A431-E73F-5FFA20A079ED}"/>
                  </a:ext>
                </a:extLst>
              </xdr:cNvPr>
              <xdr:cNvSpPr/>
            </xdr:nvSpPr>
            <xdr:spPr>
              <a:xfrm>
                <a:off x="13420724" y="1609725"/>
                <a:ext cx="2543175" cy="100965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BC7F967A-145D-4436-B319-576547EFDA40}" type="TxLink">
                  <a:rPr lang="en-US" sz="1600" b="1" i="0" u="none" strike="noStrike">
                    <a:solidFill>
                      <a:schemeClr val="accent1">
                        <a:lumMod val="50000"/>
                      </a:schemeClr>
                    </a:solidFill>
                    <a:latin typeface="Aptos Narrow"/>
                    <a:ea typeface="+mn-ea"/>
                    <a:cs typeface="+mn-cs"/>
                  </a:rPr>
                  <a:pPr marL="0" indent="0" algn="r"/>
                  <a:t>100.31%</a:t>
                </a:fld>
                <a:endParaRPr lang="en-IN" sz="1600" b="1" i="0" u="none" strike="noStrike">
                  <a:solidFill>
                    <a:schemeClr val="accent1">
                      <a:lumMod val="50000"/>
                    </a:schemeClr>
                  </a:solidFill>
                  <a:latin typeface="Aptos Narrow"/>
                  <a:ea typeface="+mn-ea"/>
                  <a:cs typeface="+mn-cs"/>
                </a:endParaRPr>
              </a:p>
            </xdr:txBody>
          </xdr:sp>
          <xdr:sp macro="" textlink="">
            <xdr:nvSpPr>
              <xdr:cNvPr id="58" name="TextBox 57">
                <a:extLst>
                  <a:ext uri="{FF2B5EF4-FFF2-40B4-BE49-F238E27FC236}">
                    <a16:creationId xmlns:a16="http://schemas.microsoft.com/office/drawing/2014/main" id="{F3C282A0-9574-359D-EA60-5E7D6247B3F0}"/>
                  </a:ext>
                </a:extLst>
              </xdr:cNvPr>
              <xdr:cNvSpPr txBox="1"/>
            </xdr:nvSpPr>
            <xdr:spPr>
              <a:xfrm>
                <a:off x="13515976" y="1666874"/>
                <a:ext cx="2381250" cy="25560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r>
                  <a:rPr lang="en-IN" sz="1600" b="1" baseline="0">
                    <a:solidFill>
                      <a:schemeClr val="accent1">
                        <a:lumMod val="50000"/>
                      </a:schemeClr>
                    </a:solidFill>
                    <a:latin typeface="Aptos" panose="020B0004020202020204" pitchFamily="34" charset="0"/>
                  </a:rPr>
                  <a:t>TARGET ACHIEVEMENT</a:t>
                </a:r>
                <a:endParaRPr lang="en-IN" sz="1600" b="1">
                  <a:solidFill>
                    <a:schemeClr val="accent1">
                      <a:lumMod val="50000"/>
                    </a:schemeClr>
                  </a:solidFill>
                  <a:latin typeface="Aptos" panose="020B0004020202020204" pitchFamily="34" charset="0"/>
                </a:endParaRPr>
              </a:p>
            </xdr:txBody>
          </xdr:sp>
          <xdr:pic>
            <xdr:nvPicPr>
              <xdr:cNvPr id="63" name="Graphic 62" descr="Bullseye with solid fill">
                <a:extLst>
                  <a:ext uri="{FF2B5EF4-FFF2-40B4-BE49-F238E27FC236}">
                    <a16:creationId xmlns:a16="http://schemas.microsoft.com/office/drawing/2014/main" id="{AECB8849-D327-5BE2-FF50-299B30CE08A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3420724" y="1981200"/>
                <a:ext cx="638175" cy="638175"/>
              </a:xfrm>
              <a:prstGeom prst="rect">
                <a:avLst/>
              </a:prstGeom>
            </xdr:spPr>
          </xdr:pic>
          <xdr:sp macro="" textlink="">
            <xdr:nvSpPr>
              <xdr:cNvPr id="7" name="TextBox 6">
                <a:extLst>
                  <a:ext uri="{FF2B5EF4-FFF2-40B4-BE49-F238E27FC236}">
                    <a16:creationId xmlns:a16="http://schemas.microsoft.com/office/drawing/2014/main" id="{ED8408BC-A09A-4405-F573-FA1C822ED782}"/>
                  </a:ext>
                </a:extLst>
              </xdr:cNvPr>
              <xdr:cNvSpPr txBox="1"/>
            </xdr:nvSpPr>
            <xdr:spPr>
              <a:xfrm>
                <a:off x="14211300" y="2285999"/>
                <a:ext cx="1743076" cy="2556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r>
                  <a:rPr lang="en-IN" sz="1100" b="1" baseline="0">
                    <a:solidFill>
                      <a:schemeClr val="accent1">
                        <a:lumMod val="50000"/>
                      </a:schemeClr>
                    </a:solidFill>
                    <a:latin typeface="Aptos" panose="020B0004020202020204" pitchFamily="34" charset="0"/>
                  </a:rPr>
                  <a:t>+0.31 % above target</a:t>
                </a:r>
                <a:endParaRPr lang="en-IN" sz="1100" b="1">
                  <a:solidFill>
                    <a:schemeClr val="accent1">
                      <a:lumMod val="50000"/>
                    </a:schemeClr>
                  </a:solidFill>
                  <a:latin typeface="Aptos" panose="020B0004020202020204" pitchFamily="34" charset="0"/>
                </a:endParaRPr>
              </a:p>
            </xdr:txBody>
          </xdr:sp>
        </xdr:grpSp>
        <xdr:grpSp>
          <xdr:nvGrpSpPr>
            <xdr:cNvPr id="32" name="Group 31">
              <a:extLst>
                <a:ext uri="{FF2B5EF4-FFF2-40B4-BE49-F238E27FC236}">
                  <a16:creationId xmlns:a16="http://schemas.microsoft.com/office/drawing/2014/main" id="{5C0F64E5-68C8-36F6-DF78-A3DC8F9896B2}"/>
                </a:ext>
              </a:extLst>
            </xdr:cNvPr>
            <xdr:cNvGrpSpPr/>
          </xdr:nvGrpSpPr>
          <xdr:grpSpPr>
            <a:xfrm>
              <a:off x="3505200" y="1609725"/>
              <a:ext cx="2593180" cy="1009650"/>
              <a:chOff x="3505200" y="1609725"/>
              <a:chExt cx="2593180" cy="1009650"/>
            </a:xfrm>
          </xdr:grpSpPr>
          <xdr:sp macro="" textlink="'PT_DASHBOARD (KPI &amp; Reports)'!C5">
            <xdr:nvSpPr>
              <xdr:cNvPr id="49" name="Rectangle: Rounded Corners 48">
                <a:extLst>
                  <a:ext uri="{FF2B5EF4-FFF2-40B4-BE49-F238E27FC236}">
                    <a16:creationId xmlns:a16="http://schemas.microsoft.com/office/drawing/2014/main" id="{29F2EBCA-8351-5B44-42D3-8156BE1E64C8}"/>
                  </a:ext>
                </a:extLst>
              </xdr:cNvPr>
              <xdr:cNvSpPr/>
            </xdr:nvSpPr>
            <xdr:spPr>
              <a:xfrm>
                <a:off x="3555205" y="1609725"/>
                <a:ext cx="2543175" cy="100965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9776E651-5DA8-4F4D-8100-A206461AC1B6}" type="TxLink">
                  <a:rPr lang="en-US" sz="1600" b="1" i="0" u="none" strike="noStrike">
                    <a:solidFill>
                      <a:schemeClr val="accent1">
                        <a:lumMod val="50000"/>
                      </a:schemeClr>
                    </a:solidFill>
                    <a:latin typeface="+mj-lt"/>
                    <a:ea typeface="+mn-ea"/>
                    <a:cs typeface="+mn-cs"/>
                  </a:rPr>
                  <a:pPr marL="0" indent="0" algn="r"/>
                  <a:t>8572.00</a:t>
                </a:fld>
                <a:endParaRPr lang="en-IN" sz="1600" b="1" i="0" u="none" strike="noStrike">
                  <a:solidFill>
                    <a:schemeClr val="accent1">
                      <a:lumMod val="50000"/>
                    </a:schemeClr>
                  </a:solidFill>
                  <a:latin typeface="+mj-lt"/>
                  <a:ea typeface="+mn-ea"/>
                  <a:cs typeface="+mn-cs"/>
                </a:endParaRPr>
              </a:p>
            </xdr:txBody>
          </xdr:sp>
          <xdr:sp macro="" textlink="">
            <xdr:nvSpPr>
              <xdr:cNvPr id="53" name="TextBox 52">
                <a:extLst>
                  <a:ext uri="{FF2B5EF4-FFF2-40B4-BE49-F238E27FC236}">
                    <a16:creationId xmlns:a16="http://schemas.microsoft.com/office/drawing/2014/main" id="{22438CF5-6A85-EA65-1C88-7238DD278599}"/>
                  </a:ext>
                </a:extLst>
              </xdr:cNvPr>
              <xdr:cNvSpPr txBox="1"/>
            </xdr:nvSpPr>
            <xdr:spPr>
              <a:xfrm>
                <a:off x="4171950" y="1676400"/>
                <a:ext cx="1866901" cy="257176"/>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r>
                  <a:rPr lang="en-IN" sz="1600" b="1">
                    <a:solidFill>
                      <a:schemeClr val="accent1">
                        <a:lumMod val="50000"/>
                      </a:schemeClr>
                    </a:solidFill>
                    <a:latin typeface="Aptos" panose="020B0004020202020204" pitchFamily="34" charset="0"/>
                  </a:rPr>
                  <a:t>TOTAL</a:t>
                </a:r>
                <a:r>
                  <a:rPr lang="en-IN" sz="1600" b="1" baseline="0">
                    <a:solidFill>
                      <a:schemeClr val="accent1">
                        <a:lumMod val="50000"/>
                      </a:schemeClr>
                    </a:solidFill>
                    <a:latin typeface="Aptos" panose="020B0004020202020204" pitchFamily="34" charset="0"/>
                  </a:rPr>
                  <a:t>  QUANTITY</a:t>
                </a:r>
                <a:endParaRPr lang="en-IN" sz="1600" b="1">
                  <a:solidFill>
                    <a:schemeClr val="accent1">
                      <a:lumMod val="50000"/>
                    </a:schemeClr>
                  </a:solidFill>
                  <a:latin typeface="Aptos" panose="020B0004020202020204" pitchFamily="34" charset="0"/>
                </a:endParaRPr>
              </a:p>
            </xdr:txBody>
          </xdr:sp>
          <xdr:pic>
            <xdr:nvPicPr>
              <xdr:cNvPr id="67" name="Graphic 66" descr="Shopping cart with solid fill">
                <a:extLst>
                  <a:ext uri="{FF2B5EF4-FFF2-40B4-BE49-F238E27FC236}">
                    <a16:creationId xmlns:a16="http://schemas.microsoft.com/office/drawing/2014/main" id="{B04634D3-7169-EF31-D2DB-6FD2BBE19B8B}"/>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505200" y="1857375"/>
                <a:ext cx="742950" cy="742950"/>
              </a:xfrm>
              <a:prstGeom prst="rect">
                <a:avLst/>
              </a:prstGeom>
            </xdr:spPr>
          </xdr:pic>
        </xdr:grpSp>
      </xdr:grpSp>
      <xdr:grpSp>
        <xdr:nvGrpSpPr>
          <xdr:cNvPr id="36" name="Group 35">
            <a:extLst>
              <a:ext uri="{FF2B5EF4-FFF2-40B4-BE49-F238E27FC236}">
                <a16:creationId xmlns:a16="http://schemas.microsoft.com/office/drawing/2014/main" id="{EFFB0015-5536-AE93-C139-76B4B294A943}"/>
              </a:ext>
            </a:extLst>
          </xdr:cNvPr>
          <xdr:cNvGrpSpPr/>
        </xdr:nvGrpSpPr>
        <xdr:grpSpPr>
          <a:xfrm>
            <a:off x="10096500" y="1666874"/>
            <a:ext cx="2495550" cy="952500"/>
            <a:chOff x="10096500" y="1666874"/>
            <a:chExt cx="2495550" cy="952500"/>
          </a:xfrm>
        </xdr:grpSpPr>
        <xdr:sp macro="" textlink="">
          <xdr:nvSpPr>
            <xdr:cNvPr id="57" name="TextBox 56">
              <a:extLst>
                <a:ext uri="{FF2B5EF4-FFF2-40B4-BE49-F238E27FC236}">
                  <a16:creationId xmlns:a16="http://schemas.microsoft.com/office/drawing/2014/main" id="{7235132B-FFCF-8BC8-27A8-489757C3D57A}"/>
                </a:ext>
              </a:extLst>
            </xdr:cNvPr>
            <xdr:cNvSpPr txBox="1"/>
          </xdr:nvSpPr>
          <xdr:spPr>
            <a:xfrm>
              <a:off x="10677525" y="1666874"/>
              <a:ext cx="1914525" cy="25560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r>
                <a:rPr lang="en-IN" sz="1600" b="1" baseline="0">
                  <a:solidFill>
                    <a:schemeClr val="accent1">
                      <a:lumMod val="50000"/>
                    </a:schemeClr>
                  </a:solidFill>
                  <a:latin typeface="Aptos" panose="020B0004020202020204" pitchFamily="34" charset="0"/>
                </a:rPr>
                <a:t>  PROFIT MARGIN</a:t>
              </a:r>
              <a:endParaRPr lang="en-IN" sz="1600" b="1">
                <a:solidFill>
                  <a:schemeClr val="accent1">
                    <a:lumMod val="50000"/>
                  </a:schemeClr>
                </a:solidFill>
                <a:latin typeface="Aptos" panose="020B0004020202020204" pitchFamily="34" charset="0"/>
              </a:endParaRPr>
            </a:p>
          </xdr:txBody>
        </xdr:sp>
        <xdr:pic>
          <xdr:nvPicPr>
            <xdr:cNvPr id="69" name="Graphic 68" descr="Database with solid fill">
              <a:extLst>
                <a:ext uri="{FF2B5EF4-FFF2-40B4-BE49-F238E27FC236}">
                  <a16:creationId xmlns:a16="http://schemas.microsoft.com/office/drawing/2014/main" id="{82D1E19F-BE10-D3DE-19B0-43AC4E96211D}"/>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0096500" y="1971675"/>
              <a:ext cx="647699" cy="647699"/>
            </a:xfrm>
            <a:prstGeom prst="rect">
              <a:avLst/>
            </a:prstGeom>
          </xdr:spPr>
        </xdr:pic>
      </xdr:grpSp>
      <xdr:sp macro="" textlink="">
        <xdr:nvSpPr>
          <xdr:cNvPr id="71" name="Rectangle: Rounded Corners 70">
            <a:extLst>
              <a:ext uri="{FF2B5EF4-FFF2-40B4-BE49-F238E27FC236}">
                <a16:creationId xmlns:a16="http://schemas.microsoft.com/office/drawing/2014/main" id="{F804B7E7-BB13-1860-FB1F-A3EBC6F410CC}"/>
              </a:ext>
            </a:extLst>
          </xdr:cNvPr>
          <xdr:cNvSpPr/>
        </xdr:nvSpPr>
        <xdr:spPr>
          <a:xfrm>
            <a:off x="285752" y="2743200"/>
            <a:ext cx="3809998" cy="2286000"/>
          </a:xfrm>
          <a:prstGeom prst="roundRect">
            <a:avLst>
              <a:gd name="adj" fmla="val 7701"/>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2" name="Rectangle 71">
            <a:extLst>
              <a:ext uri="{FF2B5EF4-FFF2-40B4-BE49-F238E27FC236}">
                <a16:creationId xmlns:a16="http://schemas.microsoft.com/office/drawing/2014/main" id="{D1C91DDA-8F11-A03D-F953-78C83A1EB877}"/>
              </a:ext>
            </a:extLst>
          </xdr:cNvPr>
          <xdr:cNvSpPr/>
        </xdr:nvSpPr>
        <xdr:spPr>
          <a:xfrm>
            <a:off x="247650" y="2695575"/>
            <a:ext cx="3876675" cy="361950"/>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latin typeface="+mj-lt"/>
              </a:rPr>
              <a:t>MONTHLY</a:t>
            </a:r>
            <a:r>
              <a:rPr lang="en-IN" sz="1600" b="1" baseline="0">
                <a:solidFill>
                  <a:schemeClr val="bg1"/>
                </a:solidFill>
                <a:latin typeface="+mj-lt"/>
              </a:rPr>
              <a:t> NET SALES VS TARGET </a:t>
            </a:r>
            <a:endParaRPr lang="en-IN" sz="1600" b="1">
              <a:solidFill>
                <a:schemeClr val="bg1"/>
              </a:solidFill>
              <a:latin typeface="+mj-lt"/>
            </a:endParaRPr>
          </a:p>
        </xdr:txBody>
      </xdr:sp>
      <xdr:graphicFrame macro="">
        <xdr:nvGraphicFramePr>
          <xdr:cNvPr id="5" name="Chart 4">
            <a:extLst>
              <a:ext uri="{FF2B5EF4-FFF2-40B4-BE49-F238E27FC236}">
                <a16:creationId xmlns:a16="http://schemas.microsoft.com/office/drawing/2014/main" id="{DACF4C3B-1B54-4F09-B432-46AEB8985B11}"/>
              </a:ext>
            </a:extLst>
          </xdr:cNvPr>
          <xdr:cNvGraphicFramePr>
            <a:graphicFrameLocks/>
          </xdr:cNvGraphicFramePr>
        </xdr:nvGraphicFramePr>
        <xdr:xfrm>
          <a:off x="342900" y="3067050"/>
          <a:ext cx="3648075" cy="1828799"/>
        </xdr:xfrm>
        <a:graphic>
          <a:graphicData uri="http://schemas.openxmlformats.org/drawingml/2006/chart">
            <c:chart xmlns:c="http://schemas.openxmlformats.org/drawingml/2006/chart" xmlns:r="http://schemas.openxmlformats.org/officeDocument/2006/relationships" r:id="rId22"/>
          </a:graphicData>
        </a:graphic>
      </xdr:graphicFrame>
      <xdr:sp macro="" textlink="">
        <xdr:nvSpPr>
          <xdr:cNvPr id="6" name="Rectangle: Rounded Corners 5">
            <a:extLst>
              <a:ext uri="{FF2B5EF4-FFF2-40B4-BE49-F238E27FC236}">
                <a16:creationId xmlns:a16="http://schemas.microsoft.com/office/drawing/2014/main" id="{5CDF9562-AA73-4545-8421-FE56181DFA4F}"/>
              </a:ext>
            </a:extLst>
          </xdr:cNvPr>
          <xdr:cNvSpPr/>
        </xdr:nvSpPr>
        <xdr:spPr>
          <a:xfrm>
            <a:off x="4191001" y="2733675"/>
            <a:ext cx="3505199" cy="2286000"/>
          </a:xfrm>
          <a:prstGeom prst="roundRect">
            <a:avLst>
              <a:gd name="adj" fmla="val 6034"/>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8" name="Chart 7">
            <a:extLst>
              <a:ext uri="{FF2B5EF4-FFF2-40B4-BE49-F238E27FC236}">
                <a16:creationId xmlns:a16="http://schemas.microsoft.com/office/drawing/2014/main" id="{308AE5D8-C69C-4139-83E0-85618138F48C}"/>
              </a:ext>
            </a:extLst>
          </xdr:cNvPr>
          <xdr:cNvGraphicFramePr>
            <a:graphicFrameLocks/>
          </xdr:cNvGraphicFramePr>
        </xdr:nvGraphicFramePr>
        <xdr:xfrm>
          <a:off x="4181475" y="3057525"/>
          <a:ext cx="3419475" cy="1828799"/>
        </xdr:xfrm>
        <a:graphic>
          <a:graphicData uri="http://schemas.openxmlformats.org/drawingml/2006/chart">
            <c:chart xmlns:c="http://schemas.openxmlformats.org/drawingml/2006/chart" xmlns:r="http://schemas.openxmlformats.org/officeDocument/2006/relationships" r:id="rId23"/>
          </a:graphicData>
        </a:graphic>
      </xdr:graphicFrame>
      <xdr:sp macro="" textlink="">
        <xdr:nvSpPr>
          <xdr:cNvPr id="12" name="Rectangle 11">
            <a:extLst>
              <a:ext uri="{FF2B5EF4-FFF2-40B4-BE49-F238E27FC236}">
                <a16:creationId xmlns:a16="http://schemas.microsoft.com/office/drawing/2014/main" id="{B7D57F97-23EC-4158-A6B3-3BDE7D733793}"/>
              </a:ext>
            </a:extLst>
          </xdr:cNvPr>
          <xdr:cNvSpPr/>
        </xdr:nvSpPr>
        <xdr:spPr>
          <a:xfrm>
            <a:off x="4162425" y="2695575"/>
            <a:ext cx="3571875" cy="361950"/>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latin typeface="+mj-lt"/>
              </a:rPr>
              <a:t>NET SALES BY REGION</a:t>
            </a:r>
          </a:p>
        </xdr:txBody>
      </xdr:sp>
      <xdr:sp macro="" textlink="">
        <xdr:nvSpPr>
          <xdr:cNvPr id="13" name="Rectangle: Rounded Corners 12">
            <a:extLst>
              <a:ext uri="{FF2B5EF4-FFF2-40B4-BE49-F238E27FC236}">
                <a16:creationId xmlns:a16="http://schemas.microsoft.com/office/drawing/2014/main" id="{10358F14-FFBE-4F68-87F6-32C1B8EF25D9}"/>
              </a:ext>
            </a:extLst>
          </xdr:cNvPr>
          <xdr:cNvSpPr/>
        </xdr:nvSpPr>
        <xdr:spPr>
          <a:xfrm>
            <a:off x="247651" y="5219700"/>
            <a:ext cx="4743449" cy="1809750"/>
          </a:xfrm>
          <a:prstGeom prst="roundRect">
            <a:avLst>
              <a:gd name="adj" fmla="val 7701"/>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14">
            <a:extLst>
              <a:ext uri="{FF2B5EF4-FFF2-40B4-BE49-F238E27FC236}">
                <a16:creationId xmlns:a16="http://schemas.microsoft.com/office/drawing/2014/main" id="{EBBEF7B6-71A3-BD1C-2D99-389F79BAC67F}"/>
              </a:ext>
            </a:extLst>
          </xdr:cNvPr>
          <xdr:cNvSpPr/>
        </xdr:nvSpPr>
        <xdr:spPr>
          <a:xfrm>
            <a:off x="219075" y="5095875"/>
            <a:ext cx="4800600" cy="361950"/>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latin typeface="+mj-lt"/>
              </a:rPr>
              <a:t>MONTHLY</a:t>
            </a:r>
            <a:r>
              <a:rPr lang="en-IN" sz="1600" b="1" baseline="0">
                <a:solidFill>
                  <a:schemeClr val="bg1"/>
                </a:solidFill>
                <a:latin typeface="+mj-lt"/>
              </a:rPr>
              <a:t> PROFIT TREND</a:t>
            </a:r>
            <a:endParaRPr lang="en-IN" sz="1600" b="1">
              <a:solidFill>
                <a:schemeClr val="bg1"/>
              </a:solidFill>
              <a:latin typeface="+mj-lt"/>
            </a:endParaRPr>
          </a:p>
        </xdr:txBody>
      </xdr:sp>
      <xdr:sp macro="" textlink="">
        <xdr:nvSpPr>
          <xdr:cNvPr id="17" name="Rectangle: Rounded Corners 16">
            <a:extLst>
              <a:ext uri="{FF2B5EF4-FFF2-40B4-BE49-F238E27FC236}">
                <a16:creationId xmlns:a16="http://schemas.microsoft.com/office/drawing/2014/main" id="{B98F898D-2DD3-4940-B0D5-B7F4D64A4DC6}"/>
              </a:ext>
            </a:extLst>
          </xdr:cNvPr>
          <xdr:cNvSpPr/>
        </xdr:nvSpPr>
        <xdr:spPr>
          <a:xfrm>
            <a:off x="5091112" y="5219699"/>
            <a:ext cx="3890963" cy="1810800"/>
          </a:xfrm>
          <a:prstGeom prst="roundRect">
            <a:avLst>
              <a:gd name="adj" fmla="val 7701"/>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8" name="Chart 17">
            <a:extLst>
              <a:ext uri="{FF2B5EF4-FFF2-40B4-BE49-F238E27FC236}">
                <a16:creationId xmlns:a16="http://schemas.microsoft.com/office/drawing/2014/main" id="{F75F79B3-8788-4B06-BFDC-B3BE225620EB}"/>
              </a:ext>
            </a:extLst>
          </xdr:cNvPr>
          <xdr:cNvGraphicFramePr>
            <a:graphicFrameLocks/>
          </xdr:cNvGraphicFramePr>
        </xdr:nvGraphicFramePr>
        <xdr:xfrm>
          <a:off x="5162550" y="5457825"/>
          <a:ext cx="3600450" cy="1485900"/>
        </xdr:xfrm>
        <a:graphic>
          <a:graphicData uri="http://schemas.openxmlformats.org/drawingml/2006/chart">
            <c:chart xmlns:c="http://schemas.openxmlformats.org/drawingml/2006/chart" xmlns:r="http://schemas.openxmlformats.org/officeDocument/2006/relationships" r:id="rId24"/>
          </a:graphicData>
        </a:graphic>
      </xdr:graphicFrame>
      <xdr:sp macro="" textlink="">
        <xdr:nvSpPr>
          <xdr:cNvPr id="19" name="Rectangle 18">
            <a:extLst>
              <a:ext uri="{FF2B5EF4-FFF2-40B4-BE49-F238E27FC236}">
                <a16:creationId xmlns:a16="http://schemas.microsoft.com/office/drawing/2014/main" id="{935C82CC-68DB-5B7C-BA3B-B073EABD50BE}"/>
              </a:ext>
            </a:extLst>
          </xdr:cNvPr>
          <xdr:cNvSpPr/>
        </xdr:nvSpPr>
        <xdr:spPr>
          <a:xfrm>
            <a:off x="5057774" y="5095874"/>
            <a:ext cx="3952876" cy="333375"/>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latin typeface="+mj-lt"/>
              </a:rPr>
              <a:t>NET SALES BY CUSTOMER TYPE</a:t>
            </a:r>
          </a:p>
        </xdr:txBody>
      </xdr:sp>
      <xdr:sp macro="" textlink="">
        <xdr:nvSpPr>
          <xdr:cNvPr id="21" name="Rectangle: Rounded Corners 20">
            <a:extLst>
              <a:ext uri="{FF2B5EF4-FFF2-40B4-BE49-F238E27FC236}">
                <a16:creationId xmlns:a16="http://schemas.microsoft.com/office/drawing/2014/main" id="{8447DC6E-096D-4DD4-8362-C7BBF7898090}"/>
              </a:ext>
            </a:extLst>
          </xdr:cNvPr>
          <xdr:cNvSpPr/>
        </xdr:nvSpPr>
        <xdr:spPr>
          <a:xfrm>
            <a:off x="9086850" y="5210174"/>
            <a:ext cx="3781425" cy="1810800"/>
          </a:xfrm>
          <a:prstGeom prst="roundRect">
            <a:avLst>
              <a:gd name="adj" fmla="val 7701"/>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2" name="Chart 21">
            <a:extLst>
              <a:ext uri="{FF2B5EF4-FFF2-40B4-BE49-F238E27FC236}">
                <a16:creationId xmlns:a16="http://schemas.microsoft.com/office/drawing/2014/main" id="{3BAFA75F-54D7-4793-841A-A2A29B2DD27A}"/>
              </a:ext>
            </a:extLst>
          </xdr:cNvPr>
          <xdr:cNvGraphicFramePr>
            <a:graphicFrameLocks/>
          </xdr:cNvGraphicFramePr>
        </xdr:nvGraphicFramePr>
        <xdr:xfrm>
          <a:off x="9124950" y="5391151"/>
          <a:ext cx="3724275" cy="1552574"/>
        </xdr:xfrm>
        <a:graphic>
          <a:graphicData uri="http://schemas.openxmlformats.org/drawingml/2006/chart">
            <c:chart xmlns:c="http://schemas.openxmlformats.org/drawingml/2006/chart" xmlns:r="http://schemas.openxmlformats.org/officeDocument/2006/relationships" r:id="rId25"/>
          </a:graphicData>
        </a:graphic>
      </xdr:graphicFrame>
      <xdr:sp macro="" textlink="">
        <xdr:nvSpPr>
          <xdr:cNvPr id="23" name="Rectangle 22">
            <a:extLst>
              <a:ext uri="{FF2B5EF4-FFF2-40B4-BE49-F238E27FC236}">
                <a16:creationId xmlns:a16="http://schemas.microsoft.com/office/drawing/2014/main" id="{B387F836-52A7-4E90-A99C-C06D0398F89B}"/>
              </a:ext>
            </a:extLst>
          </xdr:cNvPr>
          <xdr:cNvSpPr/>
        </xdr:nvSpPr>
        <xdr:spPr>
          <a:xfrm>
            <a:off x="9048749" y="5095874"/>
            <a:ext cx="3848101" cy="333375"/>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latin typeface="+mj-lt"/>
              </a:rPr>
              <a:t>NET SALES BY PAYMENT</a:t>
            </a:r>
            <a:r>
              <a:rPr lang="en-IN" sz="1600" b="1" baseline="0">
                <a:solidFill>
                  <a:schemeClr val="bg1"/>
                </a:solidFill>
                <a:latin typeface="+mj-lt"/>
              </a:rPr>
              <a:t> MODE</a:t>
            </a:r>
            <a:endParaRPr lang="en-IN" sz="1600" b="1">
              <a:solidFill>
                <a:schemeClr val="bg1"/>
              </a:solidFill>
              <a:latin typeface="+mj-lt"/>
            </a:endParaRPr>
          </a:p>
        </xdr:txBody>
      </xdr:sp>
      <xdr:sp macro="" textlink="">
        <xdr:nvSpPr>
          <xdr:cNvPr id="9" name="Rectangle: Rounded Corners 8">
            <a:extLst>
              <a:ext uri="{FF2B5EF4-FFF2-40B4-BE49-F238E27FC236}">
                <a16:creationId xmlns:a16="http://schemas.microsoft.com/office/drawing/2014/main" id="{5A21DAEF-5B8A-4215-9AE9-A02C127D0041}"/>
              </a:ext>
            </a:extLst>
          </xdr:cNvPr>
          <xdr:cNvSpPr/>
        </xdr:nvSpPr>
        <xdr:spPr>
          <a:xfrm>
            <a:off x="9886952" y="2714624"/>
            <a:ext cx="2981324" cy="2295526"/>
          </a:xfrm>
          <a:prstGeom prst="roundRect">
            <a:avLst>
              <a:gd name="adj" fmla="val 7701"/>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176B21AD-7D03-4472-A7E3-92D5264D5395}"/>
                  </a:ext>
                </a:extLst>
              </xdr:cNvPr>
              <xdr:cNvGraphicFramePr/>
            </xdr:nvGraphicFramePr>
            <xdr:xfrm>
              <a:off x="9906000" y="3076575"/>
              <a:ext cx="2971800" cy="1857375"/>
            </xdr:xfrm>
            <a:graphic>
              <a:graphicData uri="http://schemas.microsoft.com/office/drawing/2014/chartex">
                <cx:chart xmlns:cx="http://schemas.microsoft.com/office/drawing/2014/chartex" xmlns:r="http://schemas.openxmlformats.org/officeDocument/2006/relationships" r:id="rId26"/>
              </a:graphicData>
            </a:graphic>
          </xdr:graphicFrame>
        </mc:Choice>
        <mc:Fallback>
          <xdr:sp macro="" textlink="">
            <xdr:nvSpPr>
              <xdr:cNvPr id="0" name=""/>
              <xdr:cNvSpPr>
                <a:spLocks noTextEdit="1"/>
              </xdr:cNvSpPr>
            </xdr:nvSpPr>
            <xdr:spPr>
              <a:xfrm>
                <a:off x="9906000" y="3076575"/>
                <a:ext cx="2971800" cy="18573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26" name="Rectangle 25">
            <a:extLst>
              <a:ext uri="{FF2B5EF4-FFF2-40B4-BE49-F238E27FC236}">
                <a16:creationId xmlns:a16="http://schemas.microsoft.com/office/drawing/2014/main" id="{BA1A0AD4-886B-45EE-B982-3048BA9C6556}"/>
              </a:ext>
            </a:extLst>
          </xdr:cNvPr>
          <xdr:cNvSpPr/>
        </xdr:nvSpPr>
        <xdr:spPr>
          <a:xfrm>
            <a:off x="9858374" y="2695575"/>
            <a:ext cx="3076575" cy="361950"/>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latin typeface="+mj-lt"/>
              </a:rPr>
              <a:t>NET SALES BY CITY</a:t>
            </a:r>
          </a:p>
        </xdr:txBody>
      </xdr:sp>
      <xdr:graphicFrame macro="">
        <xdr:nvGraphicFramePr>
          <xdr:cNvPr id="27" name="Chart 26">
            <a:extLst>
              <a:ext uri="{FF2B5EF4-FFF2-40B4-BE49-F238E27FC236}">
                <a16:creationId xmlns:a16="http://schemas.microsoft.com/office/drawing/2014/main" id="{D372DD04-0A04-4451-956D-3FA316A5E936}"/>
              </a:ext>
            </a:extLst>
          </xdr:cNvPr>
          <xdr:cNvGraphicFramePr>
            <a:graphicFrameLocks/>
          </xdr:cNvGraphicFramePr>
        </xdr:nvGraphicFramePr>
        <xdr:xfrm>
          <a:off x="333374" y="5419725"/>
          <a:ext cx="4591051" cy="1533525"/>
        </xdr:xfrm>
        <a:graphic>
          <a:graphicData uri="http://schemas.openxmlformats.org/drawingml/2006/chart">
            <c:chart xmlns:c="http://schemas.openxmlformats.org/drawingml/2006/chart" xmlns:r="http://schemas.openxmlformats.org/officeDocument/2006/relationships" r:id="rId27"/>
          </a:graphicData>
        </a:graphic>
      </xdr:graphicFrame>
      <xdr:sp macro="" textlink="">
        <xdr:nvSpPr>
          <xdr:cNvPr id="45" name="Rectangle: Rounded Corners 44">
            <a:extLst>
              <a:ext uri="{FF2B5EF4-FFF2-40B4-BE49-F238E27FC236}">
                <a16:creationId xmlns:a16="http://schemas.microsoft.com/office/drawing/2014/main" id="{D7B9CD42-54B2-43A7-93D5-4999C5A109B8}"/>
              </a:ext>
            </a:extLst>
          </xdr:cNvPr>
          <xdr:cNvSpPr/>
        </xdr:nvSpPr>
        <xdr:spPr>
          <a:xfrm>
            <a:off x="12992100" y="2724150"/>
            <a:ext cx="3895725" cy="4257675"/>
          </a:xfrm>
          <a:prstGeom prst="roundRect">
            <a:avLst>
              <a:gd name="adj" fmla="val 7701"/>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700"/>
          </a:p>
        </xdr:txBody>
      </xdr:sp>
      <mc:AlternateContent xmlns:mc="http://schemas.openxmlformats.org/markup-compatibility/2006" xmlns:a14="http://schemas.microsoft.com/office/drawing/2010/main">
        <mc:Choice Requires="a14">
          <xdr:graphicFrame macro="">
            <xdr:nvGraphicFramePr>
              <xdr:cNvPr id="41" name="City 1">
                <a:extLst>
                  <a:ext uri="{FF2B5EF4-FFF2-40B4-BE49-F238E27FC236}">
                    <a16:creationId xmlns:a16="http://schemas.microsoft.com/office/drawing/2014/main" id="{29D1C518-0C53-44CE-BD08-03B649A0C7D5}"/>
                  </a:ext>
                </a:extLst>
              </xdr:cNvPr>
              <xdr:cNvGraphicFramePr/>
            </xdr:nvGraphicFramePr>
            <xdr:xfrm>
              <a:off x="13096875" y="4400552"/>
              <a:ext cx="3752849" cy="895348"/>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3096875" y="4638677"/>
                <a:ext cx="3752849" cy="8953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tsle="http://schemas.microsoft.com/office/drawing/2012/timeslicer">
        <mc:Choice Requires="tsle">
          <xdr:graphicFrame macro="">
            <xdr:nvGraphicFramePr>
              <xdr:cNvPr id="55" name="Date">
                <a:extLst>
                  <a:ext uri="{FF2B5EF4-FFF2-40B4-BE49-F238E27FC236}">
                    <a16:creationId xmlns:a16="http://schemas.microsoft.com/office/drawing/2014/main" id="{E204DF33-5206-4643-A172-218944554726}"/>
                  </a:ext>
                </a:extLst>
              </xdr:cNvPr>
              <xdr:cNvGraphicFramePr/>
            </xdr:nvGraphicFramePr>
            <xdr:xfrm>
              <a:off x="14277975" y="3019424"/>
              <a:ext cx="2552699" cy="1323976"/>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4277975" y="3257549"/>
                <a:ext cx="2552699" cy="132397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28" name="Region 1">
                <a:extLst>
                  <a:ext uri="{FF2B5EF4-FFF2-40B4-BE49-F238E27FC236}">
                    <a16:creationId xmlns:a16="http://schemas.microsoft.com/office/drawing/2014/main" id="{2F7607B1-7E1D-443F-8E53-E80D32F7902D}"/>
                  </a:ext>
                </a:extLst>
              </xdr:cNvPr>
              <xdr:cNvGraphicFramePr/>
            </xdr:nvGraphicFramePr>
            <xdr:xfrm>
              <a:off x="13096875" y="5334000"/>
              <a:ext cx="3743326" cy="638175"/>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096875" y="5572125"/>
                <a:ext cx="3743326" cy="638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0" name="Payment Mode 1">
                <a:extLst>
                  <a:ext uri="{FF2B5EF4-FFF2-40B4-BE49-F238E27FC236}">
                    <a16:creationId xmlns:a16="http://schemas.microsoft.com/office/drawing/2014/main" id="{9C58C600-78E8-4C87-A1FF-B3D75A803F27}"/>
                  </a:ext>
                </a:extLst>
              </xdr:cNvPr>
              <xdr:cNvGraphicFramePr/>
            </xdr:nvGraphicFramePr>
            <xdr:xfrm>
              <a:off x="14973299" y="6029325"/>
              <a:ext cx="1847851" cy="790576"/>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14973299" y="6267450"/>
                <a:ext cx="1847851" cy="790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0" name="Customer Type 2">
                <a:extLst>
                  <a:ext uri="{FF2B5EF4-FFF2-40B4-BE49-F238E27FC236}">
                    <a16:creationId xmlns:a16="http://schemas.microsoft.com/office/drawing/2014/main" id="{5E8E47E1-0F3E-40E2-9879-F7EB9AC153DF}"/>
                  </a:ext>
                </a:extLst>
              </xdr:cNvPr>
              <xdr:cNvGraphicFramePr>
                <a:graphicFrameLocks/>
              </xdr:cNvGraphicFramePr>
            </xdr:nvGraphicFramePr>
            <xdr:xfrm>
              <a:off x="13087350" y="3028949"/>
              <a:ext cx="1171574" cy="1362076"/>
            </xdr:xfrm>
            <a:graphic>
              <a:graphicData uri="http://schemas.microsoft.com/office/drawing/2010/slicer">
                <sle:slicer xmlns:sle="http://schemas.microsoft.com/office/drawing/2010/slicer" name="Customer Type 2"/>
              </a:graphicData>
            </a:graphic>
          </xdr:graphicFrame>
        </mc:Choice>
        <mc:Fallback xmlns="">
          <xdr:sp macro="" textlink="">
            <xdr:nvSpPr>
              <xdr:cNvPr id="0" name=""/>
              <xdr:cNvSpPr>
                <a:spLocks noTextEdit="1"/>
              </xdr:cNvSpPr>
            </xdr:nvSpPr>
            <xdr:spPr>
              <a:xfrm>
                <a:off x="13087350" y="3267074"/>
                <a:ext cx="1171574" cy="1362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 name="Sales Channel">
                <a:extLst>
                  <a:ext uri="{FF2B5EF4-FFF2-40B4-BE49-F238E27FC236}">
                    <a16:creationId xmlns:a16="http://schemas.microsoft.com/office/drawing/2014/main" id="{00572217-8223-4392-B8BE-C0F8AE84FF50}"/>
                  </a:ext>
                </a:extLst>
              </xdr:cNvPr>
              <xdr:cNvGraphicFramePr/>
            </xdr:nvGraphicFramePr>
            <xdr:xfrm>
              <a:off x="13106398" y="6019801"/>
              <a:ext cx="1809752" cy="809624"/>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3106398" y="6257926"/>
                <a:ext cx="1809752" cy="809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47" name="Rectangle: Rounded Corners 46">
            <a:extLst>
              <a:ext uri="{FF2B5EF4-FFF2-40B4-BE49-F238E27FC236}">
                <a16:creationId xmlns:a16="http://schemas.microsoft.com/office/drawing/2014/main" id="{352B8D5E-B86C-4820-B3C5-036B3C573CF9}"/>
              </a:ext>
            </a:extLst>
          </xdr:cNvPr>
          <xdr:cNvSpPr/>
        </xdr:nvSpPr>
        <xdr:spPr>
          <a:xfrm>
            <a:off x="7781925" y="2733673"/>
            <a:ext cx="2019301" cy="2286000"/>
          </a:xfrm>
          <a:prstGeom prst="roundRect">
            <a:avLst>
              <a:gd name="adj" fmla="val 7701"/>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6" name="Chart 55">
            <a:extLst>
              <a:ext uri="{FF2B5EF4-FFF2-40B4-BE49-F238E27FC236}">
                <a16:creationId xmlns:a16="http://schemas.microsoft.com/office/drawing/2014/main" id="{13EA2BCC-8146-4A53-8619-093F6C361868}"/>
              </a:ext>
            </a:extLst>
          </xdr:cNvPr>
          <xdr:cNvGraphicFramePr>
            <a:graphicFrameLocks/>
          </xdr:cNvGraphicFramePr>
        </xdr:nvGraphicFramePr>
        <xdr:xfrm>
          <a:off x="7839075" y="3048000"/>
          <a:ext cx="1943099" cy="1809750"/>
        </xdr:xfrm>
        <a:graphic>
          <a:graphicData uri="http://schemas.openxmlformats.org/drawingml/2006/chart">
            <c:chart xmlns:c="http://schemas.openxmlformats.org/drawingml/2006/chart" xmlns:r="http://schemas.openxmlformats.org/officeDocument/2006/relationships" r:id="rId28"/>
          </a:graphicData>
        </a:graphic>
      </xdr:graphicFrame>
      <xdr:sp macro="" textlink="">
        <xdr:nvSpPr>
          <xdr:cNvPr id="60" name="Rectangle 59">
            <a:extLst>
              <a:ext uri="{FF2B5EF4-FFF2-40B4-BE49-F238E27FC236}">
                <a16:creationId xmlns:a16="http://schemas.microsoft.com/office/drawing/2014/main" id="{00891E2A-4171-98C5-BED8-B5E1C7190F5A}"/>
              </a:ext>
            </a:extLst>
          </xdr:cNvPr>
          <xdr:cNvSpPr/>
        </xdr:nvSpPr>
        <xdr:spPr>
          <a:xfrm>
            <a:off x="7762875" y="2695575"/>
            <a:ext cx="2066927" cy="361950"/>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latin typeface="+mj-lt"/>
              </a:rPr>
              <a:t>ORDER STATUS</a:t>
            </a:r>
          </a:p>
        </xdr:txBody>
      </xdr:sp>
      <xdr:grpSp>
        <xdr:nvGrpSpPr>
          <xdr:cNvPr id="73" name="Group 72">
            <a:extLst>
              <a:ext uri="{FF2B5EF4-FFF2-40B4-BE49-F238E27FC236}">
                <a16:creationId xmlns:a16="http://schemas.microsoft.com/office/drawing/2014/main" id="{78AF8E61-934F-2D7F-547A-1181F3DC1B5D}"/>
              </a:ext>
            </a:extLst>
          </xdr:cNvPr>
          <xdr:cNvGrpSpPr/>
        </xdr:nvGrpSpPr>
        <xdr:grpSpPr>
          <a:xfrm>
            <a:off x="12963525" y="2695575"/>
            <a:ext cx="3952875" cy="342900"/>
            <a:chOff x="12963525" y="2676525"/>
            <a:chExt cx="3952875" cy="371475"/>
          </a:xfrm>
        </xdr:grpSpPr>
        <xdr:sp macro="" textlink="">
          <xdr:nvSpPr>
            <xdr:cNvPr id="48" name="Rectangle 47">
              <a:extLst>
                <a:ext uri="{FF2B5EF4-FFF2-40B4-BE49-F238E27FC236}">
                  <a16:creationId xmlns:a16="http://schemas.microsoft.com/office/drawing/2014/main" id="{0DD6291A-1A93-742D-2F8E-CBABD2BC76AA}"/>
                </a:ext>
              </a:extLst>
            </xdr:cNvPr>
            <xdr:cNvSpPr/>
          </xdr:nvSpPr>
          <xdr:spPr>
            <a:xfrm>
              <a:off x="12963525" y="2676525"/>
              <a:ext cx="3952875" cy="371475"/>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latin typeface="+mj-lt"/>
                </a:rPr>
                <a:t>FILTERS</a:t>
              </a:r>
            </a:p>
          </xdr:txBody>
        </xdr:sp>
        <xdr:pic>
          <xdr:nvPicPr>
            <xdr:cNvPr id="70" name="Picture 69">
              <a:extLst>
                <a:ext uri="{FF2B5EF4-FFF2-40B4-BE49-F238E27FC236}">
                  <a16:creationId xmlns:a16="http://schemas.microsoft.com/office/drawing/2014/main" id="{81C8E0D3-A562-3A62-D8F2-DCD94A5CBDBC}"/>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6516350" y="2714625"/>
              <a:ext cx="323852" cy="323852"/>
            </a:xfrm>
            <a:prstGeom prst="rect">
              <a:avLst/>
            </a:prstGeom>
          </xdr:spPr>
        </xdr:pic>
      </xdr:grpSp>
    </xdr:grpSp>
    <xdr:clientData fLocksWithSheet="0"/>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0</xdr:rowOff>
    </xdr:from>
    <xdr:to>
      <xdr:col>21</xdr:col>
      <xdr:colOff>200026</xdr:colOff>
      <xdr:row>35</xdr:row>
      <xdr:rowOff>28574</xdr:rowOff>
    </xdr:to>
    <xdr:grpSp>
      <xdr:nvGrpSpPr>
        <xdr:cNvPr id="63" name="Group 62">
          <a:extLst>
            <a:ext uri="{FF2B5EF4-FFF2-40B4-BE49-F238E27FC236}">
              <a16:creationId xmlns:a16="http://schemas.microsoft.com/office/drawing/2014/main" id="{D8169746-7FF2-52F8-6635-A26153852167}"/>
            </a:ext>
          </a:extLst>
        </xdr:cNvPr>
        <xdr:cNvGrpSpPr/>
      </xdr:nvGrpSpPr>
      <xdr:grpSpPr>
        <a:xfrm>
          <a:off x="285750" y="1190625"/>
          <a:ext cx="16964026" cy="7172324"/>
          <a:chOff x="0" y="0"/>
          <a:chExt cx="16964026" cy="7172324"/>
        </a:xfrm>
      </xdr:grpSpPr>
      <xdr:grpSp>
        <xdr:nvGrpSpPr>
          <xdr:cNvPr id="2" name="Group 1">
            <a:extLst>
              <a:ext uri="{FF2B5EF4-FFF2-40B4-BE49-F238E27FC236}">
                <a16:creationId xmlns:a16="http://schemas.microsoft.com/office/drawing/2014/main" id="{3AFD6616-BD65-4928-BE26-C592928CA08E}"/>
              </a:ext>
            </a:extLst>
          </xdr:cNvPr>
          <xdr:cNvGrpSpPr/>
        </xdr:nvGrpSpPr>
        <xdr:grpSpPr>
          <a:xfrm>
            <a:off x="0" y="28575"/>
            <a:ext cx="16964026" cy="7143749"/>
            <a:chOff x="-28575" y="-38100"/>
            <a:chExt cx="16964026" cy="7143749"/>
          </a:xfrm>
        </xdr:grpSpPr>
        <xdr:sp macro="" textlink="">
          <xdr:nvSpPr>
            <xdr:cNvPr id="3" name="Rectangle: Rounded Corners 2">
              <a:extLst>
                <a:ext uri="{FF2B5EF4-FFF2-40B4-BE49-F238E27FC236}">
                  <a16:creationId xmlns:a16="http://schemas.microsoft.com/office/drawing/2014/main" id="{7E92CA51-8947-5283-1F93-F58A0F03E746}"/>
                </a:ext>
              </a:extLst>
            </xdr:cNvPr>
            <xdr:cNvSpPr/>
          </xdr:nvSpPr>
          <xdr:spPr>
            <a:xfrm>
              <a:off x="-28575" y="-38100"/>
              <a:ext cx="16964026" cy="7134225"/>
            </a:xfrm>
            <a:prstGeom prst="roundRect">
              <a:avLst>
                <a:gd name="adj" fmla="val 2323"/>
              </a:avLst>
            </a:prstGeom>
            <a:solidFill>
              <a:schemeClr val="tx1">
                <a:lumMod val="95000"/>
                <a:lumOff val="5000"/>
              </a:schemeClr>
            </a:solidFill>
            <a:ln>
              <a:solidFill>
                <a:srgbClr val="DEC8EE"/>
              </a:solid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C000"/>
                </a:solidFill>
              </a:endParaRPr>
            </a:p>
          </xdr:txBody>
        </xdr:sp>
        <xdr:sp macro="" textlink="">
          <xdr:nvSpPr>
            <xdr:cNvPr id="4" name="Rectangle: Rounded Corners 3">
              <a:extLst>
                <a:ext uri="{FF2B5EF4-FFF2-40B4-BE49-F238E27FC236}">
                  <a16:creationId xmlns:a16="http://schemas.microsoft.com/office/drawing/2014/main" id="{37468172-B42B-DAF5-E733-9ED5859F9BBF}"/>
                </a:ext>
              </a:extLst>
            </xdr:cNvPr>
            <xdr:cNvSpPr/>
          </xdr:nvSpPr>
          <xdr:spPr>
            <a:xfrm>
              <a:off x="0" y="1200150"/>
              <a:ext cx="16878302" cy="5905499"/>
            </a:xfrm>
            <a:prstGeom prst="roundRect">
              <a:avLst>
                <a:gd name="adj" fmla="val 2937"/>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5" name="Rectangle 4">
            <a:extLst>
              <a:ext uri="{FF2B5EF4-FFF2-40B4-BE49-F238E27FC236}">
                <a16:creationId xmlns:a16="http://schemas.microsoft.com/office/drawing/2014/main" id="{6A87A1AC-E9ED-4949-99AB-5CF0EA20327D}"/>
              </a:ext>
            </a:extLst>
          </xdr:cNvPr>
          <xdr:cNvSpPr/>
        </xdr:nvSpPr>
        <xdr:spPr>
          <a:xfrm>
            <a:off x="1295400" y="95250"/>
            <a:ext cx="15259050" cy="438150"/>
          </a:xfrm>
          <a:prstGeom prst="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rgbClr val="FFC000"/>
                </a:solidFill>
                <a:effectLst>
                  <a:glow rad="63500">
                    <a:schemeClr val="accent2">
                      <a:satMod val="175000"/>
                      <a:alpha val="40000"/>
                    </a:schemeClr>
                  </a:glow>
                </a:effectLst>
                <a:latin typeface="+mj-lt"/>
              </a:rPr>
              <a:t>Naxora  Retail </a:t>
            </a:r>
            <a:r>
              <a:rPr lang="en-IN" sz="2400" baseline="0">
                <a:solidFill>
                  <a:srgbClr val="FFC000"/>
                </a:solidFill>
                <a:effectLst>
                  <a:glow rad="63500">
                    <a:schemeClr val="accent2">
                      <a:satMod val="175000"/>
                      <a:alpha val="40000"/>
                    </a:schemeClr>
                  </a:glow>
                </a:effectLst>
                <a:latin typeface="+mj-lt"/>
              </a:rPr>
              <a:t> Sales Performance  &amp; MIS Dashboard</a:t>
            </a:r>
            <a:endParaRPr lang="en-IN" sz="2400">
              <a:solidFill>
                <a:srgbClr val="FFC000"/>
              </a:solidFill>
              <a:effectLst>
                <a:glow rad="63500">
                  <a:schemeClr val="accent2">
                    <a:satMod val="175000"/>
                    <a:alpha val="40000"/>
                  </a:schemeClr>
                </a:glow>
              </a:effectLst>
              <a:latin typeface="+mj-lt"/>
            </a:endParaRPr>
          </a:p>
        </xdr:txBody>
      </xdr:sp>
      <xdr:graphicFrame macro="">
        <xdr:nvGraphicFramePr>
          <xdr:cNvPr id="6" name="Diagram 5">
            <a:extLst>
              <a:ext uri="{FF2B5EF4-FFF2-40B4-BE49-F238E27FC236}">
                <a16:creationId xmlns:a16="http://schemas.microsoft.com/office/drawing/2014/main" id="{16FDB6A0-3A4B-40AC-AD8C-37B64D679354}"/>
              </a:ext>
            </a:extLst>
          </xdr:cNvPr>
          <xdr:cNvGraphicFramePr/>
        </xdr:nvGraphicFramePr>
        <xdr:xfrm>
          <a:off x="85726" y="0"/>
          <a:ext cx="1257300" cy="1133475"/>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67EC3DAB-7E18-4794-954E-0A621AA64E78}"/>
              </a:ext>
            </a:extLst>
          </xdr:cNvPr>
          <xdr:cNvSpPr/>
        </xdr:nvSpPr>
        <xdr:spPr>
          <a:xfrm>
            <a:off x="2905125" y="790575"/>
            <a:ext cx="1914525" cy="360000"/>
          </a:xfrm>
          <a:prstGeom prst="roundRect">
            <a:avLst/>
          </a:prstGeom>
          <a:no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cap="none" spc="0">
                <a:ln w="0"/>
                <a:solidFill>
                  <a:srgbClr val="FFC91D"/>
                </a:solidFill>
                <a:effectLst>
                  <a:glow rad="63500">
                    <a:schemeClr val="accent3">
                      <a:satMod val="175000"/>
                      <a:alpha val="40000"/>
                    </a:schemeClr>
                  </a:glow>
                  <a:reflection blurRad="6350" stA="53000" endA="300" endPos="35500" dir="5400000" sy="-90000" algn="bl" rotWithShape="0"/>
                </a:effectLst>
                <a:latin typeface="Aptos" panose="020B0004020202020204" pitchFamily="34" charset="0"/>
              </a:rPr>
              <a:t>DASHBOARD</a:t>
            </a:r>
          </a:p>
        </xdr:txBody>
      </xdr:sp>
      <xdr:sp macro="" textlink="">
        <xdr:nvSpPr>
          <xdr:cNvPr id="8" name="Rectangle: Rounded Corners 7">
            <a:hlinkClick xmlns:r="http://schemas.openxmlformats.org/officeDocument/2006/relationships" r:id="rId7"/>
            <a:extLst>
              <a:ext uri="{FF2B5EF4-FFF2-40B4-BE49-F238E27FC236}">
                <a16:creationId xmlns:a16="http://schemas.microsoft.com/office/drawing/2014/main" id="{DCA955E1-B0BB-4321-AD0D-0B90483479B5}"/>
              </a:ext>
            </a:extLst>
          </xdr:cNvPr>
          <xdr:cNvSpPr/>
        </xdr:nvSpPr>
        <xdr:spPr>
          <a:xfrm>
            <a:off x="5400674" y="790575"/>
            <a:ext cx="3276601" cy="360000"/>
          </a:xfrm>
          <a:prstGeom prst="roundRect">
            <a:avLst/>
          </a:prstGeom>
          <a:solidFill>
            <a:srgbClr val="FFFFB7"/>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rgbClr val="D6A300"/>
                </a:solidFill>
                <a:latin typeface="Aptos" panose="020B0004020202020204" pitchFamily="34" charset="0"/>
              </a:rPr>
              <a:t>PRODUCT</a:t>
            </a:r>
            <a:r>
              <a:rPr lang="en-IN" sz="1600" b="1" baseline="0">
                <a:solidFill>
                  <a:srgbClr val="D6A300"/>
                </a:solidFill>
                <a:latin typeface="Aptos" panose="020B0004020202020204" pitchFamily="34" charset="0"/>
              </a:rPr>
              <a:t> PERFORMANCE</a:t>
            </a:r>
            <a:endParaRPr lang="en-IN" sz="1600" b="1">
              <a:solidFill>
                <a:srgbClr val="D6A300"/>
              </a:solidFill>
              <a:latin typeface="Aptos" panose="020B0004020202020204" pitchFamily="34" charset="0"/>
            </a:endParaRPr>
          </a:p>
        </xdr:txBody>
      </xdr:sp>
      <xdr:sp macro="" textlink="">
        <xdr:nvSpPr>
          <xdr:cNvPr id="9" name="Rectangle: Rounded Corners 8">
            <a:hlinkClick xmlns:r="http://schemas.openxmlformats.org/officeDocument/2006/relationships" r:id="rId8"/>
            <a:extLst>
              <a:ext uri="{FF2B5EF4-FFF2-40B4-BE49-F238E27FC236}">
                <a16:creationId xmlns:a16="http://schemas.microsoft.com/office/drawing/2014/main" id="{2557D2B0-D5F7-44DA-B2F6-B751930E2004}"/>
              </a:ext>
            </a:extLst>
          </xdr:cNvPr>
          <xdr:cNvSpPr/>
        </xdr:nvSpPr>
        <xdr:spPr>
          <a:xfrm>
            <a:off x="9391649" y="781050"/>
            <a:ext cx="3219451" cy="360000"/>
          </a:xfrm>
          <a:prstGeom prst="roundRect">
            <a:avLst/>
          </a:prstGeom>
          <a:no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rgbClr val="FFC000"/>
                </a:solidFill>
                <a:latin typeface="Aptos" panose="020B0004020202020204" pitchFamily="34" charset="0"/>
              </a:rPr>
              <a:t>SALES</a:t>
            </a:r>
            <a:r>
              <a:rPr lang="en-IN" sz="1600" b="1" baseline="0">
                <a:solidFill>
                  <a:srgbClr val="FFC000"/>
                </a:solidFill>
                <a:latin typeface="Aptos" panose="020B0004020202020204" pitchFamily="34" charset="0"/>
              </a:rPr>
              <a:t> TEAM PERFORMANCE</a:t>
            </a:r>
            <a:endParaRPr lang="en-IN" sz="1600" b="1">
              <a:solidFill>
                <a:srgbClr val="FFC000"/>
              </a:solidFill>
              <a:latin typeface="Aptos" panose="020B0004020202020204" pitchFamily="34" charset="0"/>
            </a:endParaRPr>
          </a:p>
        </xdr:txBody>
      </xdr:sp>
      <xdr:sp macro="" textlink="">
        <xdr:nvSpPr>
          <xdr:cNvPr id="10" name="Rectangle: Rounded Corners 9">
            <a:hlinkClick xmlns:r="http://schemas.openxmlformats.org/officeDocument/2006/relationships" r:id="rId9"/>
            <a:extLst>
              <a:ext uri="{FF2B5EF4-FFF2-40B4-BE49-F238E27FC236}">
                <a16:creationId xmlns:a16="http://schemas.microsoft.com/office/drawing/2014/main" id="{2BBACCA4-839C-4D45-8B10-A25E2A454A38}"/>
              </a:ext>
            </a:extLst>
          </xdr:cNvPr>
          <xdr:cNvSpPr/>
        </xdr:nvSpPr>
        <xdr:spPr>
          <a:xfrm>
            <a:off x="13287376" y="781050"/>
            <a:ext cx="2047874" cy="360000"/>
          </a:xfrm>
          <a:prstGeom prst="roundRect">
            <a:avLst/>
          </a:prstGeom>
          <a:no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rgbClr val="FFC000"/>
                </a:solidFill>
                <a:latin typeface="Aptos" panose="020B0004020202020204" pitchFamily="34" charset="0"/>
              </a:rPr>
              <a:t>ABOUT</a:t>
            </a:r>
          </a:p>
        </xdr:txBody>
      </xdr:sp>
      <xdr:sp macro="" textlink="">
        <xdr:nvSpPr>
          <xdr:cNvPr id="11" name="Rectangle: Rounded Corners 10">
            <a:extLst>
              <a:ext uri="{FF2B5EF4-FFF2-40B4-BE49-F238E27FC236}">
                <a16:creationId xmlns:a16="http://schemas.microsoft.com/office/drawing/2014/main" id="{8BFE4BD5-DD54-4407-B75E-A2C5DC9C1625}"/>
              </a:ext>
            </a:extLst>
          </xdr:cNvPr>
          <xdr:cNvSpPr/>
        </xdr:nvSpPr>
        <xdr:spPr>
          <a:xfrm>
            <a:off x="381000" y="1247775"/>
            <a:ext cx="1819275" cy="333374"/>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b="1" cap="none" spc="0">
              <a:ln w="0">
                <a:solidFill>
                  <a:schemeClr val="tx2"/>
                </a:solidFill>
              </a:ln>
              <a:solidFill>
                <a:schemeClr val="accent2">
                  <a:lumMod val="75000"/>
                </a:schemeClr>
              </a:solidFill>
              <a:effectLst>
                <a:outerShdw blurRad="38100" dist="25400" dir="5400000" algn="ctr" rotWithShape="0">
                  <a:srgbClr val="6E747A">
                    <a:alpha val="43000"/>
                  </a:srgbClr>
                </a:outerShdw>
              </a:effectLst>
              <a:latin typeface="+mj-lt"/>
            </a:endParaRPr>
          </a:p>
        </xdr:txBody>
      </xdr:sp>
      <xdr:sp macro="" textlink="">
        <xdr:nvSpPr>
          <xdr:cNvPr id="13" name="TextBox 12">
            <a:extLst>
              <a:ext uri="{FF2B5EF4-FFF2-40B4-BE49-F238E27FC236}">
                <a16:creationId xmlns:a16="http://schemas.microsoft.com/office/drawing/2014/main" id="{1D10662A-F0D4-449E-9AEF-75D2DE1697E2}"/>
              </a:ext>
            </a:extLst>
          </xdr:cNvPr>
          <xdr:cNvSpPr txBox="1"/>
        </xdr:nvSpPr>
        <xdr:spPr>
          <a:xfrm>
            <a:off x="13630275" y="2324100"/>
            <a:ext cx="2324101" cy="209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r>
              <a:rPr lang="en-IN" sz="1200" b="1" i="0" baseline="0">
                <a:solidFill>
                  <a:schemeClr val="tx1"/>
                </a:solidFill>
                <a:latin typeface="+mn-lt"/>
              </a:rPr>
              <a:t>+14.7% above target</a:t>
            </a:r>
            <a:endParaRPr lang="en-IN" sz="1200" b="1" i="0">
              <a:solidFill>
                <a:schemeClr val="tx1"/>
              </a:solidFill>
              <a:latin typeface="+mn-lt"/>
            </a:endParaRPr>
          </a:p>
        </xdr:txBody>
      </xdr:sp>
      <xdr:grpSp>
        <xdr:nvGrpSpPr>
          <xdr:cNvPr id="14" name="Group 13">
            <a:extLst>
              <a:ext uri="{FF2B5EF4-FFF2-40B4-BE49-F238E27FC236}">
                <a16:creationId xmlns:a16="http://schemas.microsoft.com/office/drawing/2014/main" id="{EA1E204B-695D-4104-A5EF-D942A28B96F0}"/>
              </a:ext>
            </a:extLst>
          </xdr:cNvPr>
          <xdr:cNvGrpSpPr/>
        </xdr:nvGrpSpPr>
        <xdr:grpSpPr>
          <a:xfrm>
            <a:off x="266699" y="1609725"/>
            <a:ext cx="15697200" cy="1066800"/>
            <a:chOff x="266699" y="1609725"/>
            <a:chExt cx="15697200" cy="1066800"/>
          </a:xfrm>
        </xdr:grpSpPr>
        <xdr:grpSp>
          <xdr:nvGrpSpPr>
            <xdr:cNvPr id="15" name="Group 14">
              <a:extLst>
                <a:ext uri="{FF2B5EF4-FFF2-40B4-BE49-F238E27FC236}">
                  <a16:creationId xmlns:a16="http://schemas.microsoft.com/office/drawing/2014/main" id="{37579F4D-EF22-DB61-7FD7-745297D5E679}"/>
                </a:ext>
              </a:extLst>
            </xdr:cNvPr>
            <xdr:cNvGrpSpPr/>
          </xdr:nvGrpSpPr>
          <xdr:grpSpPr>
            <a:xfrm>
              <a:off x="266699" y="1609725"/>
              <a:ext cx="2543175" cy="1009650"/>
              <a:chOff x="266699" y="1609725"/>
              <a:chExt cx="2543175" cy="1009650"/>
            </a:xfrm>
          </xdr:grpSpPr>
          <xdr:grpSp>
            <xdr:nvGrpSpPr>
              <xdr:cNvPr id="30" name="Group 29">
                <a:extLst>
                  <a:ext uri="{FF2B5EF4-FFF2-40B4-BE49-F238E27FC236}">
                    <a16:creationId xmlns:a16="http://schemas.microsoft.com/office/drawing/2014/main" id="{80368458-1015-23CB-338B-B46D89176EEF}"/>
                  </a:ext>
                </a:extLst>
              </xdr:cNvPr>
              <xdr:cNvGrpSpPr/>
            </xdr:nvGrpSpPr>
            <xdr:grpSpPr>
              <a:xfrm>
                <a:off x="266699" y="1609725"/>
                <a:ext cx="2543175" cy="1009650"/>
                <a:chOff x="266699" y="1609725"/>
                <a:chExt cx="2543175" cy="1009650"/>
              </a:xfrm>
            </xdr:grpSpPr>
            <xdr:sp macro="" textlink="'PT_PRODUCT (KPI &amp; REPORT'!$E$7">
              <xdr:nvSpPr>
                <xdr:cNvPr id="32" name="Rectangle: Rounded Corners 31">
                  <a:extLst>
                    <a:ext uri="{FF2B5EF4-FFF2-40B4-BE49-F238E27FC236}">
                      <a16:creationId xmlns:a16="http://schemas.microsoft.com/office/drawing/2014/main" id="{7541BB8A-0885-76C1-5E48-BB75091068C9}"/>
                    </a:ext>
                  </a:extLst>
                </xdr:cNvPr>
                <xdr:cNvSpPr/>
              </xdr:nvSpPr>
              <xdr:spPr>
                <a:xfrm>
                  <a:off x="266699" y="1609725"/>
                  <a:ext cx="2543175" cy="100965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6E932838-4B7C-44CB-9B06-0809C3371F74}" type="TxLink">
                    <a:rPr lang="en-US" sz="1600" b="1" i="0" u="none" strike="noStrike">
                      <a:solidFill>
                        <a:schemeClr val="accent1">
                          <a:lumMod val="50000"/>
                        </a:schemeClr>
                      </a:solidFill>
                      <a:latin typeface="+mj-lt"/>
                    </a:rPr>
                    <a:pPr algn="r"/>
                    <a:t>₹ 79,44,646.70</a:t>
                  </a:fld>
                  <a:endParaRPr lang="en-IN" sz="1800" b="1">
                    <a:solidFill>
                      <a:schemeClr val="accent1">
                        <a:lumMod val="50000"/>
                      </a:schemeClr>
                    </a:solidFill>
                    <a:latin typeface="+mj-lt"/>
                  </a:endParaRPr>
                </a:p>
              </xdr:txBody>
            </xdr:sp>
            <xdr:sp macro="" textlink="">
              <xdr:nvSpPr>
                <xdr:cNvPr id="33" name="TextBox 32">
                  <a:extLst>
                    <a:ext uri="{FF2B5EF4-FFF2-40B4-BE49-F238E27FC236}">
                      <a16:creationId xmlns:a16="http://schemas.microsoft.com/office/drawing/2014/main" id="{AF3369B2-BD1E-438C-D599-A99CB09ABB62}"/>
                    </a:ext>
                  </a:extLst>
                </xdr:cNvPr>
                <xdr:cNvSpPr txBox="1"/>
              </xdr:nvSpPr>
              <xdr:spPr>
                <a:xfrm>
                  <a:off x="857250" y="1657349"/>
                  <a:ext cx="1895475" cy="25560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r>
                    <a:rPr lang="en-IN" sz="1600" b="1">
                      <a:solidFill>
                        <a:srgbClr val="12506C"/>
                      </a:solidFill>
                      <a:latin typeface="Aptos" panose="020B0004020202020204" pitchFamily="34" charset="0"/>
                    </a:rPr>
                    <a:t>TOTAL</a:t>
                  </a:r>
                  <a:r>
                    <a:rPr lang="en-IN" sz="1600" b="1" baseline="0">
                      <a:solidFill>
                        <a:srgbClr val="12506C"/>
                      </a:solidFill>
                      <a:latin typeface="Aptos" panose="020B0004020202020204" pitchFamily="34" charset="0"/>
                    </a:rPr>
                    <a:t>  NET SALES</a:t>
                  </a:r>
                  <a:endParaRPr lang="en-IN" sz="1600" b="1">
                    <a:solidFill>
                      <a:srgbClr val="12506C"/>
                    </a:solidFill>
                    <a:latin typeface="Aptos" panose="020B0004020202020204" pitchFamily="34" charset="0"/>
                  </a:endParaRPr>
                </a:p>
              </xdr:txBody>
            </xdr:sp>
          </xdr:grpSp>
          <xdr:pic>
            <xdr:nvPicPr>
              <xdr:cNvPr id="31" name="Graphic 30" descr="Money with solid fill">
                <a:extLst>
                  <a:ext uri="{FF2B5EF4-FFF2-40B4-BE49-F238E27FC236}">
                    <a16:creationId xmlns:a16="http://schemas.microsoft.com/office/drawing/2014/main" id="{B3CA5B16-D83B-0E15-B1F6-3753F0FCF91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95275" y="1876425"/>
                <a:ext cx="584354" cy="723900"/>
              </a:xfrm>
              <a:prstGeom prst="rect">
                <a:avLst/>
              </a:prstGeom>
            </xdr:spPr>
          </xdr:pic>
        </xdr:grpSp>
        <xdr:sp macro="" textlink="'PT_PRODUCT (KPI &amp; REPORT'!$K$6">
          <xdr:nvSpPr>
            <xdr:cNvPr id="16" name="Rectangle: Rounded Corners 15">
              <a:extLst>
                <a:ext uri="{FF2B5EF4-FFF2-40B4-BE49-F238E27FC236}">
                  <a16:creationId xmlns:a16="http://schemas.microsoft.com/office/drawing/2014/main" id="{DB2C8EC5-0C45-86C2-3841-EED5CE2E6130}"/>
                </a:ext>
              </a:extLst>
            </xdr:cNvPr>
            <xdr:cNvSpPr/>
          </xdr:nvSpPr>
          <xdr:spPr>
            <a:xfrm>
              <a:off x="10132217" y="1609725"/>
              <a:ext cx="2543175" cy="100965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B50E70DB-CEC3-4584-97DD-5D2C786EB851}" type="TxLink">
                <a:rPr lang="en-US" sz="1600" b="1" i="0" u="none" strike="noStrike">
                  <a:solidFill>
                    <a:schemeClr val="accent1">
                      <a:lumMod val="50000"/>
                    </a:schemeClr>
                  </a:solidFill>
                  <a:latin typeface="Aptos Narrow"/>
                  <a:ea typeface="+mn-ea"/>
                  <a:cs typeface="+mn-cs"/>
                </a:rPr>
                <a:pPr marL="0" indent="0" algn="r"/>
                <a:t>27.03%</a:t>
              </a:fld>
              <a:endParaRPr lang="en-US" sz="1200" b="1" i="0" u="none" strike="noStrike">
                <a:solidFill>
                  <a:schemeClr val="accent1">
                    <a:lumMod val="50000"/>
                  </a:schemeClr>
                </a:solidFill>
                <a:latin typeface="Aptos Narrow"/>
                <a:ea typeface="+mn-ea"/>
                <a:cs typeface="+mn-cs"/>
              </a:endParaRPr>
            </a:p>
          </xdr:txBody>
        </xdr:sp>
        <xdr:grpSp>
          <xdr:nvGrpSpPr>
            <xdr:cNvPr id="17" name="Group 16">
              <a:extLst>
                <a:ext uri="{FF2B5EF4-FFF2-40B4-BE49-F238E27FC236}">
                  <a16:creationId xmlns:a16="http://schemas.microsoft.com/office/drawing/2014/main" id="{55E6B1D6-1542-D2B7-AC2D-52F0F4FD7ABD}"/>
                </a:ext>
              </a:extLst>
            </xdr:cNvPr>
            <xdr:cNvGrpSpPr/>
          </xdr:nvGrpSpPr>
          <xdr:grpSpPr>
            <a:xfrm>
              <a:off x="6843711" y="1609725"/>
              <a:ext cx="2543175" cy="1066800"/>
              <a:chOff x="6843711" y="1609725"/>
              <a:chExt cx="2543175" cy="1066800"/>
            </a:xfrm>
          </xdr:grpSpPr>
          <xdr:sp macro="" textlink="'PT_PRODUCT (KPI &amp; REPORT'!$I$7">
            <xdr:nvSpPr>
              <xdr:cNvPr id="27" name="Rectangle: Rounded Corners 26">
                <a:extLst>
                  <a:ext uri="{FF2B5EF4-FFF2-40B4-BE49-F238E27FC236}">
                    <a16:creationId xmlns:a16="http://schemas.microsoft.com/office/drawing/2014/main" id="{892D908A-8279-2D04-EF60-BF000345D76C}"/>
                  </a:ext>
                </a:extLst>
              </xdr:cNvPr>
              <xdr:cNvSpPr/>
            </xdr:nvSpPr>
            <xdr:spPr>
              <a:xfrm>
                <a:off x="6843711" y="1609725"/>
                <a:ext cx="2543175" cy="100965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1ECB3615-9C24-4EC8-BDCD-DCC7F1004EB0}" type="TxLink">
                  <a:rPr lang="en-US" sz="1600" b="1" i="0" u="none" strike="noStrike">
                    <a:solidFill>
                      <a:schemeClr val="accent1">
                        <a:lumMod val="50000"/>
                      </a:schemeClr>
                    </a:solidFill>
                    <a:latin typeface="+mj-lt"/>
                    <a:ea typeface="+mn-ea"/>
                    <a:cs typeface="+mn-cs"/>
                  </a:rPr>
                  <a:pPr marL="0" indent="0" algn="r"/>
                  <a:t>₹ 21,47,316.70</a:t>
                </a:fld>
                <a:endParaRPr lang="en-US" sz="1200" b="1" i="0" u="none" strike="noStrike">
                  <a:solidFill>
                    <a:schemeClr val="accent1">
                      <a:lumMod val="50000"/>
                    </a:schemeClr>
                  </a:solidFill>
                  <a:latin typeface="+mj-lt"/>
                  <a:ea typeface="+mn-ea"/>
                  <a:cs typeface="+mn-cs"/>
                </a:endParaRPr>
              </a:p>
            </xdr:txBody>
          </xdr:sp>
          <xdr:sp macro="" textlink="">
            <xdr:nvSpPr>
              <xdr:cNvPr id="28" name="TextBox 27">
                <a:extLst>
                  <a:ext uri="{FF2B5EF4-FFF2-40B4-BE49-F238E27FC236}">
                    <a16:creationId xmlns:a16="http://schemas.microsoft.com/office/drawing/2014/main" id="{9791B468-C375-3C41-0089-444C9F5A7D5B}"/>
                  </a:ext>
                </a:extLst>
              </xdr:cNvPr>
              <xdr:cNvSpPr txBox="1"/>
            </xdr:nvSpPr>
            <xdr:spPr>
              <a:xfrm>
                <a:off x="7410451" y="1666874"/>
                <a:ext cx="1924050" cy="25560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r>
                  <a:rPr lang="en-IN" sz="1600" b="1">
                    <a:solidFill>
                      <a:srgbClr val="12506C"/>
                    </a:solidFill>
                    <a:latin typeface="Aptos" panose="020B0004020202020204" pitchFamily="34" charset="0"/>
                  </a:rPr>
                  <a:t>TOTAL</a:t>
                </a:r>
                <a:r>
                  <a:rPr lang="en-IN" sz="1600" b="1" baseline="0">
                    <a:solidFill>
                      <a:srgbClr val="12506C"/>
                    </a:solidFill>
                    <a:latin typeface="Aptos" panose="020B0004020202020204" pitchFamily="34" charset="0"/>
                  </a:rPr>
                  <a:t>  PROFIT</a:t>
                </a:r>
                <a:endParaRPr lang="en-IN" sz="1600" b="1">
                  <a:solidFill>
                    <a:srgbClr val="12506C"/>
                  </a:solidFill>
                  <a:latin typeface="Aptos" panose="020B0004020202020204" pitchFamily="34" charset="0"/>
                </a:endParaRPr>
              </a:p>
            </xdr:txBody>
          </xdr:sp>
          <xdr:pic>
            <xdr:nvPicPr>
              <xdr:cNvPr id="29" name="Graphic 28" descr="Coins with solid fill">
                <a:extLst>
                  <a:ext uri="{FF2B5EF4-FFF2-40B4-BE49-F238E27FC236}">
                    <a16:creationId xmlns:a16="http://schemas.microsoft.com/office/drawing/2014/main" id="{E48C48D1-4EF5-3E8D-E582-0398A25BB64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848474" y="1885950"/>
                <a:ext cx="648449" cy="790575"/>
              </a:xfrm>
              <a:prstGeom prst="rect">
                <a:avLst/>
              </a:prstGeom>
            </xdr:spPr>
          </xdr:pic>
        </xdr:grpSp>
        <xdr:grpSp>
          <xdr:nvGrpSpPr>
            <xdr:cNvPr id="18" name="Group 17">
              <a:extLst>
                <a:ext uri="{FF2B5EF4-FFF2-40B4-BE49-F238E27FC236}">
                  <a16:creationId xmlns:a16="http://schemas.microsoft.com/office/drawing/2014/main" id="{DF25291B-A0BA-DA8C-BE14-312A8059B88D}"/>
                </a:ext>
              </a:extLst>
            </xdr:cNvPr>
            <xdr:cNvGrpSpPr/>
          </xdr:nvGrpSpPr>
          <xdr:grpSpPr>
            <a:xfrm>
              <a:off x="13420724" y="1609725"/>
              <a:ext cx="2543175" cy="1009650"/>
              <a:chOff x="13420724" y="1609725"/>
              <a:chExt cx="2543175" cy="1009650"/>
            </a:xfrm>
          </xdr:grpSpPr>
          <xdr:sp macro="" textlink="">
            <xdr:nvSpPr>
              <xdr:cNvPr id="23" name="Rectangle: Rounded Corners 22">
                <a:extLst>
                  <a:ext uri="{FF2B5EF4-FFF2-40B4-BE49-F238E27FC236}">
                    <a16:creationId xmlns:a16="http://schemas.microsoft.com/office/drawing/2014/main" id="{E8613CBE-56C8-0642-EBA4-342071FB05E9}"/>
                  </a:ext>
                </a:extLst>
              </xdr:cNvPr>
              <xdr:cNvSpPr/>
            </xdr:nvSpPr>
            <xdr:spPr>
              <a:xfrm>
                <a:off x="13420724" y="1609725"/>
                <a:ext cx="2543175" cy="100965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endParaRPr lang="en-US" sz="1600" b="1" i="0" u="none" strike="noStrike">
                  <a:solidFill>
                    <a:srgbClr val="12506C"/>
                  </a:solidFill>
                  <a:latin typeface="Aptos Narrow"/>
                  <a:ea typeface="+mn-ea"/>
                  <a:cs typeface="+mn-cs"/>
                </a:endParaRPr>
              </a:p>
            </xdr:txBody>
          </xdr:sp>
          <xdr:sp macro="" textlink="">
            <xdr:nvSpPr>
              <xdr:cNvPr id="24" name="TextBox 23">
                <a:extLst>
                  <a:ext uri="{FF2B5EF4-FFF2-40B4-BE49-F238E27FC236}">
                    <a16:creationId xmlns:a16="http://schemas.microsoft.com/office/drawing/2014/main" id="{E6D6F56F-CC8A-D130-FCCE-396946B0ADE9}"/>
                  </a:ext>
                </a:extLst>
              </xdr:cNvPr>
              <xdr:cNvSpPr txBox="1"/>
            </xdr:nvSpPr>
            <xdr:spPr>
              <a:xfrm>
                <a:off x="13515976" y="1666874"/>
                <a:ext cx="2381250" cy="25560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r>
                  <a:rPr lang="en-IN" sz="1600" b="1" baseline="0">
                    <a:solidFill>
                      <a:srgbClr val="12506C"/>
                    </a:solidFill>
                    <a:latin typeface="Aptos" panose="020B0004020202020204" pitchFamily="34" charset="0"/>
                  </a:rPr>
                  <a:t>TOP PRODUCT</a:t>
                </a:r>
                <a:endParaRPr lang="en-IN" sz="1600" b="1">
                  <a:solidFill>
                    <a:srgbClr val="12506C"/>
                  </a:solidFill>
                  <a:latin typeface="Aptos" panose="020B0004020202020204" pitchFamily="34" charset="0"/>
                </a:endParaRPr>
              </a:p>
            </xdr:txBody>
          </xdr:sp>
          <xdr:sp macro="" textlink="'PT_PRODUCT (KPI &amp; REPORT'!$B$6">
            <xdr:nvSpPr>
              <xdr:cNvPr id="26" name="TextBox 25">
                <a:extLst>
                  <a:ext uri="{FF2B5EF4-FFF2-40B4-BE49-F238E27FC236}">
                    <a16:creationId xmlns:a16="http://schemas.microsoft.com/office/drawing/2014/main" id="{CAAA8C39-0618-EF99-5F9B-B297E3DB26A7}"/>
                  </a:ext>
                </a:extLst>
              </xdr:cNvPr>
              <xdr:cNvSpPr txBox="1"/>
            </xdr:nvSpPr>
            <xdr:spPr>
              <a:xfrm>
                <a:off x="14220825" y="2028823"/>
                <a:ext cx="1209676" cy="32385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fld id="{0D255594-ACC3-4A5A-BFFB-B54B2B6A89B2}" type="TxLink">
                  <a:rPr lang="en-US" sz="1600" b="1" i="0" u="none" strike="noStrike">
                    <a:solidFill>
                      <a:schemeClr val="accent1">
                        <a:lumMod val="50000"/>
                      </a:schemeClr>
                    </a:solidFill>
                    <a:latin typeface="Aptos Narrow"/>
                  </a:rPr>
                  <a:pPr algn="r"/>
                  <a:t>Printer</a:t>
                </a:fld>
                <a:endParaRPr lang="en-US" sz="1400" b="1">
                  <a:solidFill>
                    <a:schemeClr val="accent1">
                      <a:lumMod val="50000"/>
                    </a:schemeClr>
                  </a:solidFill>
                  <a:latin typeface="+mj-lt"/>
                </a:endParaRPr>
              </a:p>
            </xdr:txBody>
          </xdr:sp>
        </xdr:grpSp>
        <xdr:grpSp>
          <xdr:nvGrpSpPr>
            <xdr:cNvPr id="19" name="Group 18">
              <a:extLst>
                <a:ext uri="{FF2B5EF4-FFF2-40B4-BE49-F238E27FC236}">
                  <a16:creationId xmlns:a16="http://schemas.microsoft.com/office/drawing/2014/main" id="{C773D31F-A56F-2069-C199-666D7FBAE7DF}"/>
                </a:ext>
              </a:extLst>
            </xdr:cNvPr>
            <xdr:cNvGrpSpPr/>
          </xdr:nvGrpSpPr>
          <xdr:grpSpPr>
            <a:xfrm>
              <a:off x="3505200" y="1609725"/>
              <a:ext cx="2593180" cy="1009650"/>
              <a:chOff x="3505200" y="1609725"/>
              <a:chExt cx="2593180" cy="1009650"/>
            </a:xfrm>
          </xdr:grpSpPr>
          <xdr:sp macro="" textlink="'PT_PRODUCT (KPI &amp; REPORT'!$F$7">
            <xdr:nvSpPr>
              <xdr:cNvPr id="20" name="Rectangle: Rounded Corners 19">
                <a:extLst>
                  <a:ext uri="{FF2B5EF4-FFF2-40B4-BE49-F238E27FC236}">
                    <a16:creationId xmlns:a16="http://schemas.microsoft.com/office/drawing/2014/main" id="{2649E014-6DBC-3DB5-171D-591F86CBD7D2}"/>
                  </a:ext>
                </a:extLst>
              </xdr:cNvPr>
              <xdr:cNvSpPr/>
            </xdr:nvSpPr>
            <xdr:spPr>
              <a:xfrm>
                <a:off x="3555205" y="1609725"/>
                <a:ext cx="2543175" cy="100965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0264FCB2-1461-4846-BBC1-DC52B0A5D8B3}" type="TxLink">
                  <a:rPr lang="en-US" sz="1600" b="1" i="0" u="none" strike="noStrike">
                    <a:solidFill>
                      <a:schemeClr val="accent1">
                        <a:lumMod val="50000"/>
                      </a:schemeClr>
                    </a:solidFill>
                    <a:latin typeface="+mj-lt"/>
                    <a:ea typeface="+mn-ea"/>
                    <a:cs typeface="+mn-cs"/>
                  </a:rPr>
                  <a:pPr marL="0" indent="0" algn="r"/>
                  <a:t>8572.00</a:t>
                </a:fld>
                <a:endParaRPr lang="en-IN" sz="2400" b="1" i="0" u="none" strike="noStrike">
                  <a:solidFill>
                    <a:schemeClr val="accent1">
                      <a:lumMod val="50000"/>
                    </a:schemeClr>
                  </a:solidFill>
                  <a:latin typeface="+mj-lt"/>
                  <a:ea typeface="+mn-ea"/>
                  <a:cs typeface="+mn-cs"/>
                </a:endParaRPr>
              </a:p>
            </xdr:txBody>
          </xdr:sp>
          <xdr:sp macro="" textlink="">
            <xdr:nvSpPr>
              <xdr:cNvPr id="21" name="TextBox 20">
                <a:extLst>
                  <a:ext uri="{FF2B5EF4-FFF2-40B4-BE49-F238E27FC236}">
                    <a16:creationId xmlns:a16="http://schemas.microsoft.com/office/drawing/2014/main" id="{AE07BD38-117D-133E-BBAC-5BE1410D49A7}"/>
                  </a:ext>
                </a:extLst>
              </xdr:cNvPr>
              <xdr:cNvSpPr txBox="1"/>
            </xdr:nvSpPr>
            <xdr:spPr>
              <a:xfrm>
                <a:off x="4171950" y="1676400"/>
                <a:ext cx="1866901" cy="257176"/>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r>
                  <a:rPr lang="en-IN" sz="1600" b="1">
                    <a:solidFill>
                      <a:srgbClr val="12506C"/>
                    </a:solidFill>
                    <a:latin typeface="Aptos" panose="020B0004020202020204" pitchFamily="34" charset="0"/>
                  </a:rPr>
                  <a:t>TOTAL</a:t>
                </a:r>
                <a:r>
                  <a:rPr lang="en-IN" sz="1600" b="1" baseline="0">
                    <a:solidFill>
                      <a:srgbClr val="12506C"/>
                    </a:solidFill>
                    <a:latin typeface="Aptos" panose="020B0004020202020204" pitchFamily="34" charset="0"/>
                  </a:rPr>
                  <a:t>  QUANTITY</a:t>
                </a:r>
                <a:endParaRPr lang="en-IN" sz="1600" b="1">
                  <a:solidFill>
                    <a:srgbClr val="12506C"/>
                  </a:solidFill>
                  <a:latin typeface="Aptos" panose="020B0004020202020204" pitchFamily="34" charset="0"/>
                </a:endParaRPr>
              </a:p>
            </xdr:txBody>
          </xdr:sp>
          <xdr:pic>
            <xdr:nvPicPr>
              <xdr:cNvPr id="22" name="Graphic 21" descr="Shopping cart with solid fill">
                <a:extLst>
                  <a:ext uri="{FF2B5EF4-FFF2-40B4-BE49-F238E27FC236}">
                    <a16:creationId xmlns:a16="http://schemas.microsoft.com/office/drawing/2014/main" id="{B81A52E6-2660-BCAC-9A2A-6E1D99F6EE9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505200" y="1857375"/>
                <a:ext cx="742950" cy="742950"/>
              </a:xfrm>
              <a:prstGeom prst="rect">
                <a:avLst/>
              </a:prstGeom>
            </xdr:spPr>
          </xdr:pic>
        </xdr:grpSp>
      </xdr:grpSp>
      <xdr:grpSp>
        <xdr:nvGrpSpPr>
          <xdr:cNvPr id="34" name="Group 33">
            <a:extLst>
              <a:ext uri="{FF2B5EF4-FFF2-40B4-BE49-F238E27FC236}">
                <a16:creationId xmlns:a16="http://schemas.microsoft.com/office/drawing/2014/main" id="{FE78F41C-8A56-42EE-A68E-38CBC4E2F729}"/>
              </a:ext>
            </a:extLst>
          </xdr:cNvPr>
          <xdr:cNvGrpSpPr/>
        </xdr:nvGrpSpPr>
        <xdr:grpSpPr>
          <a:xfrm>
            <a:off x="10096500" y="1666874"/>
            <a:ext cx="2495550" cy="952500"/>
            <a:chOff x="10096500" y="1666874"/>
            <a:chExt cx="2495550" cy="952500"/>
          </a:xfrm>
        </xdr:grpSpPr>
        <xdr:sp macro="" textlink="">
          <xdr:nvSpPr>
            <xdr:cNvPr id="35" name="TextBox 34">
              <a:extLst>
                <a:ext uri="{FF2B5EF4-FFF2-40B4-BE49-F238E27FC236}">
                  <a16:creationId xmlns:a16="http://schemas.microsoft.com/office/drawing/2014/main" id="{84636CDD-E44C-D416-B966-1BDE39F33958}"/>
                </a:ext>
              </a:extLst>
            </xdr:cNvPr>
            <xdr:cNvSpPr txBox="1"/>
          </xdr:nvSpPr>
          <xdr:spPr>
            <a:xfrm>
              <a:off x="10677525" y="1666874"/>
              <a:ext cx="1914525" cy="25560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r>
                <a:rPr lang="en-IN" sz="1600" b="1" baseline="0">
                  <a:solidFill>
                    <a:schemeClr val="accent1">
                      <a:lumMod val="50000"/>
                    </a:schemeClr>
                  </a:solidFill>
                  <a:latin typeface="Aptos" panose="020B0004020202020204" pitchFamily="34" charset="0"/>
                </a:rPr>
                <a:t>  PROFIT MARGIN</a:t>
              </a:r>
              <a:endParaRPr lang="en-IN" sz="1600" b="1">
                <a:solidFill>
                  <a:schemeClr val="accent1">
                    <a:lumMod val="50000"/>
                  </a:schemeClr>
                </a:solidFill>
                <a:latin typeface="Aptos" panose="020B0004020202020204" pitchFamily="34" charset="0"/>
              </a:endParaRPr>
            </a:p>
          </xdr:txBody>
        </xdr:sp>
        <xdr:pic>
          <xdr:nvPicPr>
            <xdr:cNvPr id="36" name="Graphic 35" descr="Database with solid fill">
              <a:extLst>
                <a:ext uri="{FF2B5EF4-FFF2-40B4-BE49-F238E27FC236}">
                  <a16:creationId xmlns:a16="http://schemas.microsoft.com/office/drawing/2014/main" id="{B7395417-4B14-3871-C4B1-0D38870FBAD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096500" y="1971675"/>
              <a:ext cx="647699" cy="647699"/>
            </a:xfrm>
            <a:prstGeom prst="rect">
              <a:avLst/>
            </a:prstGeom>
          </xdr:spPr>
        </xdr:pic>
      </xdr:grpSp>
      <xdr:sp macro="" textlink="">
        <xdr:nvSpPr>
          <xdr:cNvPr id="56" name="Rectangle: Rounded Corners 55">
            <a:extLst>
              <a:ext uri="{FF2B5EF4-FFF2-40B4-BE49-F238E27FC236}">
                <a16:creationId xmlns:a16="http://schemas.microsoft.com/office/drawing/2014/main" id="{D808D835-7318-4CE0-9948-A178E2EC8805}"/>
              </a:ext>
            </a:extLst>
          </xdr:cNvPr>
          <xdr:cNvSpPr/>
        </xdr:nvSpPr>
        <xdr:spPr>
          <a:xfrm>
            <a:off x="11353800" y="2705100"/>
            <a:ext cx="5505451" cy="4324350"/>
          </a:xfrm>
          <a:prstGeom prst="roundRect">
            <a:avLst>
              <a:gd name="adj" fmla="val 7701"/>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700"/>
          </a:p>
        </xdr:txBody>
      </xdr:sp>
      <xdr:sp macro="" textlink="">
        <xdr:nvSpPr>
          <xdr:cNvPr id="57" name="Rectangle 56">
            <a:extLst>
              <a:ext uri="{FF2B5EF4-FFF2-40B4-BE49-F238E27FC236}">
                <a16:creationId xmlns:a16="http://schemas.microsoft.com/office/drawing/2014/main" id="{08819A2F-8AA6-45A0-9EEA-5909F795D0A8}"/>
              </a:ext>
            </a:extLst>
          </xdr:cNvPr>
          <xdr:cNvSpPr/>
        </xdr:nvSpPr>
        <xdr:spPr>
          <a:xfrm>
            <a:off x="11334750" y="2667000"/>
            <a:ext cx="5543550" cy="361950"/>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latin typeface="+mj-lt"/>
              </a:rPr>
              <a:t>FILTERS</a:t>
            </a:r>
          </a:p>
        </xdr:txBody>
      </xdr:sp>
      <xdr:pic>
        <xdr:nvPicPr>
          <xdr:cNvPr id="70" name="Graphic 69" descr="Crown with solid fill">
            <a:extLst>
              <a:ext uri="{FF2B5EF4-FFF2-40B4-BE49-F238E27FC236}">
                <a16:creationId xmlns:a16="http://schemas.microsoft.com/office/drawing/2014/main" id="{54FF00A3-8006-C7B4-6940-D3B1A1B8CAE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3420725" y="1952624"/>
            <a:ext cx="657225" cy="657225"/>
          </a:xfrm>
          <a:prstGeom prst="rect">
            <a:avLst/>
          </a:prstGeom>
        </xdr:spPr>
      </xdr:pic>
      <xdr:sp macro="" textlink="">
        <xdr:nvSpPr>
          <xdr:cNvPr id="37" name="Rectangle: Rounded Corners 36">
            <a:extLst>
              <a:ext uri="{FF2B5EF4-FFF2-40B4-BE49-F238E27FC236}">
                <a16:creationId xmlns:a16="http://schemas.microsoft.com/office/drawing/2014/main" id="{556983F2-7281-462B-95A6-FEFAAB82EF7D}"/>
              </a:ext>
            </a:extLst>
          </xdr:cNvPr>
          <xdr:cNvSpPr/>
        </xdr:nvSpPr>
        <xdr:spPr>
          <a:xfrm>
            <a:off x="285752" y="2705100"/>
            <a:ext cx="3600000" cy="2286000"/>
          </a:xfrm>
          <a:prstGeom prst="roundRect">
            <a:avLst>
              <a:gd name="adj" fmla="val 7701"/>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5" name="Chart 24">
            <a:extLst>
              <a:ext uri="{FF2B5EF4-FFF2-40B4-BE49-F238E27FC236}">
                <a16:creationId xmlns:a16="http://schemas.microsoft.com/office/drawing/2014/main" id="{F02D8D1E-C83B-4C68-A65E-548F69A0673A}"/>
              </a:ext>
            </a:extLst>
          </xdr:cNvPr>
          <xdr:cNvGraphicFramePr>
            <a:graphicFrameLocks/>
          </xdr:cNvGraphicFramePr>
        </xdr:nvGraphicFramePr>
        <xdr:xfrm>
          <a:off x="342903" y="3038475"/>
          <a:ext cx="3486148" cy="1828799"/>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40" name="Rectangle: Rounded Corners 39">
            <a:extLst>
              <a:ext uri="{FF2B5EF4-FFF2-40B4-BE49-F238E27FC236}">
                <a16:creationId xmlns:a16="http://schemas.microsoft.com/office/drawing/2014/main" id="{E9339D2A-234D-45D1-9AB9-EF362D331447}"/>
              </a:ext>
            </a:extLst>
          </xdr:cNvPr>
          <xdr:cNvSpPr/>
        </xdr:nvSpPr>
        <xdr:spPr>
          <a:xfrm>
            <a:off x="7658100" y="2695575"/>
            <a:ext cx="3600000" cy="2286000"/>
          </a:xfrm>
          <a:prstGeom prst="roundRect">
            <a:avLst>
              <a:gd name="adj" fmla="val 6034"/>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9" name="Chart 38">
            <a:extLst>
              <a:ext uri="{FF2B5EF4-FFF2-40B4-BE49-F238E27FC236}">
                <a16:creationId xmlns:a16="http://schemas.microsoft.com/office/drawing/2014/main" id="{93DBD1F7-5350-40A5-A4DC-748C5CAD3A37}"/>
              </a:ext>
            </a:extLst>
          </xdr:cNvPr>
          <xdr:cNvGraphicFramePr>
            <a:graphicFrameLocks/>
          </xdr:cNvGraphicFramePr>
        </xdr:nvGraphicFramePr>
        <xdr:xfrm>
          <a:off x="7715250" y="3067050"/>
          <a:ext cx="3533774" cy="1828800"/>
        </xdr:xfrm>
        <a:graphic>
          <a:graphicData uri="http://schemas.openxmlformats.org/drawingml/2006/chart">
            <c:chart xmlns:c="http://schemas.openxmlformats.org/drawingml/2006/chart" xmlns:r="http://schemas.openxmlformats.org/officeDocument/2006/relationships" r:id="rId21"/>
          </a:graphicData>
        </a:graphic>
      </xdr:graphicFrame>
      <xdr:sp macro="" textlink="">
        <xdr:nvSpPr>
          <xdr:cNvPr id="43" name="Rectangle: Rounded Corners 42">
            <a:extLst>
              <a:ext uri="{FF2B5EF4-FFF2-40B4-BE49-F238E27FC236}">
                <a16:creationId xmlns:a16="http://schemas.microsoft.com/office/drawing/2014/main" id="{27B55962-6F44-4F0B-B765-D851FAB1DF91}"/>
              </a:ext>
            </a:extLst>
          </xdr:cNvPr>
          <xdr:cNvSpPr/>
        </xdr:nvSpPr>
        <xdr:spPr>
          <a:xfrm>
            <a:off x="247651" y="5095875"/>
            <a:ext cx="5610224" cy="1933575"/>
          </a:xfrm>
          <a:prstGeom prst="roundRect">
            <a:avLst>
              <a:gd name="adj" fmla="val 7701"/>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1" name="Chart 40">
            <a:extLst>
              <a:ext uri="{FF2B5EF4-FFF2-40B4-BE49-F238E27FC236}">
                <a16:creationId xmlns:a16="http://schemas.microsoft.com/office/drawing/2014/main" id="{34E32719-DBD2-4F62-83CC-BBF385CF75E8}"/>
              </a:ext>
            </a:extLst>
          </xdr:cNvPr>
          <xdr:cNvGraphicFramePr>
            <a:graphicFrameLocks/>
          </xdr:cNvGraphicFramePr>
        </xdr:nvGraphicFramePr>
        <xdr:xfrm>
          <a:off x="600075" y="5419725"/>
          <a:ext cx="4552950" cy="1514475"/>
        </xdr:xfrm>
        <a:graphic>
          <a:graphicData uri="http://schemas.openxmlformats.org/drawingml/2006/chart">
            <c:chart xmlns:c="http://schemas.openxmlformats.org/drawingml/2006/chart" xmlns:r="http://schemas.openxmlformats.org/officeDocument/2006/relationships" r:id="rId22"/>
          </a:graphicData>
        </a:graphic>
      </xdr:graphicFrame>
      <xdr:sp macro="" textlink="">
        <xdr:nvSpPr>
          <xdr:cNvPr id="45" name="Rectangle: Rounded Corners 44">
            <a:extLst>
              <a:ext uri="{FF2B5EF4-FFF2-40B4-BE49-F238E27FC236}">
                <a16:creationId xmlns:a16="http://schemas.microsoft.com/office/drawing/2014/main" id="{FB3683C4-BC67-426F-8AE3-C1B0A62BE20D}"/>
              </a:ext>
            </a:extLst>
          </xdr:cNvPr>
          <xdr:cNvSpPr/>
        </xdr:nvSpPr>
        <xdr:spPr>
          <a:xfrm>
            <a:off x="6053137" y="5095875"/>
            <a:ext cx="5186363" cy="1934624"/>
          </a:xfrm>
          <a:prstGeom prst="roundRect">
            <a:avLst>
              <a:gd name="adj" fmla="val 7701"/>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6" name="Chart 45">
            <a:extLst>
              <a:ext uri="{FF2B5EF4-FFF2-40B4-BE49-F238E27FC236}">
                <a16:creationId xmlns:a16="http://schemas.microsoft.com/office/drawing/2014/main" id="{AA4476ED-E225-4F0E-92D9-299AA694063B}"/>
              </a:ext>
            </a:extLst>
          </xdr:cNvPr>
          <xdr:cNvGraphicFramePr>
            <a:graphicFrameLocks/>
          </xdr:cNvGraphicFramePr>
        </xdr:nvGraphicFramePr>
        <xdr:xfrm>
          <a:off x="6219826" y="5419725"/>
          <a:ext cx="4714874" cy="1504950"/>
        </xdr:xfrm>
        <a:graphic>
          <a:graphicData uri="http://schemas.openxmlformats.org/drawingml/2006/chart">
            <c:chart xmlns:c="http://schemas.openxmlformats.org/drawingml/2006/chart" xmlns:r="http://schemas.openxmlformats.org/officeDocument/2006/relationships" r:id="rId23"/>
          </a:graphicData>
        </a:graphic>
      </xdr:graphicFrame>
      <xdr:grpSp>
        <xdr:nvGrpSpPr>
          <xdr:cNvPr id="64" name="Group 63">
            <a:extLst>
              <a:ext uri="{FF2B5EF4-FFF2-40B4-BE49-F238E27FC236}">
                <a16:creationId xmlns:a16="http://schemas.microsoft.com/office/drawing/2014/main" id="{6BB7033A-22EA-C8A3-476E-3055D82B3768}"/>
              </a:ext>
            </a:extLst>
          </xdr:cNvPr>
          <xdr:cNvGrpSpPr/>
        </xdr:nvGrpSpPr>
        <xdr:grpSpPr>
          <a:xfrm>
            <a:off x="11515725" y="3038475"/>
            <a:ext cx="5343524" cy="3857625"/>
            <a:chOff x="11515725" y="3048000"/>
            <a:chExt cx="5343524" cy="3857625"/>
          </a:xfrm>
        </xdr:grpSpPr>
        <mc:AlternateContent xmlns:mc="http://schemas.openxmlformats.org/markup-compatibility/2006" xmlns:tsle="http://schemas.microsoft.com/office/drawing/2012/timeslicer">
          <mc:Choice Requires="tsle">
            <xdr:graphicFrame macro="">
              <xdr:nvGraphicFramePr>
                <xdr:cNvPr id="48" name="Date 1">
                  <a:extLst>
                    <a:ext uri="{FF2B5EF4-FFF2-40B4-BE49-F238E27FC236}">
                      <a16:creationId xmlns:a16="http://schemas.microsoft.com/office/drawing/2014/main" id="{174B5670-6EB7-42F1-A7E5-E63DAF966FDC}"/>
                    </a:ext>
                  </a:extLst>
                </xdr:cNvPr>
                <xdr:cNvGraphicFramePr/>
              </xdr:nvGraphicFramePr>
              <xdr:xfrm>
                <a:off x="13992224" y="3048002"/>
                <a:ext cx="2867025" cy="1333498"/>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3992224" y="3276602"/>
                  <a:ext cx="2867025" cy="133349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49" name="Region">
                  <a:extLst>
                    <a:ext uri="{FF2B5EF4-FFF2-40B4-BE49-F238E27FC236}">
                      <a16:creationId xmlns:a16="http://schemas.microsoft.com/office/drawing/2014/main" id="{27C14E14-CF59-48C2-AE00-A51903B3A01D}"/>
                    </a:ext>
                  </a:extLst>
                </xdr:cNvPr>
                <xdr:cNvGraphicFramePr/>
              </xdr:nvGraphicFramePr>
              <xdr:xfrm>
                <a:off x="11515725" y="5381624"/>
                <a:ext cx="5305424" cy="609601"/>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515725" y="5610224"/>
                  <a:ext cx="5305424" cy="609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0" name="Payment Mode">
                  <a:extLst>
                    <a:ext uri="{FF2B5EF4-FFF2-40B4-BE49-F238E27FC236}">
                      <a16:creationId xmlns:a16="http://schemas.microsoft.com/office/drawing/2014/main" id="{A12C8F7E-94BF-49C6-B26F-C2581BCC1392}"/>
                    </a:ext>
                  </a:extLst>
                </xdr:cNvPr>
                <xdr:cNvGraphicFramePr/>
              </xdr:nvGraphicFramePr>
              <xdr:xfrm>
                <a:off x="14325601" y="6048376"/>
                <a:ext cx="2333626" cy="847724"/>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4325601" y="6276976"/>
                  <a:ext cx="2333626" cy="847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1" name="Customer Type">
                  <a:extLst>
                    <a:ext uri="{FF2B5EF4-FFF2-40B4-BE49-F238E27FC236}">
                      <a16:creationId xmlns:a16="http://schemas.microsoft.com/office/drawing/2014/main" id="{82FC277B-A8FD-474F-B250-73879953C194}"/>
                    </a:ext>
                  </a:extLst>
                </xdr:cNvPr>
                <xdr:cNvGraphicFramePr/>
              </xdr:nvGraphicFramePr>
              <xdr:xfrm>
                <a:off x="12734925" y="3048001"/>
                <a:ext cx="1219200" cy="1371599"/>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2734925" y="3276601"/>
                  <a:ext cx="1219200" cy="1371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2" name="Customer City">
                  <a:extLst>
                    <a:ext uri="{FF2B5EF4-FFF2-40B4-BE49-F238E27FC236}">
                      <a16:creationId xmlns:a16="http://schemas.microsoft.com/office/drawing/2014/main" id="{A564AD79-444C-4199-B58C-6D0469348DCB}"/>
                    </a:ext>
                  </a:extLst>
                </xdr:cNvPr>
                <xdr:cNvGraphicFramePr/>
              </xdr:nvGraphicFramePr>
              <xdr:xfrm>
                <a:off x="12734925" y="4467225"/>
                <a:ext cx="4114800" cy="866775"/>
              </xdr:xfrm>
              <a:graphic>
                <a:graphicData uri="http://schemas.microsoft.com/office/drawing/2010/slicer">
                  <sle:slicer xmlns:sle="http://schemas.microsoft.com/office/drawing/2010/slicer" name="Customer City"/>
                </a:graphicData>
              </a:graphic>
            </xdr:graphicFrame>
          </mc:Choice>
          <mc:Fallback xmlns="">
            <xdr:sp macro="" textlink="">
              <xdr:nvSpPr>
                <xdr:cNvPr id="0" name=""/>
                <xdr:cNvSpPr>
                  <a:spLocks noTextEdit="1"/>
                </xdr:cNvSpPr>
              </xdr:nvSpPr>
              <xdr:spPr>
                <a:xfrm>
                  <a:off x="12734925" y="4695825"/>
                  <a:ext cx="4114800" cy="866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3" name="Sales Channel 3">
                  <a:extLst>
                    <a:ext uri="{FF2B5EF4-FFF2-40B4-BE49-F238E27FC236}">
                      <a16:creationId xmlns:a16="http://schemas.microsoft.com/office/drawing/2014/main" id="{27F7D450-7950-4709-B648-EC843624DE7D}"/>
                    </a:ext>
                  </a:extLst>
                </xdr:cNvPr>
                <xdr:cNvGraphicFramePr/>
              </xdr:nvGraphicFramePr>
              <xdr:xfrm>
                <a:off x="11515725" y="6048374"/>
                <a:ext cx="2257425" cy="857251"/>
              </xdr:xfrm>
              <a:graphic>
                <a:graphicData uri="http://schemas.microsoft.com/office/drawing/2010/slicer">
                  <sle:slicer xmlns:sle="http://schemas.microsoft.com/office/drawing/2010/slicer" name="Sales Channel 3"/>
                </a:graphicData>
              </a:graphic>
            </xdr:graphicFrame>
          </mc:Choice>
          <mc:Fallback xmlns="">
            <xdr:sp macro="" textlink="">
              <xdr:nvSpPr>
                <xdr:cNvPr id="0" name=""/>
                <xdr:cNvSpPr>
                  <a:spLocks noTextEdit="1"/>
                </xdr:cNvSpPr>
              </xdr:nvSpPr>
              <xdr:spPr>
                <a:xfrm>
                  <a:off x="11515725" y="6276974"/>
                  <a:ext cx="2257425" cy="857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4" name="Item">
                  <a:extLst>
                    <a:ext uri="{FF2B5EF4-FFF2-40B4-BE49-F238E27FC236}">
                      <a16:creationId xmlns:a16="http://schemas.microsoft.com/office/drawing/2014/main" id="{BD877397-CBDC-431C-A5F5-821B416BC308}"/>
                    </a:ext>
                  </a:extLst>
                </xdr:cNvPr>
                <xdr:cNvGraphicFramePr/>
              </xdr:nvGraphicFramePr>
              <xdr:xfrm>
                <a:off x="11525249" y="3048000"/>
                <a:ext cx="1138275" cy="224790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1525249" y="3276600"/>
                  <a:ext cx="1138275" cy="2247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42" name="Rectangle 41">
            <a:extLst>
              <a:ext uri="{FF2B5EF4-FFF2-40B4-BE49-F238E27FC236}">
                <a16:creationId xmlns:a16="http://schemas.microsoft.com/office/drawing/2014/main" id="{A03306A5-67B8-4B3D-8D69-97B1A25CF485}"/>
              </a:ext>
            </a:extLst>
          </xdr:cNvPr>
          <xdr:cNvSpPr/>
        </xdr:nvSpPr>
        <xdr:spPr>
          <a:xfrm>
            <a:off x="7639050" y="2667000"/>
            <a:ext cx="3657600" cy="361950"/>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latin typeface="+mj-lt"/>
              </a:rPr>
              <a:t>PROFIT BY PRODUCT</a:t>
            </a:r>
          </a:p>
        </xdr:txBody>
      </xdr:sp>
      <xdr:sp macro="" textlink="">
        <xdr:nvSpPr>
          <xdr:cNvPr id="38" name="Rectangle 37">
            <a:extLst>
              <a:ext uri="{FF2B5EF4-FFF2-40B4-BE49-F238E27FC236}">
                <a16:creationId xmlns:a16="http://schemas.microsoft.com/office/drawing/2014/main" id="{183119F6-794B-4AC9-AC6B-C58E662F128C}"/>
              </a:ext>
            </a:extLst>
          </xdr:cNvPr>
          <xdr:cNvSpPr/>
        </xdr:nvSpPr>
        <xdr:spPr>
          <a:xfrm>
            <a:off x="266699" y="2676525"/>
            <a:ext cx="3648076" cy="361950"/>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solidFill>
                  <a:schemeClr val="bg1"/>
                </a:solidFill>
                <a:latin typeface="+mj-lt"/>
              </a:rPr>
              <a:t> NET SALES  BY PRODUCT</a:t>
            </a:r>
            <a:endParaRPr lang="en-IN" sz="1600" b="1">
              <a:solidFill>
                <a:schemeClr val="bg1"/>
              </a:solidFill>
              <a:latin typeface="+mj-lt"/>
            </a:endParaRPr>
          </a:p>
        </xdr:txBody>
      </xdr:sp>
      <xdr:sp macro="" textlink="">
        <xdr:nvSpPr>
          <xdr:cNvPr id="44" name="Rectangle 43">
            <a:extLst>
              <a:ext uri="{FF2B5EF4-FFF2-40B4-BE49-F238E27FC236}">
                <a16:creationId xmlns:a16="http://schemas.microsoft.com/office/drawing/2014/main" id="{5D05A2D4-9AE4-46C4-B076-9542DDB3300A}"/>
              </a:ext>
            </a:extLst>
          </xdr:cNvPr>
          <xdr:cNvSpPr/>
        </xdr:nvSpPr>
        <xdr:spPr>
          <a:xfrm>
            <a:off x="209549" y="5067300"/>
            <a:ext cx="5695951" cy="361950"/>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solidFill>
                  <a:schemeClr val="bg1"/>
                </a:solidFill>
                <a:latin typeface="+mj-lt"/>
              </a:rPr>
              <a:t> PROFIT MARGIN BY PRODUCT </a:t>
            </a:r>
            <a:endParaRPr lang="en-IN" sz="1600" b="1">
              <a:solidFill>
                <a:schemeClr val="bg1"/>
              </a:solidFill>
              <a:latin typeface="+mj-lt"/>
            </a:endParaRPr>
          </a:p>
        </xdr:txBody>
      </xdr:sp>
      <xdr:sp macro="" textlink="">
        <xdr:nvSpPr>
          <xdr:cNvPr id="47" name="Rectangle 46">
            <a:extLst>
              <a:ext uri="{FF2B5EF4-FFF2-40B4-BE49-F238E27FC236}">
                <a16:creationId xmlns:a16="http://schemas.microsoft.com/office/drawing/2014/main" id="{12BF5BEE-9314-40CC-8B61-F6C3AD344283}"/>
              </a:ext>
            </a:extLst>
          </xdr:cNvPr>
          <xdr:cNvSpPr/>
        </xdr:nvSpPr>
        <xdr:spPr>
          <a:xfrm>
            <a:off x="6010275" y="5076824"/>
            <a:ext cx="5267324" cy="333375"/>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latin typeface="+mj-lt"/>
              </a:rPr>
              <a:t>QUANTITY SOLD BY PRODUCT</a:t>
            </a:r>
          </a:p>
        </xdr:txBody>
      </xdr:sp>
      <xdr:sp macro="" textlink="">
        <xdr:nvSpPr>
          <xdr:cNvPr id="55" name="Rectangle: Rounded Corners 54">
            <a:extLst>
              <a:ext uri="{FF2B5EF4-FFF2-40B4-BE49-F238E27FC236}">
                <a16:creationId xmlns:a16="http://schemas.microsoft.com/office/drawing/2014/main" id="{A95F855B-9227-4559-AA6B-7F90BD343BB4}"/>
              </a:ext>
            </a:extLst>
          </xdr:cNvPr>
          <xdr:cNvSpPr/>
        </xdr:nvSpPr>
        <xdr:spPr>
          <a:xfrm>
            <a:off x="3971926" y="2705100"/>
            <a:ext cx="3600000" cy="2286000"/>
          </a:xfrm>
          <a:prstGeom prst="roundRect">
            <a:avLst>
              <a:gd name="adj" fmla="val 6034"/>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8" name="Chart 57">
            <a:extLst>
              <a:ext uri="{FF2B5EF4-FFF2-40B4-BE49-F238E27FC236}">
                <a16:creationId xmlns:a16="http://schemas.microsoft.com/office/drawing/2014/main" id="{BC695A40-94B6-4D94-A3AC-EDD8123F5C2A}"/>
              </a:ext>
            </a:extLst>
          </xdr:cNvPr>
          <xdr:cNvGraphicFramePr>
            <a:graphicFrameLocks/>
          </xdr:cNvGraphicFramePr>
        </xdr:nvGraphicFramePr>
        <xdr:xfrm>
          <a:off x="4067175" y="3038476"/>
          <a:ext cx="3362325" cy="1885950"/>
        </xdr:xfrm>
        <a:graphic>
          <a:graphicData uri="http://schemas.openxmlformats.org/drawingml/2006/chart">
            <c:chart xmlns:c="http://schemas.openxmlformats.org/drawingml/2006/chart" xmlns:r="http://schemas.openxmlformats.org/officeDocument/2006/relationships" r:id="rId24"/>
          </a:graphicData>
        </a:graphic>
      </xdr:graphicFrame>
      <xdr:sp macro="" textlink="">
        <xdr:nvSpPr>
          <xdr:cNvPr id="59" name="Rectangle 58">
            <a:extLst>
              <a:ext uri="{FF2B5EF4-FFF2-40B4-BE49-F238E27FC236}">
                <a16:creationId xmlns:a16="http://schemas.microsoft.com/office/drawing/2014/main" id="{8139FAA6-75CB-4EFD-B800-70BAB4C98F2D}"/>
              </a:ext>
            </a:extLst>
          </xdr:cNvPr>
          <xdr:cNvSpPr/>
        </xdr:nvSpPr>
        <xdr:spPr>
          <a:xfrm>
            <a:off x="3943350" y="2667000"/>
            <a:ext cx="3676650" cy="361950"/>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latin typeface="+mj-lt"/>
              </a:rPr>
              <a:t>ORDER STATUS BY PRODUCT</a:t>
            </a:r>
          </a:p>
        </xdr:txBody>
      </xdr:sp>
      <xdr:sp macro="" textlink="">
        <xdr:nvSpPr>
          <xdr:cNvPr id="60" name="Rectangle: Rounded Corners 59">
            <a:extLst>
              <a:ext uri="{FF2B5EF4-FFF2-40B4-BE49-F238E27FC236}">
                <a16:creationId xmlns:a16="http://schemas.microsoft.com/office/drawing/2014/main" id="{611CC62F-E13B-47DD-9499-AE0EC5B2DA52}"/>
              </a:ext>
            </a:extLst>
          </xdr:cNvPr>
          <xdr:cNvSpPr/>
        </xdr:nvSpPr>
        <xdr:spPr>
          <a:xfrm>
            <a:off x="314325" y="1247775"/>
            <a:ext cx="1819275" cy="333374"/>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cap="none" spc="0">
                <a:ln w="0">
                  <a:solidFill>
                    <a:schemeClr val="tx2"/>
                  </a:solidFill>
                </a:ln>
                <a:solidFill>
                  <a:srgbClr val="FFC000"/>
                </a:solidFill>
                <a:effectLst>
                  <a:outerShdw blurRad="38100" dist="25400" dir="5400000" algn="ctr" rotWithShape="0">
                    <a:srgbClr val="6E747A">
                      <a:alpha val="43000"/>
                    </a:srgbClr>
                  </a:outerShdw>
                </a:effectLst>
                <a:latin typeface="+mj-lt"/>
              </a:rPr>
              <a:t>A</a:t>
            </a:r>
            <a:r>
              <a:rPr lang="en-IN" sz="1800" b="0" cap="none" spc="0">
                <a:ln w="0">
                  <a:solidFill>
                    <a:schemeClr val="tx2"/>
                  </a:solidFill>
                </a:ln>
                <a:solidFill>
                  <a:srgbClr val="00B050"/>
                </a:solidFill>
                <a:effectLst>
                  <a:outerShdw blurRad="38100" dist="25400" dir="5400000" algn="ctr" rotWithShape="0">
                    <a:srgbClr val="6E747A">
                      <a:alpha val="43000"/>
                    </a:srgbClr>
                  </a:outerShdw>
                </a:effectLst>
                <a:latin typeface="+mj-lt"/>
              </a:rPr>
              <a:t>n</a:t>
            </a:r>
            <a:r>
              <a:rPr lang="en-IN" sz="1800" b="0" cap="none" spc="0">
                <a:ln w="0">
                  <a:solidFill>
                    <a:schemeClr val="tx2"/>
                  </a:solidFill>
                </a:ln>
                <a:solidFill>
                  <a:srgbClr val="FF0000"/>
                </a:solidFill>
                <a:effectLst>
                  <a:outerShdw blurRad="38100" dist="25400" dir="5400000" algn="ctr" rotWithShape="0">
                    <a:srgbClr val="6E747A">
                      <a:alpha val="43000"/>
                    </a:srgbClr>
                  </a:outerShdw>
                </a:effectLst>
                <a:latin typeface="+mj-lt"/>
              </a:rPr>
              <a:t>a</a:t>
            </a:r>
            <a:r>
              <a:rPr lang="en-IN" sz="1800" b="0" cap="none" spc="0">
                <a:ln w="0">
                  <a:solidFill>
                    <a:schemeClr val="tx2"/>
                  </a:solidFill>
                </a:ln>
                <a:solidFill>
                  <a:srgbClr val="FFFF00"/>
                </a:solidFill>
                <a:effectLst>
                  <a:outerShdw blurRad="38100" dist="25400" dir="5400000" algn="ctr" rotWithShape="0">
                    <a:srgbClr val="6E747A">
                      <a:alpha val="43000"/>
                    </a:srgbClr>
                  </a:outerShdw>
                </a:effectLst>
                <a:latin typeface="+mj-lt"/>
              </a:rPr>
              <a:t>l</a:t>
            </a:r>
            <a:r>
              <a:rPr lang="en-IN" sz="1800" b="0" cap="none" spc="0">
                <a:ln w="0">
                  <a:solidFill>
                    <a:schemeClr val="tx2"/>
                  </a:solidFill>
                </a:ln>
                <a:solidFill>
                  <a:srgbClr val="00B0F0"/>
                </a:solidFill>
                <a:effectLst>
                  <a:outerShdw blurRad="38100" dist="25400" dir="5400000" algn="ctr" rotWithShape="0">
                    <a:srgbClr val="6E747A">
                      <a:alpha val="43000"/>
                    </a:srgbClr>
                  </a:outerShdw>
                </a:effectLst>
                <a:latin typeface="+mj-lt"/>
              </a:rPr>
              <a:t>y</a:t>
            </a:r>
            <a:r>
              <a:rPr lang="en-IN" sz="1800" b="0" cap="none" spc="0">
                <a:ln w="0">
                  <a:solidFill>
                    <a:schemeClr val="tx2"/>
                  </a:solidFill>
                </a:ln>
                <a:solidFill>
                  <a:srgbClr val="002060"/>
                </a:solidFill>
                <a:effectLst>
                  <a:outerShdw blurRad="38100" dist="25400" dir="5400000" algn="ctr" rotWithShape="0">
                    <a:srgbClr val="6E747A">
                      <a:alpha val="43000"/>
                    </a:srgbClr>
                  </a:outerShdw>
                </a:effectLst>
                <a:latin typeface="+mj-lt"/>
              </a:rPr>
              <a:t>t</a:t>
            </a:r>
            <a:r>
              <a:rPr lang="en-IN" sz="1800" b="0" cap="none" spc="0">
                <a:ln w="0">
                  <a:solidFill>
                    <a:srgbClr val="00F0EA"/>
                  </a:solidFill>
                </a:ln>
                <a:solidFill>
                  <a:srgbClr val="C00000"/>
                </a:solidFill>
                <a:effectLst>
                  <a:outerShdw blurRad="38100" dist="25400" dir="5400000" algn="ctr" rotWithShape="0">
                    <a:srgbClr val="6E747A">
                      <a:alpha val="43000"/>
                    </a:srgbClr>
                  </a:outerShdw>
                </a:effectLst>
                <a:latin typeface="+mj-lt"/>
              </a:rPr>
              <a:t>i</a:t>
            </a:r>
            <a:r>
              <a:rPr lang="en-IN" sz="1800" b="0" cap="none" spc="0">
                <a:ln w="0">
                  <a:solidFill>
                    <a:srgbClr val="7030A0"/>
                  </a:solidFill>
                </a:ln>
                <a:solidFill>
                  <a:srgbClr val="C00000"/>
                </a:solidFill>
                <a:effectLst>
                  <a:outerShdw blurRad="38100" dist="25400" dir="5400000" algn="ctr" rotWithShape="0">
                    <a:srgbClr val="6E747A">
                      <a:alpha val="43000"/>
                    </a:srgbClr>
                  </a:outerShdw>
                </a:effectLst>
                <a:latin typeface="+mj-lt"/>
              </a:rPr>
              <a:t>c</a:t>
            </a:r>
            <a:r>
              <a:rPr lang="en-IN" sz="1800" b="0" cap="none" spc="0">
                <a:ln w="0">
                  <a:solidFill>
                    <a:schemeClr val="tx2"/>
                  </a:solidFill>
                </a:ln>
                <a:solidFill>
                  <a:schemeClr val="accent2">
                    <a:lumMod val="75000"/>
                  </a:schemeClr>
                </a:solidFill>
                <a:effectLst>
                  <a:outerShdw blurRad="38100" dist="25400" dir="5400000" algn="ctr" rotWithShape="0">
                    <a:srgbClr val="6E747A">
                      <a:alpha val="43000"/>
                    </a:srgbClr>
                  </a:outerShdw>
                </a:effectLst>
                <a:latin typeface="+mj-lt"/>
              </a:rPr>
              <a:t>s</a:t>
            </a:r>
            <a:endParaRPr lang="en-IN" sz="2000" b="1" cap="none" spc="0">
              <a:ln w="0">
                <a:solidFill>
                  <a:schemeClr val="tx2"/>
                </a:solidFill>
              </a:ln>
              <a:solidFill>
                <a:schemeClr val="accent2">
                  <a:lumMod val="75000"/>
                </a:schemeClr>
              </a:solidFill>
              <a:effectLst>
                <a:outerShdw blurRad="38100" dist="25400" dir="5400000" algn="ctr" rotWithShape="0">
                  <a:srgbClr val="6E747A">
                    <a:alpha val="43000"/>
                  </a:srgbClr>
                </a:outerShdw>
              </a:effectLst>
              <a:latin typeface="+mj-lt"/>
            </a:endParaRPr>
          </a:p>
        </xdr:txBody>
      </xdr:sp>
      <xdr:pic>
        <xdr:nvPicPr>
          <xdr:cNvPr id="61" name="Graphic 60" descr="Statistics with solid fill">
            <a:extLst>
              <a:ext uri="{FF2B5EF4-FFF2-40B4-BE49-F238E27FC236}">
                <a16:creationId xmlns:a16="http://schemas.microsoft.com/office/drawing/2014/main" id="{6A2F4E25-73D0-42EA-B9A0-A4CB3EC302E1}"/>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52425" y="1250041"/>
            <a:ext cx="409575" cy="350158"/>
          </a:xfrm>
          <a:prstGeom prst="rect">
            <a:avLst/>
          </a:prstGeom>
          <a:ln>
            <a:noFill/>
          </a:ln>
          <a:effectLst>
            <a:outerShdw blurRad="44450" dist="27940" dir="5400000" algn="ctr">
              <a:srgbClr val="000000">
                <a:alpha val="32000"/>
              </a:srgbClr>
            </a:outerShdw>
          </a:effectLst>
        </xdr:spPr>
      </xdr:pic>
      <xdr:pic>
        <xdr:nvPicPr>
          <xdr:cNvPr id="62" name="Picture 61">
            <a:extLst>
              <a:ext uri="{FF2B5EF4-FFF2-40B4-BE49-F238E27FC236}">
                <a16:creationId xmlns:a16="http://schemas.microsoft.com/office/drawing/2014/main" id="{7D686C22-C9DE-4C62-8235-5AFBD32E2F32}"/>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6525875" y="2724150"/>
            <a:ext cx="323852" cy="298940"/>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5</xdr:row>
      <xdr:rowOff>0</xdr:rowOff>
    </xdr:from>
    <xdr:to>
      <xdr:col>21</xdr:col>
      <xdr:colOff>200026</xdr:colOff>
      <xdr:row>35</xdr:row>
      <xdr:rowOff>28574</xdr:rowOff>
    </xdr:to>
    <xdr:grpSp>
      <xdr:nvGrpSpPr>
        <xdr:cNvPr id="77" name="Group 76">
          <a:extLst>
            <a:ext uri="{FF2B5EF4-FFF2-40B4-BE49-F238E27FC236}">
              <a16:creationId xmlns:a16="http://schemas.microsoft.com/office/drawing/2014/main" id="{EC9F27FF-3D83-8A30-EB6E-5234F34612D1}"/>
            </a:ext>
          </a:extLst>
        </xdr:cNvPr>
        <xdr:cNvGrpSpPr/>
      </xdr:nvGrpSpPr>
      <xdr:grpSpPr>
        <a:xfrm>
          <a:off x="266700" y="1190625"/>
          <a:ext cx="16954501" cy="7172324"/>
          <a:chOff x="9525" y="0"/>
          <a:chExt cx="16954501" cy="7172324"/>
        </a:xfrm>
      </xdr:grpSpPr>
      <xdr:grpSp>
        <xdr:nvGrpSpPr>
          <xdr:cNvPr id="2" name="Group 1">
            <a:extLst>
              <a:ext uri="{FF2B5EF4-FFF2-40B4-BE49-F238E27FC236}">
                <a16:creationId xmlns:a16="http://schemas.microsoft.com/office/drawing/2014/main" id="{CEE836A4-AB02-426D-953D-4C660D7DAB31}"/>
              </a:ext>
            </a:extLst>
          </xdr:cNvPr>
          <xdr:cNvGrpSpPr/>
        </xdr:nvGrpSpPr>
        <xdr:grpSpPr>
          <a:xfrm>
            <a:off x="9525" y="57151"/>
            <a:ext cx="16954501" cy="7115173"/>
            <a:chOff x="-19050" y="-9524"/>
            <a:chExt cx="16954501" cy="7115173"/>
          </a:xfrm>
        </xdr:grpSpPr>
        <xdr:sp macro="" textlink="">
          <xdr:nvSpPr>
            <xdr:cNvPr id="3" name="Rectangle: Rounded Corners 2">
              <a:extLst>
                <a:ext uri="{FF2B5EF4-FFF2-40B4-BE49-F238E27FC236}">
                  <a16:creationId xmlns:a16="http://schemas.microsoft.com/office/drawing/2014/main" id="{C0B8DFBD-CD3C-1C54-1C8B-15DDBCB2D757}"/>
                </a:ext>
              </a:extLst>
            </xdr:cNvPr>
            <xdr:cNvSpPr/>
          </xdr:nvSpPr>
          <xdr:spPr>
            <a:xfrm>
              <a:off x="-19050" y="-9524"/>
              <a:ext cx="16954501" cy="7105650"/>
            </a:xfrm>
            <a:prstGeom prst="roundRect">
              <a:avLst>
                <a:gd name="adj" fmla="val 2323"/>
              </a:avLst>
            </a:prstGeom>
            <a:solidFill>
              <a:schemeClr val="tx1">
                <a:lumMod val="95000"/>
                <a:lumOff val="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C000"/>
                </a:solidFill>
              </a:endParaRPr>
            </a:p>
          </xdr:txBody>
        </xdr:sp>
        <xdr:sp macro="" textlink="">
          <xdr:nvSpPr>
            <xdr:cNvPr id="4" name="Rectangle: Rounded Corners 3">
              <a:extLst>
                <a:ext uri="{FF2B5EF4-FFF2-40B4-BE49-F238E27FC236}">
                  <a16:creationId xmlns:a16="http://schemas.microsoft.com/office/drawing/2014/main" id="{2F8C667B-54A5-191D-3C5D-D3843E6A71B1}"/>
                </a:ext>
              </a:extLst>
            </xdr:cNvPr>
            <xdr:cNvSpPr/>
          </xdr:nvSpPr>
          <xdr:spPr>
            <a:xfrm>
              <a:off x="0" y="1200150"/>
              <a:ext cx="16878302" cy="5905499"/>
            </a:xfrm>
            <a:prstGeom prst="roundRect">
              <a:avLst>
                <a:gd name="adj" fmla="val 2937"/>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5" name="Rectangle 4">
            <a:extLst>
              <a:ext uri="{FF2B5EF4-FFF2-40B4-BE49-F238E27FC236}">
                <a16:creationId xmlns:a16="http://schemas.microsoft.com/office/drawing/2014/main" id="{17BED2AD-6136-4270-A14C-0748ACE7C26C}"/>
              </a:ext>
            </a:extLst>
          </xdr:cNvPr>
          <xdr:cNvSpPr/>
        </xdr:nvSpPr>
        <xdr:spPr>
          <a:xfrm>
            <a:off x="1295400" y="95250"/>
            <a:ext cx="15259050" cy="438150"/>
          </a:xfrm>
          <a:prstGeom prst="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rgbClr val="FFC000"/>
                </a:solidFill>
                <a:effectLst>
                  <a:glow rad="63500">
                    <a:schemeClr val="accent2">
                      <a:satMod val="175000"/>
                      <a:alpha val="40000"/>
                    </a:schemeClr>
                  </a:glow>
                </a:effectLst>
                <a:latin typeface="+mj-lt"/>
              </a:rPr>
              <a:t>Naxora  Retail </a:t>
            </a:r>
            <a:r>
              <a:rPr lang="en-IN" sz="2400" baseline="0">
                <a:solidFill>
                  <a:srgbClr val="FFC000"/>
                </a:solidFill>
                <a:effectLst>
                  <a:glow rad="63500">
                    <a:schemeClr val="accent2">
                      <a:satMod val="175000"/>
                      <a:alpha val="40000"/>
                    </a:schemeClr>
                  </a:glow>
                </a:effectLst>
                <a:latin typeface="+mj-lt"/>
              </a:rPr>
              <a:t> Sales Performance  &amp; MIS Dashboard</a:t>
            </a:r>
            <a:endParaRPr lang="en-IN" sz="2400">
              <a:solidFill>
                <a:srgbClr val="FFC000"/>
              </a:solidFill>
              <a:effectLst>
                <a:glow rad="63500">
                  <a:schemeClr val="accent2">
                    <a:satMod val="175000"/>
                    <a:alpha val="40000"/>
                  </a:schemeClr>
                </a:glow>
              </a:effectLst>
              <a:latin typeface="+mj-lt"/>
            </a:endParaRPr>
          </a:p>
        </xdr:txBody>
      </xdr:sp>
      <xdr:graphicFrame macro="">
        <xdr:nvGraphicFramePr>
          <xdr:cNvPr id="6" name="Diagram 5">
            <a:extLst>
              <a:ext uri="{FF2B5EF4-FFF2-40B4-BE49-F238E27FC236}">
                <a16:creationId xmlns:a16="http://schemas.microsoft.com/office/drawing/2014/main" id="{A8D3556C-1051-4ACF-96B7-A82F04472B38}"/>
              </a:ext>
            </a:extLst>
          </xdr:cNvPr>
          <xdr:cNvGraphicFramePr/>
        </xdr:nvGraphicFramePr>
        <xdr:xfrm>
          <a:off x="85726" y="0"/>
          <a:ext cx="1257300" cy="1133475"/>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435B4543-6B58-473C-A101-DF1FDC29C490}"/>
              </a:ext>
            </a:extLst>
          </xdr:cNvPr>
          <xdr:cNvSpPr/>
        </xdr:nvSpPr>
        <xdr:spPr>
          <a:xfrm>
            <a:off x="2905125" y="790575"/>
            <a:ext cx="1914525" cy="360000"/>
          </a:xfrm>
          <a:prstGeom prst="roundRect">
            <a:avLst/>
          </a:prstGeom>
          <a:no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cap="none" spc="0">
                <a:ln w="0"/>
                <a:solidFill>
                  <a:srgbClr val="FFC91D"/>
                </a:solidFill>
                <a:effectLst>
                  <a:glow rad="63500">
                    <a:schemeClr val="accent3">
                      <a:satMod val="175000"/>
                      <a:alpha val="40000"/>
                    </a:schemeClr>
                  </a:glow>
                  <a:reflection blurRad="6350" stA="53000" endA="300" endPos="35500" dir="5400000" sy="-90000" algn="bl" rotWithShape="0"/>
                </a:effectLst>
                <a:latin typeface="Aptos" panose="020B0004020202020204" pitchFamily="34" charset="0"/>
              </a:rPr>
              <a:t>DASHBOARD</a:t>
            </a:r>
            <a:endParaRPr lang="en-IN" sz="1600" b="1">
              <a:solidFill>
                <a:srgbClr val="FFC91D"/>
              </a:solidFill>
              <a:effectLst>
                <a:glow rad="63500">
                  <a:schemeClr val="accent3">
                    <a:satMod val="175000"/>
                    <a:alpha val="40000"/>
                  </a:schemeClr>
                </a:glow>
                <a:reflection blurRad="6350" stA="53000" endA="300" endPos="35500" dir="5400000" sy="-90000" algn="bl" rotWithShape="0"/>
              </a:effectLst>
              <a:latin typeface="Aptos" panose="020B0004020202020204" pitchFamily="34" charset="0"/>
            </a:endParaRPr>
          </a:p>
        </xdr:txBody>
      </xdr:sp>
      <xdr:sp macro="" textlink="">
        <xdr:nvSpPr>
          <xdr:cNvPr id="8" name="Rectangle: Rounded Corners 7">
            <a:hlinkClick xmlns:r="http://schemas.openxmlformats.org/officeDocument/2006/relationships" r:id="rId7"/>
            <a:extLst>
              <a:ext uri="{FF2B5EF4-FFF2-40B4-BE49-F238E27FC236}">
                <a16:creationId xmlns:a16="http://schemas.microsoft.com/office/drawing/2014/main" id="{D3736D1B-40A0-4C16-A7BE-2AB0D7248E50}"/>
              </a:ext>
            </a:extLst>
          </xdr:cNvPr>
          <xdr:cNvSpPr/>
        </xdr:nvSpPr>
        <xdr:spPr>
          <a:xfrm>
            <a:off x="5400674" y="790575"/>
            <a:ext cx="3276601" cy="360000"/>
          </a:xfrm>
          <a:prstGeom prst="roundRect">
            <a:avLst/>
          </a:prstGeom>
          <a:no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rgbClr val="FFC000"/>
                </a:solidFill>
                <a:latin typeface="Aptos" panose="020B0004020202020204" pitchFamily="34" charset="0"/>
              </a:rPr>
              <a:t>PRODUCT</a:t>
            </a:r>
            <a:r>
              <a:rPr lang="en-IN" sz="1600" b="1" baseline="0">
                <a:solidFill>
                  <a:srgbClr val="FFC000"/>
                </a:solidFill>
                <a:latin typeface="Aptos" panose="020B0004020202020204" pitchFamily="34" charset="0"/>
              </a:rPr>
              <a:t> PERFORMANCE</a:t>
            </a:r>
            <a:endParaRPr lang="en-IN" sz="1600" b="1">
              <a:solidFill>
                <a:srgbClr val="FFC000"/>
              </a:solidFill>
              <a:latin typeface="Aptos" panose="020B0004020202020204" pitchFamily="34" charset="0"/>
            </a:endParaRPr>
          </a:p>
        </xdr:txBody>
      </xdr:sp>
      <xdr:sp macro="" textlink="">
        <xdr:nvSpPr>
          <xdr:cNvPr id="9" name="Rectangle: Rounded Corners 8">
            <a:hlinkClick xmlns:r="http://schemas.openxmlformats.org/officeDocument/2006/relationships" r:id="rId8"/>
            <a:extLst>
              <a:ext uri="{FF2B5EF4-FFF2-40B4-BE49-F238E27FC236}">
                <a16:creationId xmlns:a16="http://schemas.microsoft.com/office/drawing/2014/main" id="{8AFA9AAB-F557-40CD-B19A-9A966267FEF8}"/>
              </a:ext>
            </a:extLst>
          </xdr:cNvPr>
          <xdr:cNvSpPr/>
        </xdr:nvSpPr>
        <xdr:spPr>
          <a:xfrm>
            <a:off x="9391649" y="781050"/>
            <a:ext cx="3219451" cy="360000"/>
          </a:xfrm>
          <a:prstGeom prst="roundRect">
            <a:avLst/>
          </a:prstGeom>
          <a:solidFill>
            <a:srgbClr val="FFFFB7"/>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rgbClr val="D6A300"/>
                </a:solidFill>
                <a:latin typeface="Aptos" panose="020B0004020202020204" pitchFamily="34" charset="0"/>
              </a:rPr>
              <a:t>SALES</a:t>
            </a:r>
            <a:r>
              <a:rPr lang="en-IN" sz="1600" b="1" baseline="0">
                <a:solidFill>
                  <a:srgbClr val="D6A300"/>
                </a:solidFill>
                <a:latin typeface="Aptos" panose="020B0004020202020204" pitchFamily="34" charset="0"/>
              </a:rPr>
              <a:t> TEAM PERFORMANCE</a:t>
            </a:r>
            <a:endParaRPr lang="en-IN" sz="1600" b="1">
              <a:solidFill>
                <a:srgbClr val="D6A300"/>
              </a:solidFill>
              <a:latin typeface="Aptos" panose="020B0004020202020204" pitchFamily="34" charset="0"/>
            </a:endParaRPr>
          </a:p>
        </xdr:txBody>
      </xdr:sp>
      <xdr:sp macro="" textlink="">
        <xdr:nvSpPr>
          <xdr:cNvPr id="10" name="Rectangle: Rounded Corners 9">
            <a:hlinkClick xmlns:r="http://schemas.openxmlformats.org/officeDocument/2006/relationships" r:id="rId9"/>
            <a:extLst>
              <a:ext uri="{FF2B5EF4-FFF2-40B4-BE49-F238E27FC236}">
                <a16:creationId xmlns:a16="http://schemas.microsoft.com/office/drawing/2014/main" id="{59D52025-BA21-4299-87B9-4C35AC760695}"/>
              </a:ext>
            </a:extLst>
          </xdr:cNvPr>
          <xdr:cNvSpPr/>
        </xdr:nvSpPr>
        <xdr:spPr>
          <a:xfrm>
            <a:off x="13287376" y="781050"/>
            <a:ext cx="2047874" cy="360000"/>
          </a:xfrm>
          <a:prstGeom prst="roundRect">
            <a:avLst/>
          </a:prstGeom>
          <a:no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rgbClr val="FFC000"/>
                </a:solidFill>
                <a:latin typeface="Aptos" panose="020B0004020202020204" pitchFamily="34" charset="0"/>
              </a:rPr>
              <a:t>ABOUT</a:t>
            </a:r>
          </a:p>
        </xdr:txBody>
      </xdr:sp>
      <xdr:sp macro="" textlink="">
        <xdr:nvSpPr>
          <xdr:cNvPr id="11" name="Rectangle: Rounded Corners 10">
            <a:extLst>
              <a:ext uri="{FF2B5EF4-FFF2-40B4-BE49-F238E27FC236}">
                <a16:creationId xmlns:a16="http://schemas.microsoft.com/office/drawing/2014/main" id="{62D73460-C331-4918-8FA3-39F42C140A75}"/>
              </a:ext>
            </a:extLst>
          </xdr:cNvPr>
          <xdr:cNvSpPr/>
        </xdr:nvSpPr>
        <xdr:spPr>
          <a:xfrm>
            <a:off x="381000" y="1247775"/>
            <a:ext cx="1819275" cy="333374"/>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b="1" cap="none" spc="0">
              <a:ln w="0">
                <a:solidFill>
                  <a:schemeClr val="tx2"/>
                </a:solidFill>
              </a:ln>
              <a:solidFill>
                <a:schemeClr val="accent2">
                  <a:lumMod val="75000"/>
                </a:schemeClr>
              </a:solidFill>
              <a:effectLst>
                <a:outerShdw blurRad="38100" dist="25400" dir="5400000" algn="ctr" rotWithShape="0">
                  <a:srgbClr val="6E747A">
                    <a:alpha val="43000"/>
                  </a:srgbClr>
                </a:outerShdw>
              </a:effectLst>
              <a:latin typeface="+mj-lt"/>
            </a:endParaRPr>
          </a:p>
        </xdr:txBody>
      </xdr:sp>
      <xdr:sp macro="" textlink="">
        <xdr:nvSpPr>
          <xdr:cNvPr id="12" name="TextBox 11">
            <a:extLst>
              <a:ext uri="{FF2B5EF4-FFF2-40B4-BE49-F238E27FC236}">
                <a16:creationId xmlns:a16="http://schemas.microsoft.com/office/drawing/2014/main" id="{6151CE11-2275-4412-A41D-BFB3327C47E9}"/>
              </a:ext>
            </a:extLst>
          </xdr:cNvPr>
          <xdr:cNvSpPr txBox="1"/>
        </xdr:nvSpPr>
        <xdr:spPr>
          <a:xfrm>
            <a:off x="13630275" y="2324100"/>
            <a:ext cx="2324101" cy="209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r>
              <a:rPr lang="en-IN" sz="1200" b="1" i="0" baseline="0">
                <a:solidFill>
                  <a:schemeClr val="tx1"/>
                </a:solidFill>
                <a:latin typeface="+mn-lt"/>
              </a:rPr>
              <a:t>+14.7% above target</a:t>
            </a:r>
            <a:endParaRPr lang="en-IN" sz="1200" b="1" i="0">
              <a:solidFill>
                <a:schemeClr val="tx1"/>
              </a:solidFill>
              <a:latin typeface="+mn-lt"/>
            </a:endParaRPr>
          </a:p>
        </xdr:txBody>
      </xdr:sp>
      <xdr:grpSp>
        <xdr:nvGrpSpPr>
          <xdr:cNvPr id="13" name="Group 12">
            <a:extLst>
              <a:ext uri="{FF2B5EF4-FFF2-40B4-BE49-F238E27FC236}">
                <a16:creationId xmlns:a16="http://schemas.microsoft.com/office/drawing/2014/main" id="{E2494C3B-0281-43ED-A24D-0173E62D7A2B}"/>
              </a:ext>
            </a:extLst>
          </xdr:cNvPr>
          <xdr:cNvGrpSpPr/>
        </xdr:nvGrpSpPr>
        <xdr:grpSpPr>
          <a:xfrm>
            <a:off x="266699" y="1609725"/>
            <a:ext cx="15697200" cy="1066800"/>
            <a:chOff x="266699" y="1609725"/>
            <a:chExt cx="15697200" cy="1066800"/>
          </a:xfrm>
        </xdr:grpSpPr>
        <xdr:grpSp>
          <xdr:nvGrpSpPr>
            <xdr:cNvPr id="14" name="Group 13">
              <a:extLst>
                <a:ext uri="{FF2B5EF4-FFF2-40B4-BE49-F238E27FC236}">
                  <a16:creationId xmlns:a16="http://schemas.microsoft.com/office/drawing/2014/main" id="{A58AFE73-396C-E086-2940-F4F831963F31}"/>
                </a:ext>
              </a:extLst>
            </xdr:cNvPr>
            <xdr:cNvGrpSpPr/>
          </xdr:nvGrpSpPr>
          <xdr:grpSpPr>
            <a:xfrm>
              <a:off x="266699" y="1609725"/>
              <a:ext cx="2543175" cy="1009650"/>
              <a:chOff x="266699" y="1609725"/>
              <a:chExt cx="2543175" cy="1009650"/>
            </a:xfrm>
          </xdr:grpSpPr>
          <xdr:grpSp>
            <xdr:nvGrpSpPr>
              <xdr:cNvPr id="28" name="Group 27">
                <a:extLst>
                  <a:ext uri="{FF2B5EF4-FFF2-40B4-BE49-F238E27FC236}">
                    <a16:creationId xmlns:a16="http://schemas.microsoft.com/office/drawing/2014/main" id="{CC8CB36E-EF1E-F12E-2660-EE225EBA012B}"/>
                  </a:ext>
                </a:extLst>
              </xdr:cNvPr>
              <xdr:cNvGrpSpPr/>
            </xdr:nvGrpSpPr>
            <xdr:grpSpPr>
              <a:xfrm>
                <a:off x="266699" y="1609725"/>
                <a:ext cx="2543175" cy="1009650"/>
                <a:chOff x="266699" y="1609725"/>
                <a:chExt cx="2543175" cy="1009650"/>
              </a:xfrm>
            </xdr:grpSpPr>
            <xdr:sp macro="" textlink="'PT_SALESMAN (KPI &amp; REPORT'!C7">
              <xdr:nvSpPr>
                <xdr:cNvPr id="30" name="Rectangle: Rounded Corners 29">
                  <a:extLst>
                    <a:ext uri="{FF2B5EF4-FFF2-40B4-BE49-F238E27FC236}">
                      <a16:creationId xmlns:a16="http://schemas.microsoft.com/office/drawing/2014/main" id="{55846EFA-FE1E-5A56-B9D9-AA31AFFE96CD}"/>
                    </a:ext>
                  </a:extLst>
                </xdr:cNvPr>
                <xdr:cNvSpPr/>
              </xdr:nvSpPr>
              <xdr:spPr>
                <a:xfrm>
                  <a:off x="266699" y="1609725"/>
                  <a:ext cx="2543175" cy="100965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06F3CF36-65E5-4C7B-932C-7D0B9DD4A239}" type="TxLink">
                    <a:rPr lang="en-US" sz="1600" b="1" i="0" u="none" strike="noStrike">
                      <a:solidFill>
                        <a:schemeClr val="accent1">
                          <a:lumMod val="50000"/>
                        </a:schemeClr>
                      </a:solidFill>
                      <a:latin typeface="+mj-lt"/>
                    </a:rPr>
                    <a:pPr algn="r"/>
                    <a:t>₹ 79,44,646.70</a:t>
                  </a:fld>
                  <a:endParaRPr lang="en-IN" sz="2000" b="1">
                    <a:solidFill>
                      <a:schemeClr val="accent1">
                        <a:lumMod val="50000"/>
                      </a:schemeClr>
                    </a:solidFill>
                    <a:latin typeface="+mj-lt"/>
                  </a:endParaRPr>
                </a:p>
              </xdr:txBody>
            </xdr:sp>
            <xdr:sp macro="" textlink="">
              <xdr:nvSpPr>
                <xdr:cNvPr id="31" name="TextBox 30">
                  <a:extLst>
                    <a:ext uri="{FF2B5EF4-FFF2-40B4-BE49-F238E27FC236}">
                      <a16:creationId xmlns:a16="http://schemas.microsoft.com/office/drawing/2014/main" id="{BB826733-A386-8A15-841A-582F52F49517}"/>
                    </a:ext>
                  </a:extLst>
                </xdr:cNvPr>
                <xdr:cNvSpPr txBox="1"/>
              </xdr:nvSpPr>
              <xdr:spPr>
                <a:xfrm>
                  <a:off x="857250" y="1657349"/>
                  <a:ext cx="1895475" cy="25560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r>
                    <a:rPr lang="en-IN" sz="1600" b="1">
                      <a:solidFill>
                        <a:schemeClr val="accent1">
                          <a:lumMod val="50000"/>
                        </a:schemeClr>
                      </a:solidFill>
                      <a:latin typeface="Aptos" panose="020B0004020202020204" pitchFamily="34" charset="0"/>
                    </a:rPr>
                    <a:t>TOTAL</a:t>
                  </a:r>
                  <a:r>
                    <a:rPr lang="en-IN" sz="1600" b="1" baseline="0">
                      <a:solidFill>
                        <a:schemeClr val="accent1">
                          <a:lumMod val="50000"/>
                        </a:schemeClr>
                      </a:solidFill>
                      <a:latin typeface="Aptos" panose="020B0004020202020204" pitchFamily="34" charset="0"/>
                    </a:rPr>
                    <a:t>  NET SALES</a:t>
                  </a:r>
                  <a:endParaRPr lang="en-IN" sz="1600" b="1">
                    <a:solidFill>
                      <a:schemeClr val="accent1">
                        <a:lumMod val="50000"/>
                      </a:schemeClr>
                    </a:solidFill>
                    <a:latin typeface="Aptos" panose="020B0004020202020204" pitchFamily="34" charset="0"/>
                  </a:endParaRPr>
                </a:p>
              </xdr:txBody>
            </xdr:sp>
          </xdr:grpSp>
          <xdr:pic>
            <xdr:nvPicPr>
              <xdr:cNvPr id="29" name="Graphic 28" descr="Money with solid fill">
                <a:extLst>
                  <a:ext uri="{FF2B5EF4-FFF2-40B4-BE49-F238E27FC236}">
                    <a16:creationId xmlns:a16="http://schemas.microsoft.com/office/drawing/2014/main" id="{BFDEE0B1-2620-A6F5-8039-6E6A7CAF5C9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95275" y="1876425"/>
                <a:ext cx="584354" cy="723900"/>
              </a:xfrm>
              <a:prstGeom prst="rect">
                <a:avLst/>
              </a:prstGeom>
            </xdr:spPr>
          </xdr:pic>
        </xdr:grpSp>
        <xdr:sp macro="" textlink="'PT_SALESMAN (KPI &amp; REPORT'!I6">
          <xdr:nvSpPr>
            <xdr:cNvPr id="15" name="Rectangle: Rounded Corners 14">
              <a:extLst>
                <a:ext uri="{FF2B5EF4-FFF2-40B4-BE49-F238E27FC236}">
                  <a16:creationId xmlns:a16="http://schemas.microsoft.com/office/drawing/2014/main" id="{A6DECC5A-BA95-FDCC-1CE2-F1DAD04E017A}"/>
                </a:ext>
              </a:extLst>
            </xdr:cNvPr>
            <xdr:cNvSpPr/>
          </xdr:nvSpPr>
          <xdr:spPr>
            <a:xfrm>
              <a:off x="10132217" y="1609725"/>
              <a:ext cx="2543175" cy="100965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92F8B0A7-691C-443E-9AB4-9EB2FB7434D6}" type="TxLink">
                <a:rPr lang="en-US" sz="1600" b="1" i="0" u="none" strike="noStrike">
                  <a:solidFill>
                    <a:srgbClr val="000000"/>
                  </a:solidFill>
                  <a:latin typeface="Aptos Narrow"/>
                  <a:ea typeface="+mn-ea"/>
                  <a:cs typeface="+mn-cs"/>
                </a:rPr>
                <a:pPr marL="0" indent="0" algn="r"/>
                <a:t>27.03%</a:t>
              </a:fld>
              <a:endParaRPr lang="en-US" sz="1800" b="1" i="0" u="none" strike="noStrike">
                <a:solidFill>
                  <a:schemeClr val="accent1">
                    <a:lumMod val="50000"/>
                  </a:schemeClr>
                </a:solidFill>
                <a:latin typeface="+mj-lt"/>
                <a:ea typeface="+mn-ea"/>
                <a:cs typeface="+mn-cs"/>
              </a:endParaRPr>
            </a:p>
          </xdr:txBody>
        </xdr:sp>
        <xdr:grpSp>
          <xdr:nvGrpSpPr>
            <xdr:cNvPr id="16" name="Group 15">
              <a:extLst>
                <a:ext uri="{FF2B5EF4-FFF2-40B4-BE49-F238E27FC236}">
                  <a16:creationId xmlns:a16="http://schemas.microsoft.com/office/drawing/2014/main" id="{6E62A08C-3CEF-087A-FCF6-826A8BDCF71E}"/>
                </a:ext>
              </a:extLst>
            </xdr:cNvPr>
            <xdr:cNvGrpSpPr/>
          </xdr:nvGrpSpPr>
          <xdr:grpSpPr>
            <a:xfrm>
              <a:off x="6843711" y="1609725"/>
              <a:ext cx="2543175" cy="1066800"/>
              <a:chOff x="6843711" y="1609725"/>
              <a:chExt cx="2543175" cy="1066800"/>
            </a:xfrm>
          </xdr:grpSpPr>
          <xdr:sp macro="" textlink="'PT_SALESMAN (KPI &amp; REPORT'!G7">
            <xdr:nvSpPr>
              <xdr:cNvPr id="25" name="Rectangle: Rounded Corners 24">
                <a:extLst>
                  <a:ext uri="{FF2B5EF4-FFF2-40B4-BE49-F238E27FC236}">
                    <a16:creationId xmlns:a16="http://schemas.microsoft.com/office/drawing/2014/main" id="{CAC43BBC-56BE-4098-4DE3-F71F756B68E5}"/>
                  </a:ext>
                </a:extLst>
              </xdr:cNvPr>
              <xdr:cNvSpPr/>
            </xdr:nvSpPr>
            <xdr:spPr>
              <a:xfrm>
                <a:off x="6843711" y="1609725"/>
                <a:ext cx="2543175" cy="100965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2DB1A6C2-2CB8-40F5-85F7-98F75A20F4C1}" type="TxLink">
                  <a:rPr lang="en-US" sz="1600" b="1" i="0" u="none" strike="noStrike">
                    <a:solidFill>
                      <a:schemeClr val="accent1">
                        <a:lumMod val="50000"/>
                      </a:schemeClr>
                    </a:solidFill>
                    <a:latin typeface="+mj-lt"/>
                    <a:ea typeface="+mn-ea"/>
                    <a:cs typeface="+mn-cs"/>
                  </a:rPr>
                  <a:pPr marL="0" indent="0" algn="r"/>
                  <a:t>₹ 21,47,316.70</a:t>
                </a:fld>
                <a:endParaRPr lang="en-US" sz="1600" b="1" i="0" u="none" strike="noStrike">
                  <a:solidFill>
                    <a:schemeClr val="accent1">
                      <a:lumMod val="50000"/>
                    </a:schemeClr>
                  </a:solidFill>
                  <a:latin typeface="+mj-lt"/>
                  <a:ea typeface="+mn-ea"/>
                  <a:cs typeface="+mn-cs"/>
                </a:endParaRPr>
              </a:p>
            </xdr:txBody>
          </xdr:sp>
          <xdr:sp macro="" textlink="">
            <xdr:nvSpPr>
              <xdr:cNvPr id="26" name="TextBox 25">
                <a:extLst>
                  <a:ext uri="{FF2B5EF4-FFF2-40B4-BE49-F238E27FC236}">
                    <a16:creationId xmlns:a16="http://schemas.microsoft.com/office/drawing/2014/main" id="{F668A264-DFDB-D7C6-068B-AA111886B93A}"/>
                  </a:ext>
                </a:extLst>
              </xdr:cNvPr>
              <xdr:cNvSpPr txBox="1"/>
            </xdr:nvSpPr>
            <xdr:spPr>
              <a:xfrm>
                <a:off x="7410451" y="1666874"/>
                <a:ext cx="1924050" cy="25560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r>
                  <a:rPr lang="en-IN" sz="1600" b="1">
                    <a:solidFill>
                      <a:schemeClr val="accent1">
                        <a:lumMod val="50000"/>
                      </a:schemeClr>
                    </a:solidFill>
                    <a:latin typeface="Aptos" panose="020B0004020202020204" pitchFamily="34" charset="0"/>
                  </a:rPr>
                  <a:t>TOTAL</a:t>
                </a:r>
                <a:r>
                  <a:rPr lang="en-IN" sz="1600" b="1" baseline="0">
                    <a:solidFill>
                      <a:schemeClr val="accent1">
                        <a:lumMod val="50000"/>
                      </a:schemeClr>
                    </a:solidFill>
                    <a:latin typeface="Aptos" panose="020B0004020202020204" pitchFamily="34" charset="0"/>
                  </a:rPr>
                  <a:t>  PROFIT</a:t>
                </a:r>
                <a:endParaRPr lang="en-IN" sz="1600" b="1">
                  <a:solidFill>
                    <a:schemeClr val="accent1">
                      <a:lumMod val="50000"/>
                    </a:schemeClr>
                  </a:solidFill>
                  <a:latin typeface="Aptos" panose="020B0004020202020204" pitchFamily="34" charset="0"/>
                </a:endParaRPr>
              </a:p>
            </xdr:txBody>
          </xdr:sp>
          <xdr:pic>
            <xdr:nvPicPr>
              <xdr:cNvPr id="27" name="Graphic 26" descr="Coins with solid fill">
                <a:extLst>
                  <a:ext uri="{FF2B5EF4-FFF2-40B4-BE49-F238E27FC236}">
                    <a16:creationId xmlns:a16="http://schemas.microsoft.com/office/drawing/2014/main" id="{A72B080B-0BBC-60E8-80C4-FAEB3F755C4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848474" y="1885950"/>
                <a:ext cx="648449" cy="790575"/>
              </a:xfrm>
              <a:prstGeom prst="rect">
                <a:avLst/>
              </a:prstGeom>
            </xdr:spPr>
          </xdr:pic>
        </xdr:grpSp>
        <xdr:grpSp>
          <xdr:nvGrpSpPr>
            <xdr:cNvPr id="17" name="Group 16">
              <a:extLst>
                <a:ext uri="{FF2B5EF4-FFF2-40B4-BE49-F238E27FC236}">
                  <a16:creationId xmlns:a16="http://schemas.microsoft.com/office/drawing/2014/main" id="{E8FB6D66-AED9-C1C2-CAA8-78E973ABAE26}"/>
                </a:ext>
              </a:extLst>
            </xdr:cNvPr>
            <xdr:cNvGrpSpPr/>
          </xdr:nvGrpSpPr>
          <xdr:grpSpPr>
            <a:xfrm>
              <a:off x="13420724" y="1609725"/>
              <a:ext cx="2543175" cy="1009650"/>
              <a:chOff x="13420724" y="1609725"/>
              <a:chExt cx="2543175" cy="1009650"/>
            </a:xfrm>
          </xdr:grpSpPr>
          <xdr:sp macro="" textlink="">
            <xdr:nvSpPr>
              <xdr:cNvPr id="22" name="Rectangle: Rounded Corners 21">
                <a:extLst>
                  <a:ext uri="{FF2B5EF4-FFF2-40B4-BE49-F238E27FC236}">
                    <a16:creationId xmlns:a16="http://schemas.microsoft.com/office/drawing/2014/main" id="{1A5EDF64-5065-F707-57F0-771D9A77292E}"/>
                  </a:ext>
                </a:extLst>
              </xdr:cNvPr>
              <xdr:cNvSpPr/>
            </xdr:nvSpPr>
            <xdr:spPr>
              <a:xfrm>
                <a:off x="13420724" y="1609725"/>
                <a:ext cx="2543175" cy="100965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endParaRPr lang="en-US" sz="1600" b="1" i="0" u="none" strike="noStrike">
                  <a:solidFill>
                    <a:schemeClr val="accent1">
                      <a:lumMod val="50000"/>
                    </a:schemeClr>
                  </a:solidFill>
                  <a:latin typeface="Aptos Narrow"/>
                  <a:ea typeface="+mn-ea"/>
                  <a:cs typeface="+mn-cs"/>
                </a:endParaRPr>
              </a:p>
            </xdr:txBody>
          </xdr:sp>
          <xdr:sp macro="" textlink="">
            <xdr:nvSpPr>
              <xdr:cNvPr id="23" name="TextBox 22">
                <a:extLst>
                  <a:ext uri="{FF2B5EF4-FFF2-40B4-BE49-F238E27FC236}">
                    <a16:creationId xmlns:a16="http://schemas.microsoft.com/office/drawing/2014/main" id="{A5A9FDB6-102E-56AB-A435-3A2A13ABABDA}"/>
                  </a:ext>
                </a:extLst>
              </xdr:cNvPr>
              <xdr:cNvSpPr txBox="1"/>
            </xdr:nvSpPr>
            <xdr:spPr>
              <a:xfrm>
                <a:off x="13515976" y="1666874"/>
                <a:ext cx="2381250" cy="25560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r>
                  <a:rPr lang="en-IN" sz="1600" b="1" baseline="0">
                    <a:solidFill>
                      <a:schemeClr val="accent1">
                        <a:lumMod val="50000"/>
                      </a:schemeClr>
                    </a:solidFill>
                    <a:latin typeface="Aptos" panose="020B0004020202020204" pitchFamily="34" charset="0"/>
                  </a:rPr>
                  <a:t>TOP SALESMAN</a:t>
                </a:r>
                <a:endParaRPr lang="en-IN" sz="1600" b="1">
                  <a:solidFill>
                    <a:schemeClr val="accent1">
                      <a:lumMod val="50000"/>
                    </a:schemeClr>
                  </a:solidFill>
                  <a:latin typeface="Aptos" panose="020B0004020202020204" pitchFamily="34" charset="0"/>
                </a:endParaRPr>
              </a:p>
            </xdr:txBody>
          </xdr:sp>
          <xdr:sp macro="" textlink="'PT_SALESMAN (KPI &amp; REPORT'!J6">
            <xdr:nvSpPr>
              <xdr:cNvPr id="24" name="TextBox 23">
                <a:extLst>
                  <a:ext uri="{FF2B5EF4-FFF2-40B4-BE49-F238E27FC236}">
                    <a16:creationId xmlns:a16="http://schemas.microsoft.com/office/drawing/2014/main" id="{EAE96239-E505-7D98-07E5-56F6DE668F24}"/>
                  </a:ext>
                </a:extLst>
              </xdr:cNvPr>
              <xdr:cNvSpPr txBox="1"/>
            </xdr:nvSpPr>
            <xdr:spPr>
              <a:xfrm>
                <a:off x="14106525" y="2000250"/>
                <a:ext cx="1581150" cy="4286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42DB4DA1-6934-459A-9AF5-3EC7F9FAF203}" type="TxLink">
                  <a:rPr lang="en-US" sz="1600" b="1" i="0" u="none" strike="noStrike">
                    <a:solidFill>
                      <a:schemeClr val="accent1">
                        <a:lumMod val="50000"/>
                      </a:schemeClr>
                    </a:solidFill>
                    <a:latin typeface="+mj-lt"/>
                    <a:ea typeface="+mn-ea"/>
                    <a:cs typeface="+mn-cs"/>
                  </a:rPr>
                  <a:pPr marL="0" indent="0" algn="r"/>
                  <a:t>Alok Pal</a:t>
                </a:fld>
                <a:endParaRPr lang="en-US" sz="1600" b="1" i="0" u="none" strike="noStrike">
                  <a:solidFill>
                    <a:schemeClr val="accent1">
                      <a:lumMod val="50000"/>
                    </a:schemeClr>
                  </a:solidFill>
                  <a:latin typeface="+mj-lt"/>
                  <a:ea typeface="+mn-ea"/>
                  <a:cs typeface="+mn-cs"/>
                </a:endParaRPr>
              </a:p>
            </xdr:txBody>
          </xdr:sp>
        </xdr:grpSp>
        <xdr:grpSp>
          <xdr:nvGrpSpPr>
            <xdr:cNvPr id="18" name="Group 17">
              <a:extLst>
                <a:ext uri="{FF2B5EF4-FFF2-40B4-BE49-F238E27FC236}">
                  <a16:creationId xmlns:a16="http://schemas.microsoft.com/office/drawing/2014/main" id="{3C5DA540-18BD-CC6D-A064-39B8BBE4B7C7}"/>
                </a:ext>
              </a:extLst>
            </xdr:cNvPr>
            <xdr:cNvGrpSpPr/>
          </xdr:nvGrpSpPr>
          <xdr:grpSpPr>
            <a:xfrm>
              <a:off x="3505200" y="1609725"/>
              <a:ext cx="2593180" cy="1009650"/>
              <a:chOff x="3505200" y="1609725"/>
              <a:chExt cx="2593180" cy="1009650"/>
            </a:xfrm>
          </xdr:grpSpPr>
          <xdr:sp macro="" textlink="'PT_SALESMAN (KPI &amp; REPORT'!D7">
            <xdr:nvSpPr>
              <xdr:cNvPr id="19" name="Rectangle: Rounded Corners 18">
                <a:extLst>
                  <a:ext uri="{FF2B5EF4-FFF2-40B4-BE49-F238E27FC236}">
                    <a16:creationId xmlns:a16="http://schemas.microsoft.com/office/drawing/2014/main" id="{792A48D0-68FA-5441-A066-129E36AF64EC}"/>
                  </a:ext>
                </a:extLst>
              </xdr:cNvPr>
              <xdr:cNvSpPr/>
            </xdr:nvSpPr>
            <xdr:spPr>
              <a:xfrm>
                <a:off x="3555205" y="1609725"/>
                <a:ext cx="2543175" cy="1009650"/>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DF10F5AA-1AE0-4CD8-B0AE-07BDACB5542C}" type="TxLink">
                  <a:rPr lang="en-US" sz="1600" b="1" i="0" u="none" strike="noStrike">
                    <a:solidFill>
                      <a:schemeClr val="accent1">
                        <a:lumMod val="50000"/>
                      </a:schemeClr>
                    </a:solidFill>
                    <a:latin typeface="+mj-lt"/>
                    <a:ea typeface="+mn-ea"/>
                    <a:cs typeface="+mn-cs"/>
                  </a:rPr>
                  <a:pPr marL="0" indent="0" algn="r"/>
                  <a:t>8572.00</a:t>
                </a:fld>
                <a:endParaRPr lang="en-IN" sz="1600" b="1" i="0" u="none" strike="noStrike">
                  <a:solidFill>
                    <a:schemeClr val="accent1">
                      <a:lumMod val="50000"/>
                    </a:schemeClr>
                  </a:solidFill>
                  <a:latin typeface="+mj-lt"/>
                  <a:ea typeface="+mn-ea"/>
                  <a:cs typeface="+mn-cs"/>
                </a:endParaRPr>
              </a:p>
            </xdr:txBody>
          </xdr:sp>
          <xdr:sp macro="" textlink="">
            <xdr:nvSpPr>
              <xdr:cNvPr id="20" name="TextBox 19">
                <a:extLst>
                  <a:ext uri="{FF2B5EF4-FFF2-40B4-BE49-F238E27FC236}">
                    <a16:creationId xmlns:a16="http://schemas.microsoft.com/office/drawing/2014/main" id="{6705589C-7B0B-0DE2-4878-C886FEB004CF}"/>
                  </a:ext>
                </a:extLst>
              </xdr:cNvPr>
              <xdr:cNvSpPr txBox="1"/>
            </xdr:nvSpPr>
            <xdr:spPr>
              <a:xfrm>
                <a:off x="4171950" y="1676400"/>
                <a:ext cx="1866901" cy="257176"/>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r>
                  <a:rPr lang="en-IN" sz="1600" b="1">
                    <a:solidFill>
                      <a:schemeClr val="accent1">
                        <a:lumMod val="50000"/>
                      </a:schemeClr>
                    </a:solidFill>
                    <a:latin typeface="Aptos" panose="020B0004020202020204" pitchFamily="34" charset="0"/>
                  </a:rPr>
                  <a:t>TOTAL</a:t>
                </a:r>
                <a:r>
                  <a:rPr lang="en-IN" sz="1600" b="1" baseline="0">
                    <a:solidFill>
                      <a:schemeClr val="accent1">
                        <a:lumMod val="50000"/>
                      </a:schemeClr>
                    </a:solidFill>
                    <a:latin typeface="Aptos" panose="020B0004020202020204" pitchFamily="34" charset="0"/>
                  </a:rPr>
                  <a:t>  QUANTITY</a:t>
                </a:r>
                <a:endParaRPr lang="en-IN" sz="1600" b="1">
                  <a:solidFill>
                    <a:schemeClr val="accent1">
                      <a:lumMod val="50000"/>
                    </a:schemeClr>
                  </a:solidFill>
                  <a:latin typeface="Aptos" panose="020B0004020202020204" pitchFamily="34" charset="0"/>
                </a:endParaRPr>
              </a:p>
            </xdr:txBody>
          </xdr:sp>
          <xdr:pic>
            <xdr:nvPicPr>
              <xdr:cNvPr id="21" name="Graphic 20" descr="Shopping cart with solid fill">
                <a:extLst>
                  <a:ext uri="{FF2B5EF4-FFF2-40B4-BE49-F238E27FC236}">
                    <a16:creationId xmlns:a16="http://schemas.microsoft.com/office/drawing/2014/main" id="{19123EA3-350D-0150-60DF-A4F281C5ECC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505200" y="1857375"/>
                <a:ext cx="742950" cy="742950"/>
              </a:xfrm>
              <a:prstGeom prst="rect">
                <a:avLst/>
              </a:prstGeom>
            </xdr:spPr>
          </xdr:pic>
        </xdr:grpSp>
      </xdr:grpSp>
      <xdr:grpSp>
        <xdr:nvGrpSpPr>
          <xdr:cNvPr id="32" name="Group 31">
            <a:extLst>
              <a:ext uri="{FF2B5EF4-FFF2-40B4-BE49-F238E27FC236}">
                <a16:creationId xmlns:a16="http://schemas.microsoft.com/office/drawing/2014/main" id="{01DA2613-0B86-4286-BEE3-0A4B7FF21F54}"/>
              </a:ext>
            </a:extLst>
          </xdr:cNvPr>
          <xdr:cNvGrpSpPr/>
        </xdr:nvGrpSpPr>
        <xdr:grpSpPr>
          <a:xfrm>
            <a:off x="10096500" y="1666874"/>
            <a:ext cx="2495550" cy="952500"/>
            <a:chOff x="10096500" y="1666874"/>
            <a:chExt cx="2495550" cy="952500"/>
          </a:xfrm>
        </xdr:grpSpPr>
        <xdr:sp macro="" textlink="">
          <xdr:nvSpPr>
            <xdr:cNvPr id="33" name="TextBox 32">
              <a:extLst>
                <a:ext uri="{FF2B5EF4-FFF2-40B4-BE49-F238E27FC236}">
                  <a16:creationId xmlns:a16="http://schemas.microsoft.com/office/drawing/2014/main" id="{792E924B-9A2E-EA93-F441-1C1124396075}"/>
                </a:ext>
              </a:extLst>
            </xdr:cNvPr>
            <xdr:cNvSpPr txBox="1"/>
          </xdr:nvSpPr>
          <xdr:spPr>
            <a:xfrm>
              <a:off x="10677525" y="1666874"/>
              <a:ext cx="1914525" cy="25560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r>
                <a:rPr lang="en-IN" sz="1600" b="1" baseline="0">
                  <a:solidFill>
                    <a:schemeClr val="accent1">
                      <a:lumMod val="50000"/>
                    </a:schemeClr>
                  </a:solidFill>
                  <a:latin typeface="Aptos" panose="020B0004020202020204" pitchFamily="34" charset="0"/>
                </a:rPr>
                <a:t>  PROFIT MARGIN</a:t>
              </a:r>
              <a:endParaRPr lang="en-IN" sz="1600" b="1">
                <a:solidFill>
                  <a:schemeClr val="accent1">
                    <a:lumMod val="50000"/>
                  </a:schemeClr>
                </a:solidFill>
                <a:latin typeface="Aptos" panose="020B0004020202020204" pitchFamily="34" charset="0"/>
              </a:endParaRPr>
            </a:p>
          </xdr:txBody>
        </xdr:sp>
        <xdr:pic>
          <xdr:nvPicPr>
            <xdr:cNvPr id="34" name="Graphic 33" descr="Database with solid fill">
              <a:extLst>
                <a:ext uri="{FF2B5EF4-FFF2-40B4-BE49-F238E27FC236}">
                  <a16:creationId xmlns:a16="http://schemas.microsoft.com/office/drawing/2014/main" id="{DF14B86E-6F5B-4FD4-5098-BF2D39E9057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096500" y="1971675"/>
              <a:ext cx="647699" cy="647699"/>
            </a:xfrm>
            <a:prstGeom prst="rect">
              <a:avLst/>
            </a:prstGeom>
          </xdr:spPr>
        </xdr:pic>
      </xdr:grpSp>
      <xdr:sp macro="" textlink="">
        <xdr:nvSpPr>
          <xdr:cNvPr id="35" name="Rectangle: Rounded Corners 34">
            <a:extLst>
              <a:ext uri="{FF2B5EF4-FFF2-40B4-BE49-F238E27FC236}">
                <a16:creationId xmlns:a16="http://schemas.microsoft.com/office/drawing/2014/main" id="{04F6B0C7-4977-4A43-9E07-D16AD38FE91C}"/>
              </a:ext>
            </a:extLst>
          </xdr:cNvPr>
          <xdr:cNvSpPr/>
        </xdr:nvSpPr>
        <xdr:spPr>
          <a:xfrm>
            <a:off x="11353800" y="2705100"/>
            <a:ext cx="5505451" cy="4324350"/>
          </a:xfrm>
          <a:prstGeom prst="roundRect">
            <a:avLst>
              <a:gd name="adj" fmla="val 7701"/>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700"/>
          </a:p>
        </xdr:txBody>
      </xdr:sp>
      <xdr:sp macro="" textlink="">
        <xdr:nvSpPr>
          <xdr:cNvPr id="36" name="Rectangle 35">
            <a:extLst>
              <a:ext uri="{FF2B5EF4-FFF2-40B4-BE49-F238E27FC236}">
                <a16:creationId xmlns:a16="http://schemas.microsoft.com/office/drawing/2014/main" id="{DAE1FF0A-09D5-4B4E-B083-191ADBA72E56}"/>
              </a:ext>
            </a:extLst>
          </xdr:cNvPr>
          <xdr:cNvSpPr/>
        </xdr:nvSpPr>
        <xdr:spPr>
          <a:xfrm>
            <a:off x="11334750" y="2667000"/>
            <a:ext cx="5543550" cy="361950"/>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latin typeface="+mj-lt"/>
              </a:rPr>
              <a:t>FILTERS</a:t>
            </a:r>
          </a:p>
        </xdr:txBody>
      </xdr:sp>
      <xdr:pic>
        <xdr:nvPicPr>
          <xdr:cNvPr id="37" name="Graphic 36" descr="Crown with solid fill">
            <a:extLst>
              <a:ext uri="{FF2B5EF4-FFF2-40B4-BE49-F238E27FC236}">
                <a16:creationId xmlns:a16="http://schemas.microsoft.com/office/drawing/2014/main" id="{2E9A60E6-0CF4-4417-8807-7885C47DD6CC}"/>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3420725" y="1952624"/>
            <a:ext cx="657225" cy="657225"/>
          </a:xfrm>
          <a:prstGeom prst="rect">
            <a:avLst/>
          </a:prstGeom>
        </xdr:spPr>
      </xdr:pic>
      <xdr:sp macro="" textlink="">
        <xdr:nvSpPr>
          <xdr:cNvPr id="38" name="Rectangle: Rounded Corners 37">
            <a:extLst>
              <a:ext uri="{FF2B5EF4-FFF2-40B4-BE49-F238E27FC236}">
                <a16:creationId xmlns:a16="http://schemas.microsoft.com/office/drawing/2014/main" id="{CE0B5DE9-36D2-4F7A-9F27-AE34FC6109DB}"/>
              </a:ext>
            </a:extLst>
          </xdr:cNvPr>
          <xdr:cNvSpPr/>
        </xdr:nvSpPr>
        <xdr:spPr>
          <a:xfrm>
            <a:off x="285752" y="2705100"/>
            <a:ext cx="3600000" cy="2286000"/>
          </a:xfrm>
          <a:prstGeom prst="roundRect">
            <a:avLst>
              <a:gd name="adj" fmla="val 7701"/>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 name="Rectangle: Rounded Corners 39">
            <a:extLst>
              <a:ext uri="{FF2B5EF4-FFF2-40B4-BE49-F238E27FC236}">
                <a16:creationId xmlns:a16="http://schemas.microsoft.com/office/drawing/2014/main" id="{5CAC0405-7EE2-487F-ACB1-2C32B857AA32}"/>
              </a:ext>
            </a:extLst>
          </xdr:cNvPr>
          <xdr:cNvSpPr/>
        </xdr:nvSpPr>
        <xdr:spPr>
          <a:xfrm>
            <a:off x="7658100" y="2695575"/>
            <a:ext cx="3600000" cy="2286000"/>
          </a:xfrm>
          <a:prstGeom prst="roundRect">
            <a:avLst>
              <a:gd name="adj" fmla="val 6034"/>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Rectangle: Rounded Corners 41">
            <a:extLst>
              <a:ext uri="{FF2B5EF4-FFF2-40B4-BE49-F238E27FC236}">
                <a16:creationId xmlns:a16="http://schemas.microsoft.com/office/drawing/2014/main" id="{E0BA846C-2ACE-405E-8BDA-70ADA2EA0F8B}"/>
              </a:ext>
            </a:extLst>
          </xdr:cNvPr>
          <xdr:cNvSpPr/>
        </xdr:nvSpPr>
        <xdr:spPr>
          <a:xfrm>
            <a:off x="247651" y="5095875"/>
            <a:ext cx="5610224" cy="1933575"/>
          </a:xfrm>
          <a:prstGeom prst="roundRect">
            <a:avLst>
              <a:gd name="adj" fmla="val 7701"/>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4" name="Rectangle: Rounded Corners 43">
            <a:extLst>
              <a:ext uri="{FF2B5EF4-FFF2-40B4-BE49-F238E27FC236}">
                <a16:creationId xmlns:a16="http://schemas.microsoft.com/office/drawing/2014/main" id="{653FEE0C-D99F-4337-8C75-0BD83458C691}"/>
              </a:ext>
            </a:extLst>
          </xdr:cNvPr>
          <xdr:cNvSpPr/>
        </xdr:nvSpPr>
        <xdr:spPr>
          <a:xfrm>
            <a:off x="6053137" y="5095875"/>
            <a:ext cx="5186363" cy="1934624"/>
          </a:xfrm>
          <a:prstGeom prst="roundRect">
            <a:avLst>
              <a:gd name="adj" fmla="val 7701"/>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Rectangle 53">
            <a:extLst>
              <a:ext uri="{FF2B5EF4-FFF2-40B4-BE49-F238E27FC236}">
                <a16:creationId xmlns:a16="http://schemas.microsoft.com/office/drawing/2014/main" id="{B508DC05-E39A-450C-B3DD-1AB321D43D44}"/>
              </a:ext>
            </a:extLst>
          </xdr:cNvPr>
          <xdr:cNvSpPr/>
        </xdr:nvSpPr>
        <xdr:spPr>
          <a:xfrm>
            <a:off x="7639050" y="2667000"/>
            <a:ext cx="3657600" cy="361950"/>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latin typeface="+mj-lt"/>
              </a:rPr>
              <a:t>SALES</a:t>
            </a:r>
            <a:r>
              <a:rPr lang="en-IN" sz="1600" b="1" baseline="0">
                <a:solidFill>
                  <a:schemeClr val="bg1"/>
                </a:solidFill>
                <a:latin typeface="+mj-lt"/>
              </a:rPr>
              <a:t> VS </a:t>
            </a:r>
            <a:r>
              <a:rPr lang="en-IN" sz="1600" b="1">
                <a:solidFill>
                  <a:schemeClr val="bg1"/>
                </a:solidFill>
                <a:latin typeface="+mj-lt"/>
              </a:rPr>
              <a:t>PROFIT BY SALESMAN</a:t>
            </a:r>
          </a:p>
        </xdr:txBody>
      </xdr:sp>
      <xdr:sp macro="" textlink="">
        <xdr:nvSpPr>
          <xdr:cNvPr id="55" name="Rectangle 54">
            <a:extLst>
              <a:ext uri="{FF2B5EF4-FFF2-40B4-BE49-F238E27FC236}">
                <a16:creationId xmlns:a16="http://schemas.microsoft.com/office/drawing/2014/main" id="{66DEEA4C-F16A-45D1-9987-527444E08328}"/>
              </a:ext>
            </a:extLst>
          </xdr:cNvPr>
          <xdr:cNvSpPr/>
        </xdr:nvSpPr>
        <xdr:spPr>
          <a:xfrm>
            <a:off x="266699" y="2676525"/>
            <a:ext cx="3648076" cy="361950"/>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solidFill>
                  <a:schemeClr val="bg1"/>
                </a:solidFill>
                <a:latin typeface="+mj-lt"/>
              </a:rPr>
              <a:t> SALESMAN SALES RANKING</a:t>
            </a:r>
            <a:endParaRPr lang="en-IN" sz="1600" b="1">
              <a:solidFill>
                <a:schemeClr val="bg1"/>
              </a:solidFill>
              <a:latin typeface="+mj-lt"/>
            </a:endParaRPr>
          </a:p>
        </xdr:txBody>
      </xdr:sp>
      <xdr:sp macro="" textlink="">
        <xdr:nvSpPr>
          <xdr:cNvPr id="56" name="Rectangle 55">
            <a:extLst>
              <a:ext uri="{FF2B5EF4-FFF2-40B4-BE49-F238E27FC236}">
                <a16:creationId xmlns:a16="http://schemas.microsoft.com/office/drawing/2014/main" id="{BBF0D76E-971F-4AE9-9EEC-0648639325BA}"/>
              </a:ext>
            </a:extLst>
          </xdr:cNvPr>
          <xdr:cNvSpPr/>
        </xdr:nvSpPr>
        <xdr:spPr>
          <a:xfrm>
            <a:off x="209549" y="5067300"/>
            <a:ext cx="5695951" cy="361950"/>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baseline="0">
                <a:solidFill>
                  <a:schemeClr val="bg1"/>
                </a:solidFill>
                <a:latin typeface="+mj-lt"/>
              </a:rPr>
              <a:t> PROFIT MARGIN BY SALESMAN </a:t>
            </a:r>
            <a:endParaRPr lang="en-IN" sz="1600" b="1">
              <a:solidFill>
                <a:schemeClr val="bg1"/>
              </a:solidFill>
              <a:latin typeface="+mj-lt"/>
            </a:endParaRPr>
          </a:p>
        </xdr:txBody>
      </xdr:sp>
      <xdr:sp macro="" textlink="">
        <xdr:nvSpPr>
          <xdr:cNvPr id="57" name="Rectangle 56">
            <a:extLst>
              <a:ext uri="{FF2B5EF4-FFF2-40B4-BE49-F238E27FC236}">
                <a16:creationId xmlns:a16="http://schemas.microsoft.com/office/drawing/2014/main" id="{7DBB3686-280F-454D-BDB7-4862A8407491}"/>
              </a:ext>
            </a:extLst>
          </xdr:cNvPr>
          <xdr:cNvSpPr/>
        </xdr:nvSpPr>
        <xdr:spPr>
          <a:xfrm>
            <a:off x="6010275" y="5076824"/>
            <a:ext cx="5267324" cy="333375"/>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latin typeface="+mj-lt"/>
              </a:rPr>
              <a:t>AVERAGE</a:t>
            </a:r>
            <a:r>
              <a:rPr lang="en-IN" sz="1600" b="1" baseline="0">
                <a:solidFill>
                  <a:schemeClr val="bg1"/>
                </a:solidFill>
                <a:latin typeface="+mj-lt"/>
              </a:rPr>
              <a:t> ORDER VALUE</a:t>
            </a:r>
            <a:r>
              <a:rPr lang="en-IN" sz="1600" b="1">
                <a:solidFill>
                  <a:schemeClr val="bg1"/>
                </a:solidFill>
                <a:latin typeface="+mj-lt"/>
              </a:rPr>
              <a:t> BY SALESMAN</a:t>
            </a:r>
          </a:p>
        </xdr:txBody>
      </xdr:sp>
      <xdr:sp macro="" textlink="">
        <xdr:nvSpPr>
          <xdr:cNvPr id="58" name="Rectangle: Rounded Corners 57">
            <a:extLst>
              <a:ext uri="{FF2B5EF4-FFF2-40B4-BE49-F238E27FC236}">
                <a16:creationId xmlns:a16="http://schemas.microsoft.com/office/drawing/2014/main" id="{89E09D08-BDFB-43EA-8401-D153DB1E313D}"/>
              </a:ext>
            </a:extLst>
          </xdr:cNvPr>
          <xdr:cNvSpPr/>
        </xdr:nvSpPr>
        <xdr:spPr>
          <a:xfrm>
            <a:off x="3971926" y="2705100"/>
            <a:ext cx="3600000" cy="2286000"/>
          </a:xfrm>
          <a:prstGeom prst="roundRect">
            <a:avLst>
              <a:gd name="adj" fmla="val 6034"/>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0" name="Rectangle 59">
            <a:extLst>
              <a:ext uri="{FF2B5EF4-FFF2-40B4-BE49-F238E27FC236}">
                <a16:creationId xmlns:a16="http://schemas.microsoft.com/office/drawing/2014/main" id="{3CCC4A43-6A09-4B4B-8E04-7310ADF435F1}"/>
              </a:ext>
            </a:extLst>
          </xdr:cNvPr>
          <xdr:cNvSpPr/>
        </xdr:nvSpPr>
        <xdr:spPr>
          <a:xfrm>
            <a:off x="3943350" y="2667000"/>
            <a:ext cx="3676650" cy="361950"/>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latin typeface="+mj-lt"/>
              </a:rPr>
              <a:t>ORDER STATUS BY SALESMAN</a:t>
            </a:r>
          </a:p>
        </xdr:txBody>
      </xdr:sp>
      <xdr:sp macro="" textlink="">
        <xdr:nvSpPr>
          <xdr:cNvPr id="61" name="Rectangle: Rounded Corners 60">
            <a:extLst>
              <a:ext uri="{FF2B5EF4-FFF2-40B4-BE49-F238E27FC236}">
                <a16:creationId xmlns:a16="http://schemas.microsoft.com/office/drawing/2014/main" id="{00669684-3251-4CDD-93D9-AB3CFA187346}"/>
              </a:ext>
            </a:extLst>
          </xdr:cNvPr>
          <xdr:cNvSpPr/>
        </xdr:nvSpPr>
        <xdr:spPr>
          <a:xfrm>
            <a:off x="314325" y="1247775"/>
            <a:ext cx="1819275" cy="333374"/>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cap="none" spc="0">
                <a:ln w="0">
                  <a:solidFill>
                    <a:schemeClr val="tx2"/>
                  </a:solidFill>
                </a:ln>
                <a:solidFill>
                  <a:srgbClr val="FFC000"/>
                </a:solidFill>
                <a:effectLst>
                  <a:outerShdw blurRad="38100" dist="25400" dir="5400000" algn="ctr" rotWithShape="0">
                    <a:srgbClr val="6E747A">
                      <a:alpha val="43000"/>
                    </a:srgbClr>
                  </a:outerShdw>
                </a:effectLst>
                <a:latin typeface="+mj-lt"/>
              </a:rPr>
              <a:t>A</a:t>
            </a:r>
            <a:r>
              <a:rPr lang="en-IN" sz="1800" b="0" cap="none" spc="0">
                <a:ln w="0">
                  <a:solidFill>
                    <a:schemeClr val="tx2"/>
                  </a:solidFill>
                </a:ln>
                <a:solidFill>
                  <a:srgbClr val="00B050"/>
                </a:solidFill>
                <a:effectLst>
                  <a:outerShdw blurRad="38100" dist="25400" dir="5400000" algn="ctr" rotWithShape="0">
                    <a:srgbClr val="6E747A">
                      <a:alpha val="43000"/>
                    </a:srgbClr>
                  </a:outerShdw>
                </a:effectLst>
                <a:latin typeface="+mj-lt"/>
              </a:rPr>
              <a:t>n</a:t>
            </a:r>
            <a:r>
              <a:rPr lang="en-IN" sz="1800" b="0" cap="none" spc="0">
                <a:ln w="0">
                  <a:solidFill>
                    <a:schemeClr val="tx2"/>
                  </a:solidFill>
                </a:ln>
                <a:solidFill>
                  <a:srgbClr val="FF0000"/>
                </a:solidFill>
                <a:effectLst>
                  <a:outerShdw blurRad="38100" dist="25400" dir="5400000" algn="ctr" rotWithShape="0">
                    <a:srgbClr val="6E747A">
                      <a:alpha val="43000"/>
                    </a:srgbClr>
                  </a:outerShdw>
                </a:effectLst>
                <a:latin typeface="+mj-lt"/>
              </a:rPr>
              <a:t>a</a:t>
            </a:r>
            <a:r>
              <a:rPr lang="en-IN" sz="1800" b="0" cap="none" spc="0">
                <a:ln w="0">
                  <a:solidFill>
                    <a:schemeClr val="tx2"/>
                  </a:solidFill>
                </a:ln>
                <a:solidFill>
                  <a:srgbClr val="FFFF00"/>
                </a:solidFill>
                <a:effectLst>
                  <a:outerShdw blurRad="38100" dist="25400" dir="5400000" algn="ctr" rotWithShape="0">
                    <a:srgbClr val="6E747A">
                      <a:alpha val="43000"/>
                    </a:srgbClr>
                  </a:outerShdw>
                </a:effectLst>
                <a:latin typeface="+mj-lt"/>
              </a:rPr>
              <a:t>l</a:t>
            </a:r>
            <a:r>
              <a:rPr lang="en-IN" sz="1800" b="0" cap="none" spc="0">
                <a:ln w="0">
                  <a:solidFill>
                    <a:schemeClr val="tx2"/>
                  </a:solidFill>
                </a:ln>
                <a:solidFill>
                  <a:srgbClr val="00B0F0"/>
                </a:solidFill>
                <a:effectLst>
                  <a:outerShdw blurRad="38100" dist="25400" dir="5400000" algn="ctr" rotWithShape="0">
                    <a:srgbClr val="6E747A">
                      <a:alpha val="43000"/>
                    </a:srgbClr>
                  </a:outerShdw>
                </a:effectLst>
                <a:latin typeface="+mj-lt"/>
              </a:rPr>
              <a:t>y</a:t>
            </a:r>
            <a:r>
              <a:rPr lang="en-IN" sz="1800" b="0" cap="none" spc="0">
                <a:ln w="0">
                  <a:solidFill>
                    <a:schemeClr val="tx2"/>
                  </a:solidFill>
                </a:ln>
                <a:solidFill>
                  <a:srgbClr val="002060"/>
                </a:solidFill>
                <a:effectLst>
                  <a:outerShdw blurRad="38100" dist="25400" dir="5400000" algn="ctr" rotWithShape="0">
                    <a:srgbClr val="6E747A">
                      <a:alpha val="43000"/>
                    </a:srgbClr>
                  </a:outerShdw>
                </a:effectLst>
                <a:latin typeface="+mj-lt"/>
              </a:rPr>
              <a:t>t</a:t>
            </a:r>
            <a:r>
              <a:rPr lang="en-IN" sz="1800" b="0" cap="none" spc="0">
                <a:ln w="0">
                  <a:solidFill>
                    <a:srgbClr val="00F0EA"/>
                  </a:solidFill>
                </a:ln>
                <a:solidFill>
                  <a:srgbClr val="C00000"/>
                </a:solidFill>
                <a:effectLst>
                  <a:outerShdw blurRad="38100" dist="25400" dir="5400000" algn="ctr" rotWithShape="0">
                    <a:srgbClr val="6E747A">
                      <a:alpha val="43000"/>
                    </a:srgbClr>
                  </a:outerShdw>
                </a:effectLst>
                <a:latin typeface="+mj-lt"/>
              </a:rPr>
              <a:t>i</a:t>
            </a:r>
            <a:r>
              <a:rPr lang="en-IN" sz="1800" b="0" cap="none" spc="0">
                <a:ln w="0">
                  <a:solidFill>
                    <a:srgbClr val="7030A0"/>
                  </a:solidFill>
                </a:ln>
                <a:solidFill>
                  <a:srgbClr val="C00000"/>
                </a:solidFill>
                <a:effectLst>
                  <a:outerShdw blurRad="38100" dist="25400" dir="5400000" algn="ctr" rotWithShape="0">
                    <a:srgbClr val="6E747A">
                      <a:alpha val="43000"/>
                    </a:srgbClr>
                  </a:outerShdw>
                </a:effectLst>
                <a:latin typeface="+mj-lt"/>
              </a:rPr>
              <a:t>c</a:t>
            </a:r>
            <a:r>
              <a:rPr lang="en-IN" sz="1800" b="0" cap="none" spc="0">
                <a:ln w="0">
                  <a:solidFill>
                    <a:schemeClr val="tx2"/>
                  </a:solidFill>
                </a:ln>
                <a:solidFill>
                  <a:schemeClr val="accent2">
                    <a:lumMod val="75000"/>
                  </a:schemeClr>
                </a:solidFill>
                <a:effectLst>
                  <a:outerShdw blurRad="38100" dist="25400" dir="5400000" algn="ctr" rotWithShape="0">
                    <a:srgbClr val="6E747A">
                      <a:alpha val="43000"/>
                    </a:srgbClr>
                  </a:outerShdw>
                </a:effectLst>
                <a:latin typeface="+mj-lt"/>
              </a:rPr>
              <a:t>s</a:t>
            </a:r>
            <a:endParaRPr lang="en-IN" sz="2000" b="1" cap="none" spc="0">
              <a:ln w="0">
                <a:solidFill>
                  <a:schemeClr val="tx2"/>
                </a:solidFill>
              </a:ln>
              <a:solidFill>
                <a:schemeClr val="accent2">
                  <a:lumMod val="75000"/>
                </a:schemeClr>
              </a:solidFill>
              <a:effectLst>
                <a:outerShdw blurRad="38100" dist="25400" dir="5400000" algn="ctr" rotWithShape="0">
                  <a:srgbClr val="6E747A">
                    <a:alpha val="43000"/>
                  </a:srgbClr>
                </a:outerShdw>
              </a:effectLst>
              <a:latin typeface="+mj-lt"/>
            </a:endParaRPr>
          </a:p>
        </xdr:txBody>
      </xdr:sp>
      <xdr:pic>
        <xdr:nvPicPr>
          <xdr:cNvPr id="62" name="Graphic 61" descr="Statistics with solid fill">
            <a:extLst>
              <a:ext uri="{FF2B5EF4-FFF2-40B4-BE49-F238E27FC236}">
                <a16:creationId xmlns:a16="http://schemas.microsoft.com/office/drawing/2014/main" id="{11C356B5-7958-4000-9DE7-A07E1E007C9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52425" y="1250041"/>
            <a:ext cx="409575" cy="350158"/>
          </a:xfrm>
          <a:prstGeom prst="rect">
            <a:avLst/>
          </a:prstGeom>
          <a:ln>
            <a:noFill/>
          </a:ln>
          <a:effectLst>
            <a:outerShdw blurRad="44450" dist="27940" dir="5400000" algn="ctr">
              <a:srgbClr val="000000">
                <a:alpha val="32000"/>
              </a:srgbClr>
            </a:outerShdw>
          </a:effectLst>
        </xdr:spPr>
      </xdr:pic>
      <xdr:pic>
        <xdr:nvPicPr>
          <xdr:cNvPr id="63" name="Picture 62">
            <a:extLst>
              <a:ext uri="{FF2B5EF4-FFF2-40B4-BE49-F238E27FC236}">
                <a16:creationId xmlns:a16="http://schemas.microsoft.com/office/drawing/2014/main" id="{B8AB4E1D-30EB-42F2-992B-2297E18F0ED5}"/>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6525875" y="2724150"/>
            <a:ext cx="323852" cy="298940"/>
          </a:xfrm>
          <a:prstGeom prst="rect">
            <a:avLst/>
          </a:prstGeom>
        </xdr:spPr>
      </xdr:pic>
      <xdr:graphicFrame macro="">
        <xdr:nvGraphicFramePr>
          <xdr:cNvPr id="64" name="Chart 63">
            <a:extLst>
              <a:ext uri="{FF2B5EF4-FFF2-40B4-BE49-F238E27FC236}">
                <a16:creationId xmlns:a16="http://schemas.microsoft.com/office/drawing/2014/main" id="{0856CF16-6759-4124-926C-2E1178B12457}"/>
              </a:ext>
            </a:extLst>
          </xdr:cNvPr>
          <xdr:cNvGraphicFramePr>
            <a:graphicFrameLocks/>
          </xdr:cNvGraphicFramePr>
        </xdr:nvGraphicFramePr>
        <xdr:xfrm>
          <a:off x="352425" y="3057525"/>
          <a:ext cx="3486150" cy="1828799"/>
        </xdr:xfrm>
        <a:graphic>
          <a:graphicData uri="http://schemas.openxmlformats.org/drawingml/2006/chart">
            <c:chart xmlns:c="http://schemas.openxmlformats.org/drawingml/2006/chart" xmlns:r="http://schemas.openxmlformats.org/officeDocument/2006/relationships" r:id="rId23"/>
          </a:graphicData>
        </a:graphic>
      </xdr:graphicFrame>
      <xdr:graphicFrame macro="">
        <xdr:nvGraphicFramePr>
          <xdr:cNvPr id="65" name="Chart 64">
            <a:extLst>
              <a:ext uri="{FF2B5EF4-FFF2-40B4-BE49-F238E27FC236}">
                <a16:creationId xmlns:a16="http://schemas.microsoft.com/office/drawing/2014/main" id="{C22906ED-99C5-4110-9FBD-56441D06E6DD}"/>
              </a:ext>
            </a:extLst>
          </xdr:cNvPr>
          <xdr:cNvGraphicFramePr>
            <a:graphicFrameLocks/>
          </xdr:cNvGraphicFramePr>
        </xdr:nvGraphicFramePr>
        <xdr:xfrm>
          <a:off x="4010026" y="3038475"/>
          <a:ext cx="3486149" cy="1809750"/>
        </xdr:xfrm>
        <a:graphic>
          <a:graphicData uri="http://schemas.openxmlformats.org/drawingml/2006/chart">
            <c:chart xmlns:c="http://schemas.openxmlformats.org/drawingml/2006/chart" xmlns:r="http://schemas.openxmlformats.org/officeDocument/2006/relationships" r:id="rId24"/>
          </a:graphicData>
        </a:graphic>
      </xdr:graphicFrame>
      <xdr:graphicFrame macro="">
        <xdr:nvGraphicFramePr>
          <xdr:cNvPr id="66" name="Chart 65">
            <a:extLst>
              <a:ext uri="{FF2B5EF4-FFF2-40B4-BE49-F238E27FC236}">
                <a16:creationId xmlns:a16="http://schemas.microsoft.com/office/drawing/2014/main" id="{667B0CF5-CE85-4226-AE68-7EF137DC9216}"/>
              </a:ext>
            </a:extLst>
          </xdr:cNvPr>
          <xdr:cNvGraphicFramePr>
            <a:graphicFrameLocks/>
          </xdr:cNvGraphicFramePr>
        </xdr:nvGraphicFramePr>
        <xdr:xfrm>
          <a:off x="7705724" y="3048000"/>
          <a:ext cx="3514725" cy="1838325"/>
        </xdr:xfrm>
        <a:graphic>
          <a:graphicData uri="http://schemas.openxmlformats.org/drawingml/2006/chart">
            <c:chart xmlns:c="http://schemas.openxmlformats.org/drawingml/2006/chart" xmlns:r="http://schemas.openxmlformats.org/officeDocument/2006/relationships" r:id="rId25"/>
          </a:graphicData>
        </a:graphic>
      </xdr:graphicFrame>
      <xdr:graphicFrame macro="">
        <xdr:nvGraphicFramePr>
          <xdr:cNvPr id="67" name="Chart 66">
            <a:extLst>
              <a:ext uri="{FF2B5EF4-FFF2-40B4-BE49-F238E27FC236}">
                <a16:creationId xmlns:a16="http://schemas.microsoft.com/office/drawing/2014/main" id="{7399BABB-FA12-494F-860A-50B34B4C6EFE}"/>
              </a:ext>
            </a:extLst>
          </xdr:cNvPr>
          <xdr:cNvGraphicFramePr>
            <a:graphicFrameLocks/>
          </xdr:cNvGraphicFramePr>
        </xdr:nvGraphicFramePr>
        <xdr:xfrm>
          <a:off x="342901" y="5429251"/>
          <a:ext cx="5353050" cy="1543050"/>
        </xdr:xfrm>
        <a:graphic>
          <a:graphicData uri="http://schemas.openxmlformats.org/drawingml/2006/chart">
            <c:chart xmlns:c="http://schemas.openxmlformats.org/drawingml/2006/chart" xmlns:r="http://schemas.openxmlformats.org/officeDocument/2006/relationships" r:id="rId26"/>
          </a:graphicData>
        </a:graphic>
      </xdr:graphicFrame>
      <xdr:graphicFrame macro="">
        <xdr:nvGraphicFramePr>
          <xdr:cNvPr id="68" name="Chart 67">
            <a:extLst>
              <a:ext uri="{FF2B5EF4-FFF2-40B4-BE49-F238E27FC236}">
                <a16:creationId xmlns:a16="http://schemas.microsoft.com/office/drawing/2014/main" id="{E686ED8F-AB21-4F67-AB69-917196F8EF91}"/>
              </a:ext>
            </a:extLst>
          </xdr:cNvPr>
          <xdr:cNvGraphicFramePr>
            <a:graphicFrameLocks/>
          </xdr:cNvGraphicFramePr>
        </xdr:nvGraphicFramePr>
        <xdr:xfrm>
          <a:off x="6157912" y="5410200"/>
          <a:ext cx="4872038" cy="1524000"/>
        </xdr:xfrm>
        <a:graphic>
          <a:graphicData uri="http://schemas.openxmlformats.org/drawingml/2006/chart">
            <c:chart xmlns:c="http://schemas.openxmlformats.org/drawingml/2006/chart" xmlns:r="http://schemas.openxmlformats.org/officeDocument/2006/relationships" r:id="rId27"/>
          </a:graphicData>
        </a:graphic>
      </xdr:graphicFrame>
      <mc:AlternateContent xmlns:mc="http://schemas.openxmlformats.org/markup-compatibility/2006" xmlns:tsle="http://schemas.microsoft.com/office/drawing/2012/timeslicer">
        <mc:Choice Requires="tsle">
          <xdr:graphicFrame macro="">
            <xdr:nvGraphicFramePr>
              <xdr:cNvPr id="69" name="Date 4">
                <a:extLst>
                  <a:ext uri="{FF2B5EF4-FFF2-40B4-BE49-F238E27FC236}">
                    <a16:creationId xmlns:a16="http://schemas.microsoft.com/office/drawing/2014/main" id="{8FDF8991-F06E-4BE1-A250-FD6050105C30}"/>
                  </a:ext>
                </a:extLst>
              </xdr:cNvPr>
              <xdr:cNvGraphicFramePr/>
            </xdr:nvGraphicFramePr>
            <xdr:xfrm>
              <a:off x="14011274" y="3038475"/>
              <a:ext cx="2809875" cy="1362075"/>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14011274" y="3276600"/>
                <a:ext cx="2809875" cy="13620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70" name="Salesman 1">
                <a:extLst>
                  <a:ext uri="{FF2B5EF4-FFF2-40B4-BE49-F238E27FC236}">
                    <a16:creationId xmlns:a16="http://schemas.microsoft.com/office/drawing/2014/main" id="{14E41903-D526-4BAC-96FA-D236BE2E39B4}"/>
                  </a:ext>
                </a:extLst>
              </xdr:cNvPr>
              <xdr:cNvGraphicFramePr/>
            </xdr:nvGraphicFramePr>
            <xdr:xfrm>
              <a:off x="11515724" y="3047999"/>
              <a:ext cx="1220775" cy="2276475"/>
            </xdr:xfrm>
            <a:graphic>
              <a:graphicData uri="http://schemas.microsoft.com/office/drawing/2010/slicer">
                <sle:slicer xmlns:sle="http://schemas.microsoft.com/office/drawing/2010/slicer" name="Salesman 1"/>
              </a:graphicData>
            </a:graphic>
          </xdr:graphicFrame>
        </mc:Choice>
        <mc:Fallback xmlns="">
          <xdr:sp macro="" textlink="">
            <xdr:nvSpPr>
              <xdr:cNvPr id="0" name=""/>
              <xdr:cNvSpPr>
                <a:spLocks noTextEdit="1"/>
              </xdr:cNvSpPr>
            </xdr:nvSpPr>
            <xdr:spPr>
              <a:xfrm>
                <a:off x="11515724" y="3286124"/>
                <a:ext cx="1220775" cy="2276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1" name="Region 4">
                <a:extLst>
                  <a:ext uri="{FF2B5EF4-FFF2-40B4-BE49-F238E27FC236}">
                    <a16:creationId xmlns:a16="http://schemas.microsoft.com/office/drawing/2014/main" id="{A10747B7-3046-4D32-A76A-C26190CA471E}"/>
                  </a:ext>
                </a:extLst>
              </xdr:cNvPr>
              <xdr:cNvGraphicFramePr/>
            </xdr:nvGraphicFramePr>
            <xdr:xfrm>
              <a:off x="11525250" y="5353050"/>
              <a:ext cx="5305424" cy="638175"/>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11525250" y="5591175"/>
                <a:ext cx="5305424" cy="638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2" name="Payment Mode 4">
                <a:extLst>
                  <a:ext uri="{FF2B5EF4-FFF2-40B4-BE49-F238E27FC236}">
                    <a16:creationId xmlns:a16="http://schemas.microsoft.com/office/drawing/2014/main" id="{B41099F0-6ABC-419B-831B-DABC6184E398}"/>
                  </a:ext>
                </a:extLst>
              </xdr:cNvPr>
              <xdr:cNvGraphicFramePr/>
            </xdr:nvGraphicFramePr>
            <xdr:xfrm>
              <a:off x="14211300" y="6038850"/>
              <a:ext cx="2428875" cy="866775"/>
            </xdr:xfrm>
            <a:graphic>
              <a:graphicData uri="http://schemas.microsoft.com/office/drawing/2010/slicer">
                <sle:slicer xmlns:sle="http://schemas.microsoft.com/office/drawing/2010/slicer" name="Payment Mode 4"/>
              </a:graphicData>
            </a:graphic>
          </xdr:graphicFrame>
        </mc:Choice>
        <mc:Fallback xmlns="">
          <xdr:sp macro="" textlink="">
            <xdr:nvSpPr>
              <xdr:cNvPr id="0" name=""/>
              <xdr:cNvSpPr>
                <a:spLocks noTextEdit="1"/>
              </xdr:cNvSpPr>
            </xdr:nvSpPr>
            <xdr:spPr>
              <a:xfrm>
                <a:off x="14211300" y="6276975"/>
                <a:ext cx="2428875" cy="866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3" name="Customer Type 4">
                <a:extLst>
                  <a:ext uri="{FF2B5EF4-FFF2-40B4-BE49-F238E27FC236}">
                    <a16:creationId xmlns:a16="http://schemas.microsoft.com/office/drawing/2014/main" id="{FB793E0E-9328-414A-9218-BF7C3D8AAF9D}"/>
                  </a:ext>
                </a:extLst>
              </xdr:cNvPr>
              <xdr:cNvGraphicFramePr/>
            </xdr:nvGraphicFramePr>
            <xdr:xfrm>
              <a:off x="12763499" y="3038475"/>
              <a:ext cx="1219201" cy="1371600"/>
            </xdr:xfrm>
            <a:graphic>
              <a:graphicData uri="http://schemas.microsoft.com/office/drawing/2010/slicer">
                <sle:slicer xmlns:sle="http://schemas.microsoft.com/office/drawing/2010/slicer" name="Customer Type 4"/>
              </a:graphicData>
            </a:graphic>
          </xdr:graphicFrame>
        </mc:Choice>
        <mc:Fallback xmlns="">
          <xdr:sp macro="" textlink="">
            <xdr:nvSpPr>
              <xdr:cNvPr id="0" name=""/>
              <xdr:cNvSpPr>
                <a:spLocks noTextEdit="1"/>
              </xdr:cNvSpPr>
            </xdr:nvSpPr>
            <xdr:spPr>
              <a:xfrm>
                <a:off x="12763499" y="3276600"/>
                <a:ext cx="1219201"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4" name="Customer City 3">
                <a:extLst>
                  <a:ext uri="{FF2B5EF4-FFF2-40B4-BE49-F238E27FC236}">
                    <a16:creationId xmlns:a16="http://schemas.microsoft.com/office/drawing/2014/main" id="{00F189D4-7C8D-4922-AD89-4D99DBC6EAA8}"/>
                  </a:ext>
                </a:extLst>
              </xdr:cNvPr>
              <xdr:cNvGraphicFramePr/>
            </xdr:nvGraphicFramePr>
            <xdr:xfrm>
              <a:off x="12763499" y="4448177"/>
              <a:ext cx="4076701" cy="866774"/>
            </xdr:xfrm>
            <a:graphic>
              <a:graphicData uri="http://schemas.microsoft.com/office/drawing/2010/slicer">
                <sle:slicer xmlns:sle="http://schemas.microsoft.com/office/drawing/2010/slicer" name="Customer City 3"/>
              </a:graphicData>
            </a:graphic>
          </xdr:graphicFrame>
        </mc:Choice>
        <mc:Fallback xmlns="">
          <xdr:sp macro="" textlink="">
            <xdr:nvSpPr>
              <xdr:cNvPr id="0" name=""/>
              <xdr:cNvSpPr>
                <a:spLocks noTextEdit="1"/>
              </xdr:cNvSpPr>
            </xdr:nvSpPr>
            <xdr:spPr>
              <a:xfrm>
                <a:off x="12763499" y="4686302"/>
                <a:ext cx="4076701" cy="866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5" name="Sales Channel 2">
                <a:extLst>
                  <a:ext uri="{FF2B5EF4-FFF2-40B4-BE49-F238E27FC236}">
                    <a16:creationId xmlns:a16="http://schemas.microsoft.com/office/drawing/2014/main" id="{8FFB89A1-B6A7-44EF-A695-8A311A4DFF23}"/>
                  </a:ext>
                </a:extLst>
              </xdr:cNvPr>
              <xdr:cNvGraphicFramePr/>
            </xdr:nvGraphicFramePr>
            <xdr:xfrm>
              <a:off x="11563350" y="6038850"/>
              <a:ext cx="2181226" cy="885825"/>
            </xdr:xfrm>
            <a:graphic>
              <a:graphicData uri="http://schemas.microsoft.com/office/drawing/2010/slicer">
                <sle:slicer xmlns:sle="http://schemas.microsoft.com/office/drawing/2010/slicer" name="Sales Channel 2"/>
              </a:graphicData>
            </a:graphic>
          </xdr:graphicFrame>
        </mc:Choice>
        <mc:Fallback xmlns="">
          <xdr:sp macro="" textlink="">
            <xdr:nvSpPr>
              <xdr:cNvPr id="0" name=""/>
              <xdr:cNvSpPr>
                <a:spLocks noTextEdit="1"/>
              </xdr:cNvSpPr>
            </xdr:nvSpPr>
            <xdr:spPr>
              <a:xfrm>
                <a:off x="11563350" y="6276975"/>
                <a:ext cx="2181226" cy="885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4</xdr:row>
      <xdr:rowOff>219075</xdr:rowOff>
    </xdr:from>
    <xdr:to>
      <xdr:col>21</xdr:col>
      <xdr:colOff>238126</xdr:colOff>
      <xdr:row>35</xdr:row>
      <xdr:rowOff>28576</xdr:rowOff>
    </xdr:to>
    <xdr:grpSp>
      <xdr:nvGrpSpPr>
        <xdr:cNvPr id="2" name="Group 1">
          <a:extLst>
            <a:ext uri="{FF2B5EF4-FFF2-40B4-BE49-F238E27FC236}">
              <a16:creationId xmlns:a16="http://schemas.microsoft.com/office/drawing/2014/main" id="{4A1A583C-D4F8-4ED0-B50A-BC97B45CCEC8}"/>
            </a:ext>
          </a:extLst>
        </xdr:cNvPr>
        <xdr:cNvGrpSpPr/>
      </xdr:nvGrpSpPr>
      <xdr:grpSpPr>
        <a:xfrm>
          <a:off x="276225" y="1171575"/>
          <a:ext cx="17002126" cy="7191376"/>
          <a:chOff x="0" y="0"/>
          <a:chExt cx="17002126" cy="7191376"/>
        </a:xfrm>
      </xdr:grpSpPr>
      <xdr:grpSp>
        <xdr:nvGrpSpPr>
          <xdr:cNvPr id="3" name="Group 2">
            <a:extLst>
              <a:ext uri="{FF2B5EF4-FFF2-40B4-BE49-F238E27FC236}">
                <a16:creationId xmlns:a16="http://schemas.microsoft.com/office/drawing/2014/main" id="{0D16CB29-3C81-0E53-521B-2958D8CF2821}"/>
              </a:ext>
            </a:extLst>
          </xdr:cNvPr>
          <xdr:cNvGrpSpPr/>
        </xdr:nvGrpSpPr>
        <xdr:grpSpPr>
          <a:xfrm>
            <a:off x="0" y="57151"/>
            <a:ext cx="17002126" cy="7115173"/>
            <a:chOff x="-28575" y="-9524"/>
            <a:chExt cx="17002126" cy="7115173"/>
          </a:xfrm>
        </xdr:grpSpPr>
        <xdr:sp macro="" textlink="">
          <xdr:nvSpPr>
            <xdr:cNvPr id="62" name="Rectangle: Rounded Corners 61">
              <a:extLst>
                <a:ext uri="{FF2B5EF4-FFF2-40B4-BE49-F238E27FC236}">
                  <a16:creationId xmlns:a16="http://schemas.microsoft.com/office/drawing/2014/main" id="{8ACB5384-559C-5865-3B46-4D6B1B533EF7}"/>
                </a:ext>
              </a:extLst>
            </xdr:cNvPr>
            <xdr:cNvSpPr/>
          </xdr:nvSpPr>
          <xdr:spPr>
            <a:xfrm>
              <a:off x="-28575" y="-9524"/>
              <a:ext cx="17002126" cy="7105650"/>
            </a:xfrm>
            <a:prstGeom prst="roundRect">
              <a:avLst>
                <a:gd name="adj" fmla="val 2323"/>
              </a:avLst>
            </a:prstGeom>
            <a:solidFill>
              <a:schemeClr val="tx1">
                <a:lumMod val="95000"/>
                <a:lumOff val="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C000"/>
                </a:solidFill>
              </a:endParaRPr>
            </a:p>
          </xdr:txBody>
        </xdr:sp>
        <xdr:sp macro="" textlink="">
          <xdr:nvSpPr>
            <xdr:cNvPr id="63" name="Rectangle: Rounded Corners 62">
              <a:extLst>
                <a:ext uri="{FF2B5EF4-FFF2-40B4-BE49-F238E27FC236}">
                  <a16:creationId xmlns:a16="http://schemas.microsoft.com/office/drawing/2014/main" id="{868AFAD1-8B9E-8555-C7AF-4AD87C3E6776}"/>
                </a:ext>
              </a:extLst>
            </xdr:cNvPr>
            <xdr:cNvSpPr/>
          </xdr:nvSpPr>
          <xdr:spPr>
            <a:xfrm>
              <a:off x="0" y="1200150"/>
              <a:ext cx="16878302" cy="5905499"/>
            </a:xfrm>
            <a:prstGeom prst="roundRect">
              <a:avLst>
                <a:gd name="adj" fmla="val 2937"/>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4" name="Rectangle 3">
            <a:extLst>
              <a:ext uri="{FF2B5EF4-FFF2-40B4-BE49-F238E27FC236}">
                <a16:creationId xmlns:a16="http://schemas.microsoft.com/office/drawing/2014/main" id="{466325EA-4D4F-C288-DD2F-11FD5CD15E25}"/>
              </a:ext>
            </a:extLst>
          </xdr:cNvPr>
          <xdr:cNvSpPr/>
        </xdr:nvSpPr>
        <xdr:spPr>
          <a:xfrm>
            <a:off x="1295400" y="95250"/>
            <a:ext cx="15259050" cy="438150"/>
          </a:xfrm>
          <a:prstGeom prst="rect">
            <a:avLst/>
          </a:prstGeom>
          <a:no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rgbClr val="FFC000"/>
                </a:solidFill>
                <a:effectLst>
                  <a:glow rad="63500">
                    <a:schemeClr val="accent2">
                      <a:satMod val="175000"/>
                      <a:alpha val="40000"/>
                    </a:schemeClr>
                  </a:glow>
                </a:effectLst>
                <a:latin typeface="+mj-lt"/>
              </a:rPr>
              <a:t>Naxora  Retail </a:t>
            </a:r>
            <a:r>
              <a:rPr lang="en-IN" sz="2400" baseline="0">
                <a:solidFill>
                  <a:srgbClr val="FFC000"/>
                </a:solidFill>
                <a:effectLst>
                  <a:glow rad="63500">
                    <a:schemeClr val="accent2">
                      <a:satMod val="175000"/>
                      <a:alpha val="40000"/>
                    </a:schemeClr>
                  </a:glow>
                </a:effectLst>
                <a:latin typeface="+mj-lt"/>
              </a:rPr>
              <a:t> Sales Performance  &amp; MIS Dashboard</a:t>
            </a:r>
            <a:endParaRPr lang="en-IN" sz="2400">
              <a:solidFill>
                <a:srgbClr val="FFC000"/>
              </a:solidFill>
              <a:effectLst>
                <a:glow rad="63500">
                  <a:schemeClr val="accent2">
                    <a:satMod val="175000"/>
                    <a:alpha val="40000"/>
                  </a:schemeClr>
                </a:glow>
              </a:effectLst>
              <a:latin typeface="+mj-lt"/>
            </a:endParaRPr>
          </a:p>
        </xdr:txBody>
      </xdr:sp>
      <xdr:graphicFrame macro="">
        <xdr:nvGraphicFramePr>
          <xdr:cNvPr id="5" name="Diagram 4">
            <a:extLst>
              <a:ext uri="{FF2B5EF4-FFF2-40B4-BE49-F238E27FC236}">
                <a16:creationId xmlns:a16="http://schemas.microsoft.com/office/drawing/2014/main" id="{A457CA42-6630-E4CF-D23A-2F00306AFD08}"/>
              </a:ext>
            </a:extLst>
          </xdr:cNvPr>
          <xdr:cNvGraphicFramePr/>
        </xdr:nvGraphicFramePr>
        <xdr:xfrm>
          <a:off x="85726" y="0"/>
          <a:ext cx="1257300" cy="1133475"/>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sp macro="" textlink="">
        <xdr:nvSpPr>
          <xdr:cNvPr id="6" name="Rectangle: Rounded Corners 5">
            <a:hlinkClick xmlns:r="http://schemas.openxmlformats.org/officeDocument/2006/relationships" r:id="rId6"/>
            <a:extLst>
              <a:ext uri="{FF2B5EF4-FFF2-40B4-BE49-F238E27FC236}">
                <a16:creationId xmlns:a16="http://schemas.microsoft.com/office/drawing/2014/main" id="{89B41F2D-7A21-4759-1E7B-30DF0EBD5DB1}"/>
              </a:ext>
            </a:extLst>
          </xdr:cNvPr>
          <xdr:cNvSpPr/>
        </xdr:nvSpPr>
        <xdr:spPr>
          <a:xfrm>
            <a:off x="2905125" y="790575"/>
            <a:ext cx="1914525" cy="360000"/>
          </a:xfrm>
          <a:prstGeom prst="roundRect">
            <a:avLst/>
          </a:prstGeom>
          <a:no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cap="none" spc="0">
                <a:ln w="0"/>
                <a:solidFill>
                  <a:srgbClr val="FFC91D"/>
                </a:solidFill>
                <a:effectLst>
                  <a:glow rad="63500">
                    <a:schemeClr val="accent3">
                      <a:satMod val="175000"/>
                      <a:alpha val="40000"/>
                    </a:schemeClr>
                  </a:glow>
                  <a:reflection blurRad="6350" stA="53000" endA="300" endPos="35500" dir="5400000" sy="-90000" algn="bl" rotWithShape="0"/>
                </a:effectLst>
                <a:latin typeface="Aptos" panose="020B0004020202020204" pitchFamily="34" charset="0"/>
              </a:rPr>
              <a:t>DASHBOARD</a:t>
            </a:r>
            <a:endParaRPr lang="en-IN" sz="1600" b="1">
              <a:solidFill>
                <a:srgbClr val="FFC91D"/>
              </a:solidFill>
              <a:effectLst>
                <a:glow rad="63500">
                  <a:schemeClr val="accent3">
                    <a:satMod val="175000"/>
                    <a:alpha val="40000"/>
                  </a:schemeClr>
                </a:glow>
                <a:reflection blurRad="6350" stA="53000" endA="300" endPos="35500" dir="5400000" sy="-90000" algn="bl" rotWithShape="0"/>
              </a:effectLst>
              <a:latin typeface="Aptos" panose="020B0004020202020204" pitchFamily="34" charset="0"/>
            </a:endParaRPr>
          </a:p>
        </xdr:txBody>
      </xdr:sp>
      <xdr:sp macro="" textlink="">
        <xdr:nvSpPr>
          <xdr:cNvPr id="7" name="Rectangle: Rounded Corners 6">
            <a:hlinkClick xmlns:r="http://schemas.openxmlformats.org/officeDocument/2006/relationships" r:id="rId7"/>
            <a:extLst>
              <a:ext uri="{FF2B5EF4-FFF2-40B4-BE49-F238E27FC236}">
                <a16:creationId xmlns:a16="http://schemas.microsoft.com/office/drawing/2014/main" id="{ABABB24D-94B9-C0BF-F003-679BA7BD8BDD}"/>
              </a:ext>
            </a:extLst>
          </xdr:cNvPr>
          <xdr:cNvSpPr/>
        </xdr:nvSpPr>
        <xdr:spPr>
          <a:xfrm>
            <a:off x="5400674" y="790575"/>
            <a:ext cx="3276601" cy="360000"/>
          </a:xfrm>
          <a:prstGeom prst="roundRect">
            <a:avLst/>
          </a:prstGeom>
          <a:no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rgbClr val="FFC000"/>
                </a:solidFill>
                <a:latin typeface="Aptos" panose="020B0004020202020204" pitchFamily="34" charset="0"/>
              </a:rPr>
              <a:t>PRODUCT</a:t>
            </a:r>
            <a:r>
              <a:rPr lang="en-IN" sz="1600" b="1" baseline="0">
                <a:solidFill>
                  <a:srgbClr val="FFC000"/>
                </a:solidFill>
                <a:latin typeface="Aptos" panose="020B0004020202020204" pitchFamily="34" charset="0"/>
              </a:rPr>
              <a:t> PERFORMANCE</a:t>
            </a:r>
            <a:endParaRPr lang="en-IN" sz="1600" b="1">
              <a:solidFill>
                <a:srgbClr val="FFC000"/>
              </a:solidFill>
              <a:latin typeface="Aptos" panose="020B0004020202020204" pitchFamily="34" charset="0"/>
            </a:endParaRPr>
          </a:p>
        </xdr:txBody>
      </xdr:sp>
      <xdr:sp macro="" textlink="">
        <xdr:nvSpPr>
          <xdr:cNvPr id="8" name="Rectangle: Rounded Corners 7">
            <a:hlinkClick xmlns:r="http://schemas.openxmlformats.org/officeDocument/2006/relationships" r:id="rId8"/>
            <a:extLst>
              <a:ext uri="{FF2B5EF4-FFF2-40B4-BE49-F238E27FC236}">
                <a16:creationId xmlns:a16="http://schemas.microsoft.com/office/drawing/2014/main" id="{5EE65689-5804-38AC-2AE0-4AAB6CC86F87}"/>
              </a:ext>
            </a:extLst>
          </xdr:cNvPr>
          <xdr:cNvSpPr/>
        </xdr:nvSpPr>
        <xdr:spPr>
          <a:xfrm>
            <a:off x="9391649" y="781050"/>
            <a:ext cx="3219451" cy="360000"/>
          </a:xfrm>
          <a:prstGeom prst="roundRect">
            <a:avLst/>
          </a:prstGeom>
          <a:no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rgbClr val="FFC000"/>
                </a:solidFill>
                <a:latin typeface="Aptos" panose="020B0004020202020204" pitchFamily="34" charset="0"/>
              </a:rPr>
              <a:t>SALES</a:t>
            </a:r>
            <a:r>
              <a:rPr lang="en-IN" sz="1600" b="1" baseline="0">
                <a:solidFill>
                  <a:srgbClr val="FFC000"/>
                </a:solidFill>
                <a:latin typeface="Aptos" panose="020B0004020202020204" pitchFamily="34" charset="0"/>
              </a:rPr>
              <a:t> TEAM PERFORMANCE</a:t>
            </a:r>
            <a:endParaRPr lang="en-IN" sz="1600" b="1">
              <a:solidFill>
                <a:srgbClr val="FFC000"/>
              </a:solidFill>
              <a:latin typeface="Aptos" panose="020B0004020202020204" pitchFamily="34" charset="0"/>
            </a:endParaRPr>
          </a:p>
        </xdr:txBody>
      </xdr:sp>
      <xdr:sp macro="" textlink="">
        <xdr:nvSpPr>
          <xdr:cNvPr id="9" name="Rectangle: Rounded Corners 8">
            <a:hlinkClick xmlns:r="http://schemas.openxmlformats.org/officeDocument/2006/relationships" r:id="rId9"/>
            <a:extLst>
              <a:ext uri="{FF2B5EF4-FFF2-40B4-BE49-F238E27FC236}">
                <a16:creationId xmlns:a16="http://schemas.microsoft.com/office/drawing/2014/main" id="{E29DD695-8373-8DEF-8A7C-F8B9FAB67295}"/>
              </a:ext>
            </a:extLst>
          </xdr:cNvPr>
          <xdr:cNvSpPr/>
        </xdr:nvSpPr>
        <xdr:spPr>
          <a:xfrm>
            <a:off x="13287376" y="781050"/>
            <a:ext cx="2047874" cy="360000"/>
          </a:xfrm>
          <a:prstGeom prst="roundRect">
            <a:avLst/>
          </a:prstGeom>
          <a:solidFill>
            <a:srgbClr val="FFFFB7"/>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rgbClr val="D6A300"/>
                </a:solidFill>
                <a:latin typeface="Aptos" panose="020B0004020202020204" pitchFamily="34" charset="0"/>
              </a:rPr>
              <a:t>ABOUT</a:t>
            </a:r>
          </a:p>
        </xdr:txBody>
      </xdr:sp>
      <xdr:sp macro="" textlink="">
        <xdr:nvSpPr>
          <xdr:cNvPr id="10" name="Rectangle: Rounded Corners 9">
            <a:extLst>
              <a:ext uri="{FF2B5EF4-FFF2-40B4-BE49-F238E27FC236}">
                <a16:creationId xmlns:a16="http://schemas.microsoft.com/office/drawing/2014/main" id="{624DAB4F-69DD-59F8-842D-80FAB18AF295}"/>
              </a:ext>
            </a:extLst>
          </xdr:cNvPr>
          <xdr:cNvSpPr/>
        </xdr:nvSpPr>
        <xdr:spPr>
          <a:xfrm>
            <a:off x="381000" y="1247775"/>
            <a:ext cx="1819275" cy="333374"/>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b="1" cap="none" spc="0">
              <a:ln w="0">
                <a:solidFill>
                  <a:schemeClr val="tx2"/>
                </a:solidFill>
              </a:ln>
              <a:solidFill>
                <a:schemeClr val="accent2">
                  <a:lumMod val="75000"/>
                </a:schemeClr>
              </a:solidFill>
              <a:effectLst>
                <a:outerShdw blurRad="38100" dist="25400" dir="5400000" algn="ctr" rotWithShape="0">
                  <a:srgbClr val="6E747A">
                    <a:alpha val="43000"/>
                  </a:srgbClr>
                </a:outerShdw>
              </a:effectLst>
              <a:latin typeface="+mj-lt"/>
            </a:endParaRPr>
          </a:p>
        </xdr:txBody>
      </xdr:sp>
      <xdr:sp macro="" textlink="">
        <xdr:nvSpPr>
          <xdr:cNvPr id="14" name="Rectangle: Rounded Corners 13">
            <a:extLst>
              <a:ext uri="{FF2B5EF4-FFF2-40B4-BE49-F238E27FC236}">
                <a16:creationId xmlns:a16="http://schemas.microsoft.com/office/drawing/2014/main" id="{E9A748B6-28C5-2B8D-6E02-CF937FB2FCD8}"/>
              </a:ext>
            </a:extLst>
          </xdr:cNvPr>
          <xdr:cNvSpPr/>
        </xdr:nvSpPr>
        <xdr:spPr>
          <a:xfrm>
            <a:off x="0" y="1666876"/>
            <a:ext cx="16935452" cy="5524500"/>
          </a:xfrm>
          <a:prstGeom prst="roundRect">
            <a:avLst>
              <a:gd name="adj" fmla="val 4010"/>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700"/>
          </a:p>
        </xdr:txBody>
      </xdr:sp>
      <xdr:sp macro="" textlink="">
        <xdr:nvSpPr>
          <xdr:cNvPr id="15" name="Rectangle 14">
            <a:extLst>
              <a:ext uri="{FF2B5EF4-FFF2-40B4-BE49-F238E27FC236}">
                <a16:creationId xmlns:a16="http://schemas.microsoft.com/office/drawing/2014/main" id="{F1655B62-602E-4563-CEA6-BCA4A1180ED5}"/>
              </a:ext>
            </a:extLst>
          </xdr:cNvPr>
          <xdr:cNvSpPr/>
        </xdr:nvSpPr>
        <xdr:spPr>
          <a:xfrm>
            <a:off x="28575" y="1276350"/>
            <a:ext cx="16954500" cy="428625"/>
          </a:xfrm>
          <a:prstGeom prst="rect">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lt1"/>
                </a:solidFill>
                <a:effectLst/>
                <a:latin typeface="+mj-lt"/>
                <a:ea typeface="+mn-ea"/>
                <a:cs typeface="+mn-cs"/>
              </a:rPr>
              <a:t>Excel MIS &amp; Business Analytics Project </a:t>
            </a:r>
          </a:p>
        </xdr:txBody>
      </xdr:sp>
      <xdr:sp macro="" textlink="">
        <xdr:nvSpPr>
          <xdr:cNvPr id="27" name="Rectangle: Rounded Corners 26">
            <a:extLst>
              <a:ext uri="{FF2B5EF4-FFF2-40B4-BE49-F238E27FC236}">
                <a16:creationId xmlns:a16="http://schemas.microsoft.com/office/drawing/2014/main" id="{6EF8131A-986F-0850-7D81-C1EF0787EA1E}"/>
              </a:ext>
            </a:extLst>
          </xdr:cNvPr>
          <xdr:cNvSpPr/>
        </xdr:nvSpPr>
        <xdr:spPr>
          <a:xfrm>
            <a:off x="85725" y="1838325"/>
            <a:ext cx="1819275" cy="333374"/>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0" cap="none" spc="0">
                <a:ln w="0">
                  <a:solidFill>
                    <a:schemeClr val="tx2"/>
                  </a:solidFill>
                </a:ln>
                <a:solidFill>
                  <a:srgbClr val="FFC000"/>
                </a:solidFill>
                <a:effectLst>
                  <a:outerShdw blurRad="38100" dist="25400" dir="5400000" algn="ctr" rotWithShape="0">
                    <a:srgbClr val="6E747A">
                      <a:alpha val="43000"/>
                    </a:srgbClr>
                  </a:outerShdw>
                </a:effectLst>
                <a:latin typeface="+mj-lt"/>
              </a:rPr>
              <a:t>A</a:t>
            </a:r>
            <a:r>
              <a:rPr lang="en-IN" sz="1800" b="0" cap="none" spc="0">
                <a:ln w="0">
                  <a:solidFill>
                    <a:schemeClr val="tx2"/>
                  </a:solidFill>
                </a:ln>
                <a:solidFill>
                  <a:srgbClr val="00B050"/>
                </a:solidFill>
                <a:effectLst>
                  <a:outerShdw blurRad="38100" dist="25400" dir="5400000" algn="ctr" rotWithShape="0">
                    <a:srgbClr val="6E747A">
                      <a:alpha val="43000"/>
                    </a:srgbClr>
                  </a:outerShdw>
                </a:effectLst>
                <a:latin typeface="+mj-lt"/>
              </a:rPr>
              <a:t>B</a:t>
            </a:r>
            <a:r>
              <a:rPr lang="en-IN" sz="1800" b="0" cap="none" spc="0">
                <a:ln w="0">
                  <a:solidFill>
                    <a:schemeClr val="tx2"/>
                  </a:solidFill>
                </a:ln>
                <a:solidFill>
                  <a:srgbClr val="FF0000"/>
                </a:solidFill>
                <a:effectLst>
                  <a:outerShdw blurRad="38100" dist="25400" dir="5400000" algn="ctr" rotWithShape="0">
                    <a:srgbClr val="6E747A">
                      <a:alpha val="43000"/>
                    </a:srgbClr>
                  </a:outerShdw>
                </a:effectLst>
                <a:latin typeface="+mj-lt"/>
              </a:rPr>
              <a:t>O</a:t>
            </a:r>
            <a:r>
              <a:rPr lang="en-IN" sz="1800" b="0" cap="none" spc="0">
                <a:ln w="0">
                  <a:solidFill>
                    <a:schemeClr val="tx2"/>
                  </a:solidFill>
                </a:ln>
                <a:solidFill>
                  <a:srgbClr val="FFFF00"/>
                </a:solidFill>
                <a:effectLst>
                  <a:outerShdw blurRad="38100" dist="25400" dir="5400000" algn="ctr" rotWithShape="0">
                    <a:srgbClr val="6E747A">
                      <a:alpha val="43000"/>
                    </a:srgbClr>
                  </a:outerShdw>
                </a:effectLst>
                <a:latin typeface="+mj-lt"/>
              </a:rPr>
              <a:t>U</a:t>
            </a:r>
            <a:r>
              <a:rPr lang="en-IN" sz="1800" b="0" cap="none" spc="0">
                <a:ln w="0">
                  <a:solidFill>
                    <a:schemeClr val="tx2"/>
                  </a:solidFill>
                </a:ln>
                <a:solidFill>
                  <a:srgbClr val="00B0F0"/>
                </a:solidFill>
                <a:effectLst>
                  <a:outerShdw blurRad="38100" dist="25400" dir="5400000" algn="ctr" rotWithShape="0">
                    <a:srgbClr val="6E747A">
                      <a:alpha val="43000"/>
                    </a:srgbClr>
                  </a:outerShdw>
                </a:effectLst>
                <a:latin typeface="+mj-lt"/>
              </a:rPr>
              <a:t>T </a:t>
            </a:r>
            <a:endParaRPr lang="en-IN" sz="2000" b="1" cap="none" spc="0">
              <a:ln w="0">
                <a:solidFill>
                  <a:schemeClr val="tx2"/>
                </a:solidFill>
              </a:ln>
              <a:solidFill>
                <a:schemeClr val="accent2">
                  <a:lumMod val="75000"/>
                </a:schemeClr>
              </a:solidFill>
              <a:effectLst>
                <a:outerShdw blurRad="38100" dist="25400" dir="5400000" algn="ctr" rotWithShape="0">
                  <a:srgbClr val="6E747A">
                    <a:alpha val="43000"/>
                  </a:srgbClr>
                </a:outerShdw>
              </a:effectLst>
              <a:latin typeface="+mj-lt"/>
            </a:endParaRPr>
          </a:p>
        </xdr:txBody>
      </xdr:sp>
    </xdr:grpSp>
    <xdr:clientData/>
  </xdr:twoCellAnchor>
  <xdr:twoCellAnchor>
    <xdr:from>
      <xdr:col>1</xdr:col>
      <xdr:colOff>76200</xdr:colOff>
      <xdr:row>14</xdr:row>
      <xdr:rowOff>142875</xdr:rowOff>
    </xdr:from>
    <xdr:to>
      <xdr:col>4</xdr:col>
      <xdr:colOff>571500</xdr:colOff>
      <xdr:row>14</xdr:row>
      <xdr:rowOff>142875</xdr:rowOff>
    </xdr:to>
    <xdr:cxnSp macro="">
      <xdr:nvCxnSpPr>
        <xdr:cNvPr id="25" name="Straight Connector 24">
          <a:extLst>
            <a:ext uri="{FF2B5EF4-FFF2-40B4-BE49-F238E27FC236}">
              <a16:creationId xmlns:a16="http://schemas.microsoft.com/office/drawing/2014/main" id="{018C10E5-AD51-97BF-4AC6-973D4B43FB7A}"/>
            </a:ext>
          </a:extLst>
        </xdr:cNvPr>
        <xdr:cNvCxnSpPr/>
      </xdr:nvCxnSpPr>
      <xdr:spPr>
        <a:xfrm>
          <a:off x="76200" y="2524125"/>
          <a:ext cx="3009900" cy="0"/>
        </a:xfrm>
        <a:prstGeom prst="line">
          <a:avLst/>
        </a:prstGeom>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66675</xdr:colOff>
      <xdr:row>18</xdr:row>
      <xdr:rowOff>190500</xdr:rowOff>
    </xdr:from>
    <xdr:to>
      <xdr:col>4</xdr:col>
      <xdr:colOff>561975</xdr:colOff>
      <xdr:row>18</xdr:row>
      <xdr:rowOff>190500</xdr:rowOff>
    </xdr:to>
    <xdr:cxnSp macro="">
      <xdr:nvCxnSpPr>
        <xdr:cNvPr id="34" name="Straight Connector 33">
          <a:extLst>
            <a:ext uri="{FF2B5EF4-FFF2-40B4-BE49-F238E27FC236}">
              <a16:creationId xmlns:a16="http://schemas.microsoft.com/office/drawing/2014/main" id="{0502BAB1-89CC-4447-9D34-2E06D5AE52E0}"/>
            </a:ext>
          </a:extLst>
        </xdr:cNvPr>
        <xdr:cNvCxnSpPr/>
      </xdr:nvCxnSpPr>
      <xdr:spPr>
        <a:xfrm>
          <a:off x="66675" y="3524250"/>
          <a:ext cx="3009900" cy="0"/>
        </a:xfrm>
        <a:prstGeom prst="line">
          <a:avLst/>
        </a:prstGeom>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95250</xdr:colOff>
      <xdr:row>29</xdr:row>
      <xdr:rowOff>104775</xdr:rowOff>
    </xdr:from>
    <xdr:to>
      <xdr:col>4</xdr:col>
      <xdr:colOff>590550</xdr:colOff>
      <xdr:row>29</xdr:row>
      <xdr:rowOff>104775</xdr:rowOff>
    </xdr:to>
    <xdr:cxnSp macro="">
      <xdr:nvCxnSpPr>
        <xdr:cNvPr id="41" name="Straight Connector 40">
          <a:extLst>
            <a:ext uri="{FF2B5EF4-FFF2-40B4-BE49-F238E27FC236}">
              <a16:creationId xmlns:a16="http://schemas.microsoft.com/office/drawing/2014/main" id="{7E875B27-91EB-4D27-9540-B6091D533B53}"/>
            </a:ext>
          </a:extLst>
        </xdr:cNvPr>
        <xdr:cNvCxnSpPr/>
      </xdr:nvCxnSpPr>
      <xdr:spPr>
        <a:xfrm>
          <a:off x="95250" y="6057900"/>
          <a:ext cx="3009900" cy="0"/>
        </a:xfrm>
        <a:prstGeom prst="line">
          <a:avLst/>
        </a:prstGeo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85725</xdr:colOff>
      <xdr:row>32</xdr:row>
      <xdr:rowOff>76200</xdr:rowOff>
    </xdr:from>
    <xdr:to>
      <xdr:col>4</xdr:col>
      <xdr:colOff>581025</xdr:colOff>
      <xdr:row>32</xdr:row>
      <xdr:rowOff>76200</xdr:rowOff>
    </xdr:to>
    <xdr:cxnSp macro="">
      <xdr:nvCxnSpPr>
        <xdr:cNvPr id="42" name="Straight Connector 41">
          <a:extLst>
            <a:ext uri="{FF2B5EF4-FFF2-40B4-BE49-F238E27FC236}">
              <a16:creationId xmlns:a16="http://schemas.microsoft.com/office/drawing/2014/main" id="{8CDA7A55-1855-4F6D-B7CE-76F4BC9968B0}"/>
            </a:ext>
          </a:extLst>
        </xdr:cNvPr>
        <xdr:cNvCxnSpPr/>
      </xdr:nvCxnSpPr>
      <xdr:spPr>
        <a:xfrm>
          <a:off x="85725" y="6743700"/>
          <a:ext cx="3009900" cy="0"/>
        </a:xfrm>
        <a:prstGeom prst="line">
          <a:avLst/>
        </a:prstGeom>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xdr:colOff>
      <xdr:row>12</xdr:row>
      <xdr:rowOff>152400</xdr:rowOff>
    </xdr:from>
    <xdr:to>
      <xdr:col>20</xdr:col>
      <xdr:colOff>361950</xdr:colOff>
      <xdr:row>34</xdr:row>
      <xdr:rowOff>28575</xdr:rowOff>
    </xdr:to>
    <xdr:grpSp>
      <xdr:nvGrpSpPr>
        <xdr:cNvPr id="13" name="Group 12">
          <a:extLst>
            <a:ext uri="{FF2B5EF4-FFF2-40B4-BE49-F238E27FC236}">
              <a16:creationId xmlns:a16="http://schemas.microsoft.com/office/drawing/2014/main" id="{5B83FD05-9097-00C9-ADFD-0DB4AC516A23}"/>
            </a:ext>
          </a:extLst>
        </xdr:cNvPr>
        <xdr:cNvGrpSpPr/>
      </xdr:nvGrpSpPr>
      <xdr:grpSpPr>
        <a:xfrm>
          <a:off x="295275" y="3009900"/>
          <a:ext cx="16268700" cy="5114925"/>
          <a:chOff x="19050" y="2057400"/>
          <a:chExt cx="16268700" cy="5114925"/>
        </a:xfrm>
      </xdr:grpSpPr>
      <xdr:sp macro="" textlink="">
        <xdr:nvSpPr>
          <xdr:cNvPr id="11" name="Rectangle: Rounded Corners 10">
            <a:extLst>
              <a:ext uri="{FF2B5EF4-FFF2-40B4-BE49-F238E27FC236}">
                <a16:creationId xmlns:a16="http://schemas.microsoft.com/office/drawing/2014/main" id="{DFAA8F42-0044-4B82-927B-40479BA76755}"/>
              </a:ext>
            </a:extLst>
          </xdr:cNvPr>
          <xdr:cNvSpPr/>
        </xdr:nvSpPr>
        <xdr:spPr>
          <a:xfrm>
            <a:off x="1123950" y="2057400"/>
            <a:ext cx="1819275" cy="333374"/>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cap="none" spc="0">
                <a:ln w="0">
                  <a:solidFill>
                    <a:schemeClr val="tx2"/>
                  </a:solidFill>
                </a:ln>
                <a:solidFill>
                  <a:srgbClr val="FFC000"/>
                </a:solidFill>
                <a:effectLst>
                  <a:outerShdw blurRad="38100" dist="25400" dir="5400000" algn="ctr" rotWithShape="0">
                    <a:srgbClr val="6E747A">
                      <a:alpha val="43000"/>
                    </a:srgbClr>
                  </a:outerShdw>
                </a:effectLst>
                <a:latin typeface="+mj-lt"/>
              </a:rPr>
              <a:t>T</a:t>
            </a:r>
            <a:r>
              <a:rPr lang="en-IN" sz="1800" b="0" cap="none" spc="0">
                <a:ln w="0">
                  <a:solidFill>
                    <a:schemeClr val="tx2"/>
                  </a:solidFill>
                </a:ln>
                <a:solidFill>
                  <a:srgbClr val="00B050"/>
                </a:solidFill>
                <a:effectLst>
                  <a:outerShdw blurRad="38100" dist="25400" dir="5400000" algn="ctr" rotWithShape="0">
                    <a:srgbClr val="6E747A">
                      <a:alpha val="43000"/>
                    </a:srgbClr>
                  </a:outerShdw>
                </a:effectLst>
                <a:latin typeface="+mj-lt"/>
              </a:rPr>
              <a:t>H</a:t>
            </a:r>
            <a:r>
              <a:rPr lang="en-IN" sz="1800" b="0" cap="none" spc="0">
                <a:ln w="0">
                  <a:solidFill>
                    <a:schemeClr val="tx2"/>
                  </a:solidFill>
                </a:ln>
                <a:solidFill>
                  <a:srgbClr val="FF0000"/>
                </a:solidFill>
                <a:effectLst>
                  <a:outerShdw blurRad="38100" dist="25400" dir="5400000" algn="ctr" rotWithShape="0">
                    <a:srgbClr val="6E747A">
                      <a:alpha val="43000"/>
                    </a:srgbClr>
                  </a:outerShdw>
                </a:effectLst>
                <a:latin typeface="+mj-lt"/>
              </a:rPr>
              <a:t>E </a:t>
            </a:r>
            <a:r>
              <a:rPr lang="en-IN" sz="1800" b="0" cap="none" spc="0">
                <a:ln w="0">
                  <a:solidFill>
                    <a:schemeClr val="tx2"/>
                  </a:solidFill>
                </a:ln>
                <a:solidFill>
                  <a:srgbClr val="FFFF00"/>
                </a:solidFill>
                <a:effectLst>
                  <a:outerShdw blurRad="38100" dist="25400" dir="5400000" algn="ctr" rotWithShape="0">
                    <a:srgbClr val="6E747A">
                      <a:alpha val="43000"/>
                    </a:srgbClr>
                  </a:outerShdw>
                </a:effectLst>
                <a:latin typeface="+mj-lt"/>
              </a:rPr>
              <a:t>P</a:t>
            </a:r>
            <a:r>
              <a:rPr lang="en-IN" sz="1800" b="0" cap="none" spc="0">
                <a:ln w="0">
                  <a:solidFill>
                    <a:schemeClr val="tx2"/>
                  </a:solidFill>
                </a:ln>
                <a:solidFill>
                  <a:srgbClr val="00B0F0"/>
                </a:solidFill>
                <a:effectLst>
                  <a:outerShdw blurRad="38100" dist="25400" dir="5400000" algn="ctr" rotWithShape="0">
                    <a:srgbClr val="6E747A">
                      <a:alpha val="43000"/>
                    </a:srgbClr>
                  </a:outerShdw>
                </a:effectLst>
                <a:latin typeface="+mj-lt"/>
              </a:rPr>
              <a:t>R</a:t>
            </a:r>
            <a:r>
              <a:rPr lang="en-IN" sz="1800" b="0" cap="none" spc="0">
                <a:ln w="0">
                  <a:solidFill>
                    <a:schemeClr val="tx2"/>
                  </a:solidFill>
                </a:ln>
                <a:solidFill>
                  <a:srgbClr val="002060"/>
                </a:solidFill>
                <a:effectLst>
                  <a:outerShdw blurRad="38100" dist="25400" dir="5400000" algn="ctr" rotWithShape="0">
                    <a:srgbClr val="6E747A">
                      <a:alpha val="43000"/>
                    </a:srgbClr>
                  </a:outerShdw>
                </a:effectLst>
                <a:latin typeface="+mj-lt"/>
              </a:rPr>
              <a:t>O</a:t>
            </a:r>
            <a:r>
              <a:rPr lang="en-IN" sz="1800" b="0" cap="none" spc="0">
                <a:ln w="0">
                  <a:solidFill>
                    <a:srgbClr val="00F0EA"/>
                  </a:solidFill>
                </a:ln>
                <a:solidFill>
                  <a:srgbClr val="C00000"/>
                </a:solidFill>
                <a:effectLst>
                  <a:outerShdw blurRad="38100" dist="25400" dir="5400000" algn="ctr" rotWithShape="0">
                    <a:srgbClr val="6E747A">
                      <a:alpha val="43000"/>
                    </a:srgbClr>
                  </a:outerShdw>
                </a:effectLst>
                <a:latin typeface="+mj-lt"/>
              </a:rPr>
              <a:t>J</a:t>
            </a:r>
            <a:r>
              <a:rPr lang="en-IN" sz="1800" b="0" cap="none" spc="0">
                <a:ln w="0">
                  <a:solidFill>
                    <a:srgbClr val="7030A0"/>
                  </a:solidFill>
                </a:ln>
                <a:solidFill>
                  <a:srgbClr val="C00000"/>
                </a:solidFill>
                <a:effectLst>
                  <a:outerShdw blurRad="38100" dist="25400" dir="5400000" algn="ctr" rotWithShape="0">
                    <a:srgbClr val="6E747A">
                      <a:alpha val="43000"/>
                    </a:srgbClr>
                  </a:outerShdw>
                </a:effectLst>
                <a:latin typeface="+mj-lt"/>
              </a:rPr>
              <a:t>E</a:t>
            </a:r>
            <a:r>
              <a:rPr lang="en-IN" sz="1800" b="0" cap="none" spc="0">
                <a:ln w="0">
                  <a:solidFill>
                    <a:schemeClr val="tx2"/>
                  </a:solidFill>
                </a:ln>
                <a:solidFill>
                  <a:schemeClr val="accent2">
                    <a:lumMod val="75000"/>
                  </a:schemeClr>
                </a:solidFill>
                <a:effectLst>
                  <a:outerShdw blurRad="38100" dist="25400" dir="5400000" algn="ctr" rotWithShape="0">
                    <a:srgbClr val="6E747A">
                      <a:alpha val="43000"/>
                    </a:srgbClr>
                  </a:outerShdw>
                </a:effectLst>
                <a:latin typeface="+mj-lt"/>
              </a:rPr>
              <a:t>CT</a:t>
            </a:r>
            <a:endParaRPr lang="en-IN" sz="2000" b="1" cap="none" spc="0">
              <a:ln w="0">
                <a:solidFill>
                  <a:schemeClr val="tx2"/>
                </a:solidFill>
              </a:ln>
              <a:solidFill>
                <a:schemeClr val="accent2">
                  <a:lumMod val="75000"/>
                </a:schemeClr>
              </a:solidFill>
              <a:effectLst>
                <a:outerShdw blurRad="38100" dist="25400" dir="5400000" algn="ctr" rotWithShape="0">
                  <a:srgbClr val="6E747A">
                    <a:alpha val="43000"/>
                  </a:srgbClr>
                </a:outerShdw>
              </a:effectLst>
              <a:latin typeface="+mj-lt"/>
            </a:endParaRPr>
          </a:p>
        </xdr:txBody>
      </xdr:sp>
      <xdr:grpSp>
        <xdr:nvGrpSpPr>
          <xdr:cNvPr id="16" name="Graphic 12" descr="Users with solid fill">
            <a:extLst>
              <a:ext uri="{FF2B5EF4-FFF2-40B4-BE49-F238E27FC236}">
                <a16:creationId xmlns:a16="http://schemas.microsoft.com/office/drawing/2014/main" id="{9478C860-A831-F944-FDBA-55AC76A77B38}"/>
              </a:ext>
            </a:extLst>
          </xdr:cNvPr>
          <xdr:cNvGrpSpPr/>
        </xdr:nvGrpSpPr>
        <xdr:grpSpPr>
          <a:xfrm>
            <a:off x="80962" y="2092801"/>
            <a:ext cx="466725" cy="291147"/>
            <a:chOff x="80962" y="2092801"/>
            <a:chExt cx="466725" cy="291147"/>
          </a:xfrm>
          <a:solidFill>
            <a:srgbClr val="B40000"/>
          </a:solidFill>
        </xdr:grpSpPr>
        <xdr:sp macro="" textlink="">
          <xdr:nvSpPr>
            <xdr:cNvPr id="17" name="Freeform: Shape 16">
              <a:extLst>
                <a:ext uri="{FF2B5EF4-FFF2-40B4-BE49-F238E27FC236}">
                  <a16:creationId xmlns:a16="http://schemas.microsoft.com/office/drawing/2014/main" id="{565D9D20-3B25-4EE5-4692-0E9B1D3B9BE0}"/>
                </a:ext>
              </a:extLst>
            </xdr:cNvPr>
            <xdr:cNvSpPr/>
          </xdr:nvSpPr>
          <xdr:spPr>
            <a:xfrm>
              <a:off x="130968" y="2092801"/>
              <a:ext cx="100012" cy="100012"/>
            </a:xfrm>
            <a:custGeom>
              <a:avLst/>
              <a:gdLst>
                <a:gd name="connsiteX0" fmla="*/ 100013 w 100012"/>
                <a:gd name="connsiteY0" fmla="*/ 50006 h 100012"/>
                <a:gd name="connsiteX1" fmla="*/ 50006 w 100012"/>
                <a:gd name="connsiteY1" fmla="*/ 100012 h 100012"/>
                <a:gd name="connsiteX2" fmla="*/ 0 w 100012"/>
                <a:gd name="connsiteY2" fmla="*/ 50006 h 100012"/>
                <a:gd name="connsiteX3" fmla="*/ 50006 w 100012"/>
                <a:gd name="connsiteY3" fmla="*/ 0 h 100012"/>
                <a:gd name="connsiteX4" fmla="*/ 100013 w 100012"/>
                <a:gd name="connsiteY4" fmla="*/ 50006 h 10001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12" h="100012">
                  <a:moveTo>
                    <a:pt x="100013" y="50006"/>
                  </a:moveTo>
                  <a:cubicBezTo>
                    <a:pt x="100013" y="77624"/>
                    <a:pt x="77624" y="100012"/>
                    <a:pt x="50006" y="100012"/>
                  </a:cubicBezTo>
                  <a:cubicBezTo>
                    <a:pt x="22389" y="100012"/>
                    <a:pt x="0" y="77624"/>
                    <a:pt x="0" y="50006"/>
                  </a:cubicBezTo>
                  <a:cubicBezTo>
                    <a:pt x="0" y="22389"/>
                    <a:pt x="22389" y="0"/>
                    <a:pt x="50006" y="0"/>
                  </a:cubicBezTo>
                  <a:cubicBezTo>
                    <a:pt x="77624" y="0"/>
                    <a:pt x="100013" y="22389"/>
                    <a:pt x="100013" y="50006"/>
                  </a:cubicBezTo>
                  <a:close/>
                </a:path>
              </a:pathLst>
            </a:custGeom>
            <a:grpFill/>
            <a:ln/>
          </xdr:spPr>
          <xdr:style>
            <a:lnRef idx="2">
              <a:schemeClr val="accent5"/>
            </a:lnRef>
            <a:fillRef idx="1">
              <a:schemeClr val="lt1"/>
            </a:fillRef>
            <a:effectRef idx="0">
              <a:schemeClr val="accent5"/>
            </a:effectRef>
            <a:fontRef idx="minor">
              <a:schemeClr val="dk1"/>
            </a:fontRef>
          </xdr:style>
          <xdr:txBody>
            <a:bodyPr rtlCol="0" anchor="ctr"/>
            <a:lstStyle/>
            <a:p>
              <a:endParaRPr lang="en-IN"/>
            </a:p>
          </xdr:txBody>
        </xdr:sp>
        <xdr:sp macro="" textlink="">
          <xdr:nvSpPr>
            <xdr:cNvPr id="18" name="Freeform: Shape 17">
              <a:extLst>
                <a:ext uri="{FF2B5EF4-FFF2-40B4-BE49-F238E27FC236}">
                  <a16:creationId xmlns:a16="http://schemas.microsoft.com/office/drawing/2014/main" id="{A0413A6A-4AFC-69F3-6DCD-CB2A4F616738}"/>
                </a:ext>
              </a:extLst>
            </xdr:cNvPr>
            <xdr:cNvSpPr/>
          </xdr:nvSpPr>
          <xdr:spPr>
            <a:xfrm>
              <a:off x="397668" y="2092801"/>
              <a:ext cx="100012" cy="100012"/>
            </a:xfrm>
            <a:custGeom>
              <a:avLst/>
              <a:gdLst>
                <a:gd name="connsiteX0" fmla="*/ 100013 w 100012"/>
                <a:gd name="connsiteY0" fmla="*/ 50006 h 100012"/>
                <a:gd name="connsiteX1" fmla="*/ 50006 w 100012"/>
                <a:gd name="connsiteY1" fmla="*/ 100012 h 100012"/>
                <a:gd name="connsiteX2" fmla="*/ 0 w 100012"/>
                <a:gd name="connsiteY2" fmla="*/ 50006 h 100012"/>
                <a:gd name="connsiteX3" fmla="*/ 50006 w 100012"/>
                <a:gd name="connsiteY3" fmla="*/ 0 h 100012"/>
                <a:gd name="connsiteX4" fmla="*/ 100013 w 100012"/>
                <a:gd name="connsiteY4" fmla="*/ 50006 h 10001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12" h="100012">
                  <a:moveTo>
                    <a:pt x="100013" y="50006"/>
                  </a:moveTo>
                  <a:cubicBezTo>
                    <a:pt x="100013" y="77624"/>
                    <a:pt x="77624" y="100012"/>
                    <a:pt x="50006" y="100012"/>
                  </a:cubicBezTo>
                  <a:cubicBezTo>
                    <a:pt x="22389" y="100012"/>
                    <a:pt x="0" y="77624"/>
                    <a:pt x="0" y="50006"/>
                  </a:cubicBezTo>
                  <a:cubicBezTo>
                    <a:pt x="0" y="22389"/>
                    <a:pt x="22389" y="0"/>
                    <a:pt x="50006" y="0"/>
                  </a:cubicBezTo>
                  <a:cubicBezTo>
                    <a:pt x="77624" y="0"/>
                    <a:pt x="100013" y="22389"/>
                    <a:pt x="100013" y="50006"/>
                  </a:cubicBezTo>
                  <a:close/>
                </a:path>
              </a:pathLst>
            </a:custGeom>
            <a:grpFill/>
            <a:ln/>
          </xdr:spPr>
          <xdr:style>
            <a:lnRef idx="2">
              <a:schemeClr val="accent5"/>
            </a:lnRef>
            <a:fillRef idx="1">
              <a:schemeClr val="lt1"/>
            </a:fillRef>
            <a:effectRef idx="0">
              <a:schemeClr val="accent5"/>
            </a:effectRef>
            <a:fontRef idx="minor">
              <a:schemeClr val="dk1"/>
            </a:fontRef>
          </xdr:style>
          <xdr:txBody>
            <a:bodyPr rtlCol="0" anchor="ctr"/>
            <a:lstStyle/>
            <a:p>
              <a:endParaRPr lang="en-IN"/>
            </a:p>
          </xdr:txBody>
        </xdr:sp>
        <xdr:sp macro="" textlink="">
          <xdr:nvSpPr>
            <xdr:cNvPr id="19" name="Freeform: Shape 18">
              <a:extLst>
                <a:ext uri="{FF2B5EF4-FFF2-40B4-BE49-F238E27FC236}">
                  <a16:creationId xmlns:a16="http://schemas.microsoft.com/office/drawing/2014/main" id="{48F5FA6F-9A31-8371-FE16-6C4CA860E11A}"/>
                </a:ext>
              </a:extLst>
            </xdr:cNvPr>
            <xdr:cNvSpPr/>
          </xdr:nvSpPr>
          <xdr:spPr>
            <a:xfrm>
              <a:off x="214312" y="2283936"/>
              <a:ext cx="200025" cy="100012"/>
            </a:xfrm>
            <a:custGeom>
              <a:avLst/>
              <a:gdLst>
                <a:gd name="connsiteX0" fmla="*/ 200025 w 200025"/>
                <a:gd name="connsiteY0" fmla="*/ 100012 h 100012"/>
                <a:gd name="connsiteX1" fmla="*/ 200025 w 200025"/>
                <a:gd name="connsiteY1" fmla="*/ 50006 h 100012"/>
                <a:gd name="connsiteX2" fmla="*/ 190024 w 200025"/>
                <a:gd name="connsiteY2" fmla="*/ 30004 h 100012"/>
                <a:gd name="connsiteX3" fmla="*/ 141129 w 200025"/>
                <a:gd name="connsiteY3" fmla="*/ 6668 h 100012"/>
                <a:gd name="connsiteX4" fmla="*/ 100013 w 200025"/>
                <a:gd name="connsiteY4" fmla="*/ 0 h 100012"/>
                <a:gd name="connsiteX5" fmla="*/ 58896 w 200025"/>
                <a:gd name="connsiteY5" fmla="*/ 6668 h 100012"/>
                <a:gd name="connsiteX6" fmla="*/ 10001 w 200025"/>
                <a:gd name="connsiteY6" fmla="*/ 30004 h 100012"/>
                <a:gd name="connsiteX7" fmla="*/ 0 w 200025"/>
                <a:gd name="connsiteY7" fmla="*/ 50006 h 100012"/>
                <a:gd name="connsiteX8" fmla="*/ 0 w 200025"/>
                <a:gd name="connsiteY8" fmla="*/ 100012 h 100012"/>
                <a:gd name="connsiteX9" fmla="*/ 200025 w 200025"/>
                <a:gd name="connsiteY9" fmla="*/ 100012 h 1000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200025" h="100012">
                  <a:moveTo>
                    <a:pt x="200025" y="100012"/>
                  </a:moveTo>
                  <a:lnTo>
                    <a:pt x="200025" y="50006"/>
                  </a:lnTo>
                  <a:cubicBezTo>
                    <a:pt x="200025" y="42227"/>
                    <a:pt x="196691" y="34449"/>
                    <a:pt x="190024" y="30004"/>
                  </a:cubicBezTo>
                  <a:cubicBezTo>
                    <a:pt x="176689" y="18891"/>
                    <a:pt x="158909" y="11113"/>
                    <a:pt x="141129" y="6668"/>
                  </a:cubicBezTo>
                  <a:cubicBezTo>
                    <a:pt x="128905" y="3334"/>
                    <a:pt x="114459" y="0"/>
                    <a:pt x="100013" y="0"/>
                  </a:cubicBezTo>
                  <a:cubicBezTo>
                    <a:pt x="86677" y="0"/>
                    <a:pt x="72231" y="2222"/>
                    <a:pt x="58896" y="6668"/>
                  </a:cubicBezTo>
                  <a:cubicBezTo>
                    <a:pt x="41116" y="11113"/>
                    <a:pt x="24448" y="20002"/>
                    <a:pt x="10001" y="30004"/>
                  </a:cubicBezTo>
                  <a:cubicBezTo>
                    <a:pt x="3334" y="35560"/>
                    <a:pt x="0" y="42227"/>
                    <a:pt x="0" y="50006"/>
                  </a:cubicBezTo>
                  <a:lnTo>
                    <a:pt x="0" y="100012"/>
                  </a:lnTo>
                  <a:lnTo>
                    <a:pt x="200025" y="100012"/>
                  </a:lnTo>
                  <a:close/>
                </a:path>
              </a:pathLst>
            </a:custGeom>
            <a:grpFill/>
            <a:ln/>
          </xdr:spPr>
          <xdr:style>
            <a:lnRef idx="2">
              <a:schemeClr val="accent5"/>
            </a:lnRef>
            <a:fillRef idx="1">
              <a:schemeClr val="lt1"/>
            </a:fillRef>
            <a:effectRef idx="0">
              <a:schemeClr val="accent5"/>
            </a:effectRef>
            <a:fontRef idx="minor">
              <a:schemeClr val="dk1"/>
            </a:fontRef>
          </xdr:style>
          <xdr:txBody>
            <a:bodyPr rtlCol="0" anchor="ctr"/>
            <a:lstStyle/>
            <a:p>
              <a:endParaRPr lang="en-IN"/>
            </a:p>
          </xdr:txBody>
        </xdr:sp>
        <xdr:sp macro="" textlink="">
          <xdr:nvSpPr>
            <xdr:cNvPr id="20" name="Freeform: Shape 19">
              <a:extLst>
                <a:ext uri="{FF2B5EF4-FFF2-40B4-BE49-F238E27FC236}">
                  <a16:creationId xmlns:a16="http://schemas.microsoft.com/office/drawing/2014/main" id="{7F1FE21A-E5DF-B5C9-0532-2E0E3A04A986}"/>
                </a:ext>
              </a:extLst>
            </xdr:cNvPr>
            <xdr:cNvSpPr/>
          </xdr:nvSpPr>
          <xdr:spPr>
            <a:xfrm>
              <a:off x="264318" y="2170588"/>
              <a:ext cx="100012" cy="100012"/>
            </a:xfrm>
            <a:custGeom>
              <a:avLst/>
              <a:gdLst>
                <a:gd name="connsiteX0" fmla="*/ 100013 w 100012"/>
                <a:gd name="connsiteY0" fmla="*/ 50006 h 100012"/>
                <a:gd name="connsiteX1" fmla="*/ 50006 w 100012"/>
                <a:gd name="connsiteY1" fmla="*/ 100012 h 100012"/>
                <a:gd name="connsiteX2" fmla="*/ 0 w 100012"/>
                <a:gd name="connsiteY2" fmla="*/ 50006 h 100012"/>
                <a:gd name="connsiteX3" fmla="*/ 50006 w 100012"/>
                <a:gd name="connsiteY3" fmla="*/ 0 h 100012"/>
                <a:gd name="connsiteX4" fmla="*/ 100013 w 100012"/>
                <a:gd name="connsiteY4" fmla="*/ 50006 h 10001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12" h="100012">
                  <a:moveTo>
                    <a:pt x="100013" y="50006"/>
                  </a:moveTo>
                  <a:cubicBezTo>
                    <a:pt x="100013" y="77624"/>
                    <a:pt x="77624" y="100012"/>
                    <a:pt x="50006" y="100012"/>
                  </a:cubicBezTo>
                  <a:cubicBezTo>
                    <a:pt x="22389" y="100012"/>
                    <a:pt x="0" y="77624"/>
                    <a:pt x="0" y="50006"/>
                  </a:cubicBezTo>
                  <a:cubicBezTo>
                    <a:pt x="0" y="22389"/>
                    <a:pt x="22389" y="0"/>
                    <a:pt x="50006" y="0"/>
                  </a:cubicBezTo>
                  <a:cubicBezTo>
                    <a:pt x="77624" y="0"/>
                    <a:pt x="100013" y="22389"/>
                    <a:pt x="100013" y="50006"/>
                  </a:cubicBezTo>
                  <a:close/>
                </a:path>
              </a:pathLst>
            </a:custGeom>
            <a:grpFill/>
            <a:ln/>
          </xdr:spPr>
          <xdr:style>
            <a:lnRef idx="2">
              <a:schemeClr val="accent5"/>
            </a:lnRef>
            <a:fillRef idx="1">
              <a:schemeClr val="lt1"/>
            </a:fillRef>
            <a:effectRef idx="0">
              <a:schemeClr val="accent5"/>
            </a:effectRef>
            <a:fontRef idx="minor">
              <a:schemeClr val="dk1"/>
            </a:fontRef>
          </xdr:style>
          <xdr:txBody>
            <a:bodyPr rtlCol="0" anchor="ctr"/>
            <a:lstStyle/>
            <a:p>
              <a:endParaRPr lang="en-IN"/>
            </a:p>
          </xdr:txBody>
        </xdr:sp>
        <xdr:sp macro="" textlink="">
          <xdr:nvSpPr>
            <xdr:cNvPr id="21" name="Freeform: Shape 20">
              <a:extLst>
                <a:ext uri="{FF2B5EF4-FFF2-40B4-BE49-F238E27FC236}">
                  <a16:creationId xmlns:a16="http://schemas.microsoft.com/office/drawing/2014/main" id="{CF9DFDA4-3001-DCC5-F648-1483888EA75F}"/>
                </a:ext>
              </a:extLst>
            </xdr:cNvPr>
            <xdr:cNvSpPr/>
          </xdr:nvSpPr>
          <xdr:spPr>
            <a:xfrm>
              <a:off x="366553" y="2206148"/>
              <a:ext cx="181133" cy="100012"/>
            </a:xfrm>
            <a:custGeom>
              <a:avLst/>
              <a:gdLst>
                <a:gd name="connsiteX0" fmla="*/ 171132 w 181133"/>
                <a:gd name="connsiteY0" fmla="*/ 30004 h 100012"/>
                <a:gd name="connsiteX1" fmla="*/ 122238 w 181133"/>
                <a:gd name="connsiteY1" fmla="*/ 6668 h 100012"/>
                <a:gd name="connsiteX2" fmla="*/ 81121 w 181133"/>
                <a:gd name="connsiteY2" fmla="*/ 0 h 100012"/>
                <a:gd name="connsiteX3" fmla="*/ 40005 w 181133"/>
                <a:gd name="connsiteY3" fmla="*/ 6668 h 100012"/>
                <a:gd name="connsiteX4" fmla="*/ 20002 w 181133"/>
                <a:gd name="connsiteY4" fmla="*/ 14446 h 100012"/>
                <a:gd name="connsiteX5" fmla="*/ 20002 w 181133"/>
                <a:gd name="connsiteY5" fmla="*/ 15557 h 100012"/>
                <a:gd name="connsiteX6" fmla="*/ 0 w 181133"/>
                <a:gd name="connsiteY6" fmla="*/ 64452 h 100012"/>
                <a:gd name="connsiteX7" fmla="*/ 51117 w 181133"/>
                <a:gd name="connsiteY7" fmla="*/ 90011 h 100012"/>
                <a:gd name="connsiteX8" fmla="*/ 60007 w 181133"/>
                <a:gd name="connsiteY8" fmla="*/ 100013 h 100012"/>
                <a:gd name="connsiteX9" fmla="*/ 181134 w 181133"/>
                <a:gd name="connsiteY9" fmla="*/ 100013 h 100012"/>
                <a:gd name="connsiteX10" fmla="*/ 181134 w 181133"/>
                <a:gd name="connsiteY10" fmla="*/ 50006 h 100012"/>
                <a:gd name="connsiteX11" fmla="*/ 171132 w 181133"/>
                <a:gd name="connsiteY11" fmla="*/ 30004 h 1000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181133" h="100012">
                  <a:moveTo>
                    <a:pt x="171132" y="30004"/>
                  </a:moveTo>
                  <a:cubicBezTo>
                    <a:pt x="157798" y="18891"/>
                    <a:pt x="140017" y="11113"/>
                    <a:pt x="122238" y="6668"/>
                  </a:cubicBezTo>
                  <a:cubicBezTo>
                    <a:pt x="110014" y="3334"/>
                    <a:pt x="95567" y="0"/>
                    <a:pt x="81121" y="0"/>
                  </a:cubicBezTo>
                  <a:cubicBezTo>
                    <a:pt x="67786" y="0"/>
                    <a:pt x="53340" y="2222"/>
                    <a:pt x="40005" y="6668"/>
                  </a:cubicBezTo>
                  <a:cubicBezTo>
                    <a:pt x="33338" y="8890"/>
                    <a:pt x="26670" y="11113"/>
                    <a:pt x="20002" y="14446"/>
                  </a:cubicBezTo>
                  <a:lnTo>
                    <a:pt x="20002" y="15557"/>
                  </a:lnTo>
                  <a:cubicBezTo>
                    <a:pt x="20002" y="34449"/>
                    <a:pt x="12224" y="52229"/>
                    <a:pt x="0" y="64452"/>
                  </a:cubicBezTo>
                  <a:cubicBezTo>
                    <a:pt x="21114" y="71120"/>
                    <a:pt x="37782" y="80010"/>
                    <a:pt x="51117" y="90011"/>
                  </a:cubicBezTo>
                  <a:cubicBezTo>
                    <a:pt x="54451" y="93345"/>
                    <a:pt x="57785" y="95568"/>
                    <a:pt x="60007" y="100013"/>
                  </a:cubicBezTo>
                  <a:lnTo>
                    <a:pt x="181134" y="100013"/>
                  </a:lnTo>
                  <a:lnTo>
                    <a:pt x="181134" y="50006"/>
                  </a:lnTo>
                  <a:cubicBezTo>
                    <a:pt x="181134" y="42227"/>
                    <a:pt x="177800" y="34449"/>
                    <a:pt x="171132" y="30004"/>
                  </a:cubicBezTo>
                  <a:close/>
                </a:path>
              </a:pathLst>
            </a:custGeom>
            <a:grpFill/>
            <a:ln/>
          </xdr:spPr>
          <xdr:style>
            <a:lnRef idx="2">
              <a:schemeClr val="accent5"/>
            </a:lnRef>
            <a:fillRef idx="1">
              <a:schemeClr val="lt1"/>
            </a:fillRef>
            <a:effectRef idx="0">
              <a:schemeClr val="accent5"/>
            </a:effectRef>
            <a:fontRef idx="minor">
              <a:schemeClr val="dk1"/>
            </a:fontRef>
          </xdr:style>
          <xdr:txBody>
            <a:bodyPr rtlCol="0" anchor="ctr"/>
            <a:lstStyle/>
            <a:p>
              <a:endParaRPr lang="en-IN"/>
            </a:p>
          </xdr:txBody>
        </xdr:sp>
        <xdr:sp macro="" textlink="">
          <xdr:nvSpPr>
            <xdr:cNvPr id="22" name="Freeform: Shape 21">
              <a:extLst>
                <a:ext uri="{FF2B5EF4-FFF2-40B4-BE49-F238E27FC236}">
                  <a16:creationId xmlns:a16="http://schemas.microsoft.com/office/drawing/2014/main" id="{934EE05B-B963-C27F-37AE-47B29985ED46}"/>
                </a:ext>
              </a:extLst>
            </xdr:cNvPr>
            <xdr:cNvSpPr/>
          </xdr:nvSpPr>
          <xdr:spPr>
            <a:xfrm>
              <a:off x="80962" y="2206148"/>
              <a:ext cx="181133" cy="100012"/>
            </a:xfrm>
            <a:custGeom>
              <a:avLst/>
              <a:gdLst>
                <a:gd name="connsiteX0" fmla="*/ 130016 w 181133"/>
                <a:gd name="connsiteY0" fmla="*/ 90011 h 100012"/>
                <a:gd name="connsiteX1" fmla="*/ 130016 w 181133"/>
                <a:gd name="connsiteY1" fmla="*/ 90011 h 100012"/>
                <a:gd name="connsiteX2" fmla="*/ 181134 w 181133"/>
                <a:gd name="connsiteY2" fmla="*/ 64452 h 100012"/>
                <a:gd name="connsiteX3" fmla="*/ 161131 w 181133"/>
                <a:gd name="connsiteY3" fmla="*/ 15557 h 100012"/>
                <a:gd name="connsiteX4" fmla="*/ 161131 w 181133"/>
                <a:gd name="connsiteY4" fmla="*/ 13335 h 100012"/>
                <a:gd name="connsiteX5" fmla="*/ 141129 w 181133"/>
                <a:gd name="connsiteY5" fmla="*/ 6668 h 100012"/>
                <a:gd name="connsiteX6" fmla="*/ 100013 w 181133"/>
                <a:gd name="connsiteY6" fmla="*/ 0 h 100012"/>
                <a:gd name="connsiteX7" fmla="*/ 58896 w 181133"/>
                <a:gd name="connsiteY7" fmla="*/ 6668 h 100012"/>
                <a:gd name="connsiteX8" fmla="*/ 10001 w 181133"/>
                <a:gd name="connsiteY8" fmla="*/ 30004 h 100012"/>
                <a:gd name="connsiteX9" fmla="*/ 0 w 181133"/>
                <a:gd name="connsiteY9" fmla="*/ 50006 h 100012"/>
                <a:gd name="connsiteX10" fmla="*/ 0 w 181133"/>
                <a:gd name="connsiteY10" fmla="*/ 100013 h 100012"/>
                <a:gd name="connsiteX11" fmla="*/ 120015 w 181133"/>
                <a:gd name="connsiteY11" fmla="*/ 100013 h 100012"/>
                <a:gd name="connsiteX12" fmla="*/ 130016 w 181133"/>
                <a:gd name="connsiteY12" fmla="*/ 90011 h 1000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81133" h="100012">
                  <a:moveTo>
                    <a:pt x="130016" y="90011"/>
                  </a:moveTo>
                  <a:lnTo>
                    <a:pt x="130016" y="90011"/>
                  </a:lnTo>
                  <a:cubicBezTo>
                    <a:pt x="145574" y="78899"/>
                    <a:pt x="163354" y="70009"/>
                    <a:pt x="181134" y="64452"/>
                  </a:cubicBezTo>
                  <a:cubicBezTo>
                    <a:pt x="168910" y="51118"/>
                    <a:pt x="161131" y="34449"/>
                    <a:pt x="161131" y="15557"/>
                  </a:cubicBezTo>
                  <a:cubicBezTo>
                    <a:pt x="161131" y="14446"/>
                    <a:pt x="161131" y="14446"/>
                    <a:pt x="161131" y="13335"/>
                  </a:cubicBezTo>
                  <a:cubicBezTo>
                    <a:pt x="154464" y="11113"/>
                    <a:pt x="147796" y="7779"/>
                    <a:pt x="141129" y="6668"/>
                  </a:cubicBezTo>
                  <a:cubicBezTo>
                    <a:pt x="128905" y="3334"/>
                    <a:pt x="114459" y="0"/>
                    <a:pt x="100013" y="0"/>
                  </a:cubicBezTo>
                  <a:cubicBezTo>
                    <a:pt x="86678" y="0"/>
                    <a:pt x="72231" y="2222"/>
                    <a:pt x="58896" y="6668"/>
                  </a:cubicBezTo>
                  <a:cubicBezTo>
                    <a:pt x="41116" y="12224"/>
                    <a:pt x="24447" y="20002"/>
                    <a:pt x="10001" y="30004"/>
                  </a:cubicBezTo>
                  <a:cubicBezTo>
                    <a:pt x="3334" y="34449"/>
                    <a:pt x="0" y="42227"/>
                    <a:pt x="0" y="50006"/>
                  </a:cubicBezTo>
                  <a:lnTo>
                    <a:pt x="0" y="100013"/>
                  </a:lnTo>
                  <a:lnTo>
                    <a:pt x="120015" y="100013"/>
                  </a:lnTo>
                  <a:cubicBezTo>
                    <a:pt x="123349" y="95568"/>
                    <a:pt x="125571" y="93345"/>
                    <a:pt x="130016" y="90011"/>
                  </a:cubicBezTo>
                  <a:close/>
                </a:path>
              </a:pathLst>
            </a:custGeom>
            <a:grpFill/>
            <a:ln/>
          </xdr:spPr>
          <xdr:style>
            <a:lnRef idx="2">
              <a:schemeClr val="accent5"/>
            </a:lnRef>
            <a:fillRef idx="1">
              <a:schemeClr val="lt1"/>
            </a:fillRef>
            <a:effectRef idx="0">
              <a:schemeClr val="accent5"/>
            </a:effectRef>
            <a:fontRef idx="minor">
              <a:schemeClr val="dk1"/>
            </a:fontRef>
          </xdr:style>
          <xdr:txBody>
            <a:bodyPr rtlCol="0" anchor="ctr"/>
            <a:lstStyle/>
            <a:p>
              <a:endParaRPr lang="en-IN"/>
            </a:p>
          </xdr:txBody>
        </xdr:sp>
      </xdr:grpSp>
      <xdr:sp macro="" textlink="">
        <xdr:nvSpPr>
          <xdr:cNvPr id="23" name="TextBox 22">
            <a:extLst>
              <a:ext uri="{FF2B5EF4-FFF2-40B4-BE49-F238E27FC236}">
                <a16:creationId xmlns:a16="http://schemas.microsoft.com/office/drawing/2014/main" id="{3EBFD71E-235A-9E18-205B-AD2B5A9AF721}"/>
              </a:ext>
            </a:extLst>
          </xdr:cNvPr>
          <xdr:cNvSpPr txBox="1"/>
        </xdr:nvSpPr>
        <xdr:spPr>
          <a:xfrm>
            <a:off x="61911" y="2614612"/>
            <a:ext cx="16121063" cy="509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ptos" panose="020B0004020202020204" pitchFamily="34" charset="0"/>
              </a:rPr>
              <a:t>This project is a simulated Sales Performance &amp; MIS Dashboard created in Microsoft Excel for a fictional retail company. It transforms raw sales transaction data into an interactive management reporting solution for monitoring sales, profitability, product performance and sales team performance.</a:t>
            </a:r>
          </a:p>
        </xdr:txBody>
      </xdr:sp>
      <xdr:sp macro="" textlink="">
        <xdr:nvSpPr>
          <xdr:cNvPr id="31" name="Rectangle: Rounded Corners 30">
            <a:extLst>
              <a:ext uri="{FF2B5EF4-FFF2-40B4-BE49-F238E27FC236}">
                <a16:creationId xmlns:a16="http://schemas.microsoft.com/office/drawing/2014/main" id="{7D1A526D-57DD-42A3-B260-4214300BF93A}"/>
              </a:ext>
            </a:extLst>
          </xdr:cNvPr>
          <xdr:cNvSpPr/>
        </xdr:nvSpPr>
        <xdr:spPr>
          <a:xfrm>
            <a:off x="19050" y="3143250"/>
            <a:ext cx="2800350" cy="333374"/>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0" cap="none" spc="0">
                <a:ln w="0">
                  <a:solidFill>
                    <a:schemeClr val="tx2"/>
                  </a:solidFill>
                </a:ln>
                <a:solidFill>
                  <a:srgbClr val="FFC000"/>
                </a:solidFill>
                <a:effectLst>
                  <a:outerShdw blurRad="38100" dist="25400" dir="5400000" algn="ctr" rotWithShape="0">
                    <a:srgbClr val="6E747A">
                      <a:alpha val="43000"/>
                    </a:srgbClr>
                  </a:outerShdw>
                </a:effectLst>
                <a:latin typeface="+mj-lt"/>
              </a:rPr>
              <a:t>WHAT THIS DASHBOARD COVERS</a:t>
            </a:r>
            <a:endParaRPr lang="en-IN" sz="1600" b="1" cap="none" spc="0">
              <a:ln w="0">
                <a:solidFill>
                  <a:schemeClr val="tx2"/>
                </a:solidFill>
              </a:ln>
              <a:solidFill>
                <a:schemeClr val="accent2">
                  <a:lumMod val="75000"/>
                </a:schemeClr>
              </a:solidFill>
              <a:effectLst>
                <a:outerShdw blurRad="38100" dist="25400" dir="5400000" algn="ctr" rotWithShape="0">
                  <a:srgbClr val="6E747A">
                    <a:alpha val="43000"/>
                  </a:srgbClr>
                </a:outerShdw>
              </a:effectLst>
              <a:latin typeface="+mj-lt"/>
            </a:endParaRPr>
          </a:p>
        </xdr:txBody>
      </xdr:sp>
      <xdr:sp macro="" textlink="">
        <xdr:nvSpPr>
          <xdr:cNvPr id="35" name="TextBox 34">
            <a:extLst>
              <a:ext uri="{FF2B5EF4-FFF2-40B4-BE49-F238E27FC236}">
                <a16:creationId xmlns:a16="http://schemas.microsoft.com/office/drawing/2014/main" id="{C0FD1E70-9C56-469C-8D11-C2E20583A6FE}"/>
              </a:ext>
            </a:extLst>
          </xdr:cNvPr>
          <xdr:cNvSpPr txBox="1"/>
        </xdr:nvSpPr>
        <xdr:spPr>
          <a:xfrm>
            <a:off x="90486" y="3700463"/>
            <a:ext cx="3395664" cy="1850400"/>
          </a:xfrm>
          <a:prstGeom prst="rect">
            <a:avLst/>
          </a:prstGeom>
          <a:no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effectLst/>
                <a:latin typeface="+mj-lt"/>
                <a:ea typeface="+mn-ea"/>
                <a:cs typeface="+mn-cs"/>
              </a:rPr>
              <a:t>EXECUTIVE DASHBOARD</a:t>
            </a:r>
          </a:p>
          <a:p>
            <a:endParaRPr lang="en-IN" sz="800" b="1">
              <a:solidFill>
                <a:schemeClr val="dk1"/>
              </a:solidFill>
              <a:effectLst/>
              <a:latin typeface="+mj-lt"/>
              <a:ea typeface="+mn-ea"/>
              <a:cs typeface="+mn-cs"/>
            </a:endParaRPr>
          </a:p>
          <a:p>
            <a:r>
              <a:rPr lang="en-IN" sz="1200">
                <a:solidFill>
                  <a:schemeClr val="dk1"/>
                </a:solidFill>
                <a:effectLst/>
                <a:latin typeface="Aptos" panose="020B0004020202020204" pitchFamily="34" charset="0"/>
                <a:ea typeface="+mn-ea"/>
                <a:cs typeface="+mn-cs"/>
              </a:rPr>
              <a:t>•</a:t>
            </a:r>
            <a:r>
              <a:rPr lang="en-IN" sz="1200" baseline="0">
                <a:solidFill>
                  <a:schemeClr val="dk1"/>
                </a:solidFill>
                <a:effectLst/>
                <a:latin typeface="Aptos" panose="020B0004020202020204" pitchFamily="34" charset="0"/>
                <a:ea typeface="+mn-ea"/>
                <a:cs typeface="+mn-cs"/>
              </a:rPr>
              <a:t> </a:t>
            </a:r>
            <a:r>
              <a:rPr lang="en-IN" sz="1200" b="1">
                <a:latin typeface="Aptos" panose="020B0004020202020204" pitchFamily="34" charset="0"/>
              </a:rPr>
              <a:t>KPIs:</a:t>
            </a:r>
            <a:r>
              <a:rPr lang="en-IN" sz="1200">
                <a:latin typeface="Aptos" panose="020B0004020202020204" pitchFamily="34" charset="0"/>
              </a:rPr>
              <a:t> Net Sales, Quantity, Profit, Profit   Margin</a:t>
            </a:r>
          </a:p>
          <a:p>
            <a:r>
              <a:rPr lang="en-IN" sz="1200">
                <a:latin typeface="Aptos" panose="020B0004020202020204" pitchFamily="34" charset="0"/>
              </a:rPr>
              <a:t>   &amp; Target Achievement</a:t>
            </a:r>
          </a:p>
          <a:p>
            <a:endParaRPr lang="en-IN" sz="300">
              <a:latin typeface="Aptos" panose="020B00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IN" sz="1200">
                <a:solidFill>
                  <a:schemeClr val="dk1"/>
                </a:solidFill>
                <a:effectLst/>
                <a:latin typeface="Aptos" panose="020B0004020202020204" pitchFamily="34" charset="0"/>
                <a:ea typeface="+mn-ea"/>
                <a:cs typeface="+mn-cs"/>
              </a:rPr>
              <a:t>•</a:t>
            </a:r>
            <a:r>
              <a:rPr lang="en-IN" sz="1200" baseline="0">
                <a:solidFill>
                  <a:schemeClr val="dk1"/>
                </a:solidFill>
                <a:effectLst/>
                <a:latin typeface="Aptos" panose="020B0004020202020204" pitchFamily="34" charset="0"/>
                <a:ea typeface="+mn-ea"/>
                <a:cs typeface="+mn-cs"/>
              </a:rPr>
              <a:t> </a:t>
            </a:r>
            <a:r>
              <a:rPr lang="en-IN" sz="1200" b="1">
                <a:latin typeface="Aptos" panose="020B0004020202020204" pitchFamily="34" charset="0"/>
              </a:rPr>
              <a:t>Analysis:</a:t>
            </a:r>
            <a:r>
              <a:rPr lang="en-IN" sz="1200">
                <a:latin typeface="Aptos" panose="020B0004020202020204" pitchFamily="34" charset="0"/>
              </a:rPr>
              <a:t> Monthly Sales vs Target, Profit Trend,</a:t>
            </a:r>
          </a:p>
          <a:p>
            <a:pPr marL="0" marR="0" lvl="0" indent="0" defTabSz="914400" eaLnBrk="1" fontAlgn="auto" latinLnBrk="0" hangingPunct="1">
              <a:lnSpc>
                <a:spcPct val="100000"/>
              </a:lnSpc>
              <a:spcBef>
                <a:spcPts val="0"/>
              </a:spcBef>
              <a:spcAft>
                <a:spcPts val="0"/>
              </a:spcAft>
              <a:buClrTx/>
              <a:buSzTx/>
              <a:buFontTx/>
              <a:buNone/>
              <a:tabLst/>
              <a:defRPr/>
            </a:pPr>
            <a:r>
              <a:rPr lang="en-IN" sz="1200">
                <a:latin typeface="Aptos" panose="020B0004020202020204" pitchFamily="34" charset="0"/>
              </a:rPr>
              <a:t>   Region, City, Customer Type, Payment Mode &amp; </a:t>
            </a:r>
          </a:p>
          <a:p>
            <a:pPr marL="0" marR="0" lvl="0" indent="0" defTabSz="914400" eaLnBrk="1" fontAlgn="auto" latinLnBrk="0" hangingPunct="1">
              <a:lnSpc>
                <a:spcPct val="100000"/>
              </a:lnSpc>
              <a:spcBef>
                <a:spcPts val="0"/>
              </a:spcBef>
              <a:spcAft>
                <a:spcPts val="0"/>
              </a:spcAft>
              <a:buClrTx/>
              <a:buSzTx/>
              <a:buFontTx/>
              <a:buNone/>
              <a:tabLst/>
              <a:defRPr/>
            </a:pPr>
            <a:r>
              <a:rPr lang="en-IN" sz="1200">
                <a:latin typeface="Aptos" panose="020B0004020202020204" pitchFamily="34" charset="0"/>
              </a:rPr>
              <a:t>   Order Status</a:t>
            </a:r>
          </a:p>
          <a:p>
            <a:pPr marL="0" marR="0" lvl="0" indent="0" defTabSz="914400" eaLnBrk="1" fontAlgn="auto" latinLnBrk="0" hangingPunct="1">
              <a:lnSpc>
                <a:spcPct val="100000"/>
              </a:lnSpc>
              <a:spcBef>
                <a:spcPts val="0"/>
              </a:spcBef>
              <a:spcAft>
                <a:spcPts val="0"/>
              </a:spcAft>
              <a:buClrTx/>
              <a:buSzTx/>
              <a:buFontTx/>
              <a:buNone/>
              <a:tabLst/>
              <a:defRPr/>
            </a:pPr>
            <a:endParaRPr lang="en-IN" sz="300">
              <a:latin typeface="Aptos" panose="020B00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IN" sz="1200">
                <a:solidFill>
                  <a:schemeClr val="dk1"/>
                </a:solidFill>
                <a:effectLst/>
                <a:latin typeface="Aptos" panose="020B0004020202020204" pitchFamily="34" charset="0"/>
                <a:ea typeface="+mn-ea"/>
                <a:cs typeface="+mn-cs"/>
              </a:rPr>
              <a:t>•</a:t>
            </a:r>
            <a:r>
              <a:rPr lang="en-IN" sz="1200" baseline="0">
                <a:solidFill>
                  <a:schemeClr val="dk1"/>
                </a:solidFill>
                <a:effectLst/>
                <a:latin typeface="Aptos" panose="020B0004020202020204" pitchFamily="34" charset="0"/>
                <a:ea typeface="+mn-ea"/>
                <a:cs typeface="+mn-cs"/>
              </a:rPr>
              <a:t> </a:t>
            </a:r>
            <a:r>
              <a:rPr lang="en-IN" sz="1200" b="1">
                <a:latin typeface="Aptos" panose="020B0004020202020204" pitchFamily="34" charset="0"/>
              </a:rPr>
              <a:t>Filters:</a:t>
            </a:r>
            <a:r>
              <a:rPr lang="en-IN" sz="1200">
                <a:latin typeface="Aptos" panose="020B0004020202020204" pitchFamily="34" charset="0"/>
              </a:rPr>
              <a:t> Date, Region, City, Sales Channel,</a:t>
            </a:r>
          </a:p>
          <a:p>
            <a:pPr marL="0" marR="0" lvl="0" indent="0" defTabSz="914400" eaLnBrk="1" fontAlgn="auto" latinLnBrk="0" hangingPunct="1">
              <a:lnSpc>
                <a:spcPct val="100000"/>
              </a:lnSpc>
              <a:spcBef>
                <a:spcPts val="0"/>
              </a:spcBef>
              <a:spcAft>
                <a:spcPts val="0"/>
              </a:spcAft>
              <a:buClrTx/>
              <a:buSzTx/>
              <a:buFontTx/>
              <a:buNone/>
              <a:tabLst/>
              <a:defRPr/>
            </a:pPr>
            <a:r>
              <a:rPr lang="en-IN" sz="1200">
                <a:latin typeface="Aptos" panose="020B0004020202020204" pitchFamily="34" charset="0"/>
              </a:rPr>
              <a:t>   Customer Type &amp; Payment Mode</a:t>
            </a:r>
            <a:endParaRPr lang="en-IN" sz="1200">
              <a:solidFill>
                <a:schemeClr val="dk1"/>
              </a:solidFill>
              <a:effectLst/>
              <a:latin typeface="Aptos" panose="020B0004020202020204" pitchFamily="34" charset="0"/>
              <a:ea typeface="+mn-ea"/>
              <a:cs typeface="+mn-cs"/>
            </a:endParaRPr>
          </a:p>
        </xdr:txBody>
      </xdr:sp>
      <xdr:sp macro="" textlink="">
        <xdr:nvSpPr>
          <xdr:cNvPr id="36" name="TextBox 35">
            <a:extLst>
              <a:ext uri="{FF2B5EF4-FFF2-40B4-BE49-F238E27FC236}">
                <a16:creationId xmlns:a16="http://schemas.microsoft.com/office/drawing/2014/main" id="{B655C056-68F0-41B7-B579-0F6B147DFB4D}"/>
              </a:ext>
            </a:extLst>
          </xdr:cNvPr>
          <xdr:cNvSpPr txBox="1"/>
        </xdr:nvSpPr>
        <xdr:spPr>
          <a:xfrm>
            <a:off x="4126706" y="3692027"/>
            <a:ext cx="3005139" cy="1850400"/>
          </a:xfrm>
          <a:prstGeom prst="rect">
            <a:avLst/>
          </a:prstGeom>
          <a:no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effectLst/>
                <a:latin typeface="+mj-lt"/>
                <a:ea typeface="+mn-ea"/>
                <a:cs typeface="+mn-cs"/>
              </a:rPr>
              <a:t>PRODUCT PERFORMANCE</a:t>
            </a:r>
          </a:p>
          <a:p>
            <a:endParaRPr lang="en-IN" sz="800" b="1">
              <a:solidFill>
                <a:schemeClr val="dk1"/>
              </a:solidFill>
              <a:effectLst/>
              <a:latin typeface="+mj-lt"/>
              <a:ea typeface="+mn-ea"/>
              <a:cs typeface="+mn-cs"/>
            </a:endParaRPr>
          </a:p>
          <a:p>
            <a:r>
              <a:rPr lang="en-IN" sz="1200">
                <a:solidFill>
                  <a:schemeClr val="dk1"/>
                </a:solidFill>
                <a:effectLst/>
                <a:latin typeface="Aptos" panose="020B0004020202020204" pitchFamily="34" charset="0"/>
                <a:ea typeface="+mn-ea"/>
                <a:cs typeface="+mn-cs"/>
              </a:rPr>
              <a:t>• Net Sales by Product </a:t>
            </a:r>
          </a:p>
          <a:p>
            <a:r>
              <a:rPr lang="en-IN" sz="1200">
                <a:solidFill>
                  <a:schemeClr val="dk1"/>
                </a:solidFill>
                <a:effectLst/>
                <a:latin typeface="Aptos" panose="020B0004020202020204" pitchFamily="34" charset="0"/>
                <a:ea typeface="+mn-ea"/>
                <a:cs typeface="+mn-cs"/>
              </a:rPr>
              <a:t>• Profit by Product </a:t>
            </a:r>
          </a:p>
          <a:p>
            <a:r>
              <a:rPr lang="en-IN" sz="1200">
                <a:solidFill>
                  <a:schemeClr val="dk1"/>
                </a:solidFill>
                <a:effectLst/>
                <a:latin typeface="Aptos" panose="020B0004020202020204" pitchFamily="34" charset="0"/>
                <a:ea typeface="+mn-ea"/>
                <a:cs typeface="+mn-cs"/>
              </a:rPr>
              <a:t>• Quantity Sold by Product </a:t>
            </a:r>
          </a:p>
          <a:p>
            <a:r>
              <a:rPr lang="en-IN" sz="1200">
                <a:solidFill>
                  <a:schemeClr val="dk1"/>
                </a:solidFill>
                <a:effectLst/>
                <a:latin typeface="Aptos" panose="020B0004020202020204" pitchFamily="34" charset="0"/>
                <a:ea typeface="+mn-ea"/>
                <a:cs typeface="+mn-cs"/>
              </a:rPr>
              <a:t>• Profit Margin by Product </a:t>
            </a:r>
          </a:p>
          <a:p>
            <a:r>
              <a:rPr lang="en-IN" sz="1200">
                <a:solidFill>
                  <a:schemeClr val="dk1"/>
                </a:solidFill>
                <a:effectLst/>
                <a:latin typeface="Aptos" panose="020B0004020202020204" pitchFamily="34" charset="0"/>
                <a:ea typeface="+mn-ea"/>
                <a:cs typeface="+mn-cs"/>
              </a:rPr>
              <a:t>• Order Status by Product</a:t>
            </a:r>
            <a:endParaRPr lang="en-IN" sz="1600">
              <a:latin typeface="Aptos" panose="020B0004020202020204" pitchFamily="34" charset="0"/>
            </a:endParaRPr>
          </a:p>
        </xdr:txBody>
      </xdr:sp>
      <xdr:sp macro="" textlink="">
        <xdr:nvSpPr>
          <xdr:cNvPr id="37" name="TextBox 36">
            <a:extLst>
              <a:ext uri="{FF2B5EF4-FFF2-40B4-BE49-F238E27FC236}">
                <a16:creationId xmlns:a16="http://schemas.microsoft.com/office/drawing/2014/main" id="{18BEC793-8D25-9B2A-5D19-CB8A0730525B}"/>
              </a:ext>
            </a:extLst>
          </xdr:cNvPr>
          <xdr:cNvSpPr txBox="1"/>
        </xdr:nvSpPr>
        <xdr:spPr>
          <a:xfrm>
            <a:off x="7786686" y="3672976"/>
            <a:ext cx="3005139" cy="1851524"/>
          </a:xfrm>
          <a:prstGeom prst="rect">
            <a:avLst/>
          </a:prstGeom>
          <a:no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effectLst/>
                <a:latin typeface="+mj-lt"/>
                <a:ea typeface="+mn-ea"/>
                <a:cs typeface="+mn-cs"/>
              </a:rPr>
              <a:t>SALES TEAM PERFORMANCE </a:t>
            </a:r>
          </a:p>
          <a:p>
            <a:endParaRPr lang="en-IN" sz="800" b="1">
              <a:solidFill>
                <a:schemeClr val="dk1"/>
              </a:solidFill>
              <a:effectLst/>
              <a:latin typeface="+mj-lt"/>
              <a:ea typeface="+mn-ea"/>
              <a:cs typeface="+mn-cs"/>
            </a:endParaRPr>
          </a:p>
          <a:p>
            <a:r>
              <a:rPr lang="en-IN" sz="1200">
                <a:solidFill>
                  <a:schemeClr val="dk1"/>
                </a:solidFill>
                <a:effectLst/>
                <a:latin typeface="Aptos" panose="020B0004020202020204" pitchFamily="34" charset="0"/>
                <a:ea typeface="+mn-ea"/>
                <a:cs typeface="+mn-cs"/>
              </a:rPr>
              <a:t>• Salesman Sales Ranking </a:t>
            </a:r>
          </a:p>
          <a:p>
            <a:r>
              <a:rPr lang="en-IN" sz="1200">
                <a:solidFill>
                  <a:schemeClr val="dk1"/>
                </a:solidFill>
                <a:effectLst/>
                <a:latin typeface="Aptos" panose="020B0004020202020204" pitchFamily="34" charset="0"/>
                <a:ea typeface="+mn-ea"/>
                <a:cs typeface="+mn-cs"/>
              </a:rPr>
              <a:t>• Sales vs Profit by Salesman </a:t>
            </a:r>
          </a:p>
          <a:p>
            <a:r>
              <a:rPr lang="en-IN" sz="1200">
                <a:solidFill>
                  <a:schemeClr val="dk1"/>
                </a:solidFill>
                <a:effectLst/>
                <a:latin typeface="Aptos" panose="020B0004020202020204" pitchFamily="34" charset="0"/>
                <a:ea typeface="+mn-ea"/>
                <a:cs typeface="+mn-cs"/>
              </a:rPr>
              <a:t>• Average Order Value by Salesman </a:t>
            </a:r>
          </a:p>
          <a:p>
            <a:r>
              <a:rPr lang="en-IN" sz="1200">
                <a:solidFill>
                  <a:schemeClr val="dk1"/>
                </a:solidFill>
                <a:effectLst/>
                <a:latin typeface="Aptos" panose="020B0004020202020204" pitchFamily="34" charset="0"/>
                <a:ea typeface="+mn-ea"/>
                <a:cs typeface="+mn-cs"/>
              </a:rPr>
              <a:t>• Profit Margin by Salesman </a:t>
            </a:r>
          </a:p>
          <a:p>
            <a:r>
              <a:rPr lang="en-IN" sz="1200">
                <a:solidFill>
                  <a:schemeClr val="dk1"/>
                </a:solidFill>
                <a:effectLst/>
                <a:latin typeface="Aptos" panose="020B0004020202020204" pitchFamily="34" charset="0"/>
                <a:ea typeface="+mn-ea"/>
                <a:cs typeface="+mn-cs"/>
              </a:rPr>
              <a:t>• Order Status by Salesman</a:t>
            </a:r>
            <a:endParaRPr lang="en-IN" sz="1800">
              <a:latin typeface="Aptos" panose="020B0004020202020204" pitchFamily="34" charset="0"/>
            </a:endParaRPr>
          </a:p>
        </xdr:txBody>
      </xdr:sp>
      <xdr:sp macro="" textlink="">
        <xdr:nvSpPr>
          <xdr:cNvPr id="38" name="TextBox 37">
            <a:extLst>
              <a:ext uri="{FF2B5EF4-FFF2-40B4-BE49-F238E27FC236}">
                <a16:creationId xmlns:a16="http://schemas.microsoft.com/office/drawing/2014/main" id="{D0B40188-78D3-B12F-C982-1B9FA5609779}"/>
              </a:ext>
            </a:extLst>
          </xdr:cNvPr>
          <xdr:cNvSpPr txBox="1"/>
        </xdr:nvSpPr>
        <xdr:spPr>
          <a:xfrm>
            <a:off x="11353800" y="3672976"/>
            <a:ext cx="4829174" cy="1851524"/>
          </a:xfrm>
          <a:prstGeom prst="rect">
            <a:avLst/>
          </a:prstGeom>
          <a:no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effectLst/>
                <a:latin typeface="+mj-lt"/>
                <a:ea typeface="+mn-ea"/>
                <a:cs typeface="+mn-cs"/>
              </a:rPr>
              <a:t>KEY BUSINESS INSIGHTS </a:t>
            </a:r>
          </a:p>
          <a:p>
            <a:endParaRPr lang="en-IN" sz="900" b="1">
              <a:solidFill>
                <a:schemeClr val="dk1"/>
              </a:solidFill>
              <a:effectLst/>
              <a:latin typeface="+mj-lt"/>
              <a:ea typeface="+mn-ea"/>
              <a:cs typeface="+mn-cs"/>
            </a:endParaRPr>
          </a:p>
          <a:p>
            <a:r>
              <a:rPr lang="en-IN" sz="1200">
                <a:solidFill>
                  <a:schemeClr val="dk1"/>
                </a:solidFill>
                <a:effectLst/>
                <a:latin typeface="Aptos" panose="020B0004020202020204" pitchFamily="34" charset="0"/>
                <a:ea typeface="+mn-ea"/>
                <a:cs typeface="+mn-cs"/>
              </a:rPr>
              <a:t>• </a:t>
            </a:r>
            <a:r>
              <a:rPr lang="en-IN" sz="1200">
                <a:latin typeface="Aptos" panose="020B0004020202020204" pitchFamily="34" charset="0"/>
              </a:rPr>
              <a:t>Identifies top-performing products and salespeople.</a:t>
            </a:r>
          </a:p>
          <a:p>
            <a:r>
              <a:rPr lang="en-IN" sz="1200">
                <a:solidFill>
                  <a:schemeClr val="dk1"/>
                </a:solidFill>
                <a:effectLst/>
                <a:latin typeface="Aptos" panose="020B0004020202020204" pitchFamily="34" charset="0"/>
                <a:ea typeface="+mn-ea"/>
                <a:cs typeface="+mn-cs"/>
              </a:rPr>
              <a:t>• </a:t>
            </a:r>
            <a:r>
              <a:rPr lang="en-IN" sz="1200">
                <a:latin typeface="Aptos" panose="020B0004020202020204" pitchFamily="34" charset="0"/>
              </a:rPr>
              <a:t>Compares sales volume with profitability and margins.</a:t>
            </a:r>
          </a:p>
          <a:p>
            <a:r>
              <a:rPr lang="en-IN" sz="1200">
                <a:solidFill>
                  <a:schemeClr val="dk1"/>
                </a:solidFill>
                <a:effectLst/>
                <a:latin typeface="Aptos" panose="020B0004020202020204" pitchFamily="34" charset="0"/>
                <a:ea typeface="+mn-ea"/>
                <a:cs typeface="+mn-cs"/>
              </a:rPr>
              <a:t>• </a:t>
            </a:r>
            <a:r>
              <a:rPr lang="en-IN" sz="1200">
                <a:latin typeface="Aptos" panose="020B0004020202020204" pitchFamily="34" charset="0"/>
              </a:rPr>
              <a:t>Highlights differences in customer, regional and payment segments.</a:t>
            </a:r>
          </a:p>
          <a:p>
            <a:r>
              <a:rPr lang="en-IN" sz="1200">
                <a:solidFill>
                  <a:schemeClr val="dk1"/>
                </a:solidFill>
                <a:effectLst/>
                <a:latin typeface="Aptos" panose="020B0004020202020204" pitchFamily="34" charset="0"/>
                <a:ea typeface="+mn-ea"/>
                <a:cs typeface="+mn-cs"/>
              </a:rPr>
              <a:t>• </a:t>
            </a:r>
            <a:r>
              <a:rPr lang="en-IN" sz="1200">
                <a:latin typeface="Aptos" panose="020B0004020202020204" pitchFamily="34" charset="0"/>
              </a:rPr>
              <a:t>Monitors completed, pending, returned and cancelled orders.</a:t>
            </a:r>
          </a:p>
          <a:p>
            <a:r>
              <a:rPr lang="en-IN" sz="1200">
                <a:solidFill>
                  <a:schemeClr val="dk1"/>
                </a:solidFill>
                <a:effectLst/>
                <a:latin typeface="Aptos" panose="020B0004020202020204" pitchFamily="34" charset="0"/>
                <a:ea typeface="+mn-ea"/>
                <a:cs typeface="+mn-cs"/>
              </a:rPr>
              <a:t>• </a:t>
            </a:r>
            <a:r>
              <a:rPr lang="en-IN" sz="1200">
                <a:latin typeface="Aptos" panose="020B0004020202020204" pitchFamily="34" charset="0"/>
              </a:rPr>
              <a:t>Tracks monthly performance against targets.</a:t>
            </a:r>
          </a:p>
        </xdr:txBody>
      </xdr:sp>
      <xdr:sp macro="" textlink="">
        <xdr:nvSpPr>
          <xdr:cNvPr id="39" name="TextBox 38">
            <a:extLst>
              <a:ext uri="{FF2B5EF4-FFF2-40B4-BE49-F238E27FC236}">
                <a16:creationId xmlns:a16="http://schemas.microsoft.com/office/drawing/2014/main" id="{EEA23FD7-AB29-4D3F-829F-58A498720F75}"/>
              </a:ext>
            </a:extLst>
          </xdr:cNvPr>
          <xdr:cNvSpPr txBox="1"/>
        </xdr:nvSpPr>
        <xdr:spPr>
          <a:xfrm>
            <a:off x="90485" y="5772149"/>
            <a:ext cx="8758239" cy="714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effectLst/>
                <a:latin typeface="+mj-lt"/>
                <a:ea typeface="+mn-ea"/>
                <a:cs typeface="+mn-cs"/>
              </a:rPr>
              <a:t>TOOLS &amp; SKILLS USED </a:t>
            </a:r>
          </a:p>
          <a:p>
            <a:endParaRPr lang="en-IN" sz="600" b="1">
              <a:solidFill>
                <a:schemeClr val="dk1"/>
              </a:solidFill>
              <a:effectLst/>
              <a:latin typeface="Aptos" panose="020B0004020202020204" pitchFamily="34" charset="0"/>
              <a:ea typeface="+mn-ea"/>
              <a:cs typeface="+mn-cs"/>
            </a:endParaRPr>
          </a:p>
          <a:p>
            <a:r>
              <a:rPr lang="en-IN" sz="1200">
                <a:solidFill>
                  <a:schemeClr val="dk1"/>
                </a:solidFill>
                <a:effectLst/>
                <a:latin typeface="Aptos" panose="020B0004020202020204" pitchFamily="34" charset="0"/>
                <a:ea typeface="+mn-ea"/>
                <a:cs typeface="+mn-cs"/>
              </a:rPr>
              <a:t>Microsoft Excel | PivotTables | PivotCharts | Slicers | Timeline Calculated Fields | Conditional Formatting | MIS Dashboard Design </a:t>
            </a:r>
            <a:r>
              <a:rPr lang="en-IN" sz="1400">
                <a:solidFill>
                  <a:schemeClr val="dk1"/>
                </a:solidFill>
                <a:effectLst/>
                <a:latin typeface="Aptos" panose="020B0004020202020204" pitchFamily="34" charset="0"/>
                <a:ea typeface="+mn-ea"/>
                <a:cs typeface="+mn-cs"/>
              </a:rPr>
              <a:t> </a:t>
            </a:r>
            <a:endParaRPr lang="en-IN" sz="1600">
              <a:latin typeface="Aptos" panose="020B0004020202020204" pitchFamily="34" charset="0"/>
            </a:endParaRPr>
          </a:p>
        </xdr:txBody>
      </xdr:sp>
      <xdr:sp macro="" textlink="">
        <xdr:nvSpPr>
          <xdr:cNvPr id="40" name="TextBox 39">
            <a:extLst>
              <a:ext uri="{FF2B5EF4-FFF2-40B4-BE49-F238E27FC236}">
                <a16:creationId xmlns:a16="http://schemas.microsoft.com/office/drawing/2014/main" id="{4F7645E1-F8B2-B58B-FB0F-8BE3B375BEC4}"/>
              </a:ext>
            </a:extLst>
          </xdr:cNvPr>
          <xdr:cNvSpPr txBox="1"/>
        </xdr:nvSpPr>
        <xdr:spPr>
          <a:xfrm>
            <a:off x="52385" y="6457949"/>
            <a:ext cx="9082090" cy="714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effectLst/>
                <a:latin typeface="+mj-lt"/>
                <a:ea typeface="+mn-ea"/>
                <a:cs typeface="+mn-cs"/>
              </a:rPr>
              <a:t>DATA DISCLAIMER </a:t>
            </a:r>
          </a:p>
          <a:p>
            <a:endParaRPr lang="en-IN" sz="700" b="1">
              <a:solidFill>
                <a:schemeClr val="dk1"/>
              </a:solidFill>
              <a:effectLst/>
              <a:latin typeface="+mj-lt"/>
              <a:ea typeface="+mn-ea"/>
              <a:cs typeface="+mn-cs"/>
            </a:endParaRPr>
          </a:p>
          <a:p>
            <a:r>
              <a:rPr lang="en-IN" sz="1200">
                <a:solidFill>
                  <a:schemeClr val="dk1"/>
                </a:solidFill>
                <a:effectLst/>
                <a:latin typeface="Aptos" panose="020B0004020202020204" pitchFamily="34" charset="0"/>
                <a:ea typeface="+mn-ea"/>
                <a:cs typeface="+mn-cs"/>
              </a:rPr>
              <a:t>Company, customer and transaction data used in this project are fictional/simulated and created for portfolio and learning purposes.</a:t>
            </a:r>
            <a:endParaRPr lang="en-IN" sz="1800">
              <a:latin typeface="Aptos" panose="020B0004020202020204" pitchFamily="34" charset="0"/>
            </a:endParaRPr>
          </a:p>
        </xdr:txBody>
      </xdr:sp>
      <xdr:sp macro="" textlink="">
        <xdr:nvSpPr>
          <xdr:cNvPr id="44" name="TextBox 43">
            <a:extLst>
              <a:ext uri="{FF2B5EF4-FFF2-40B4-BE49-F238E27FC236}">
                <a16:creationId xmlns:a16="http://schemas.microsoft.com/office/drawing/2014/main" id="{3791EBB1-F36F-47E2-91E5-077A0AE2B873}"/>
              </a:ext>
            </a:extLst>
          </xdr:cNvPr>
          <xdr:cNvSpPr txBox="1"/>
        </xdr:nvSpPr>
        <xdr:spPr>
          <a:xfrm>
            <a:off x="13625511" y="6254251"/>
            <a:ext cx="2662239" cy="822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dk1"/>
                </a:solidFill>
                <a:effectLst/>
                <a:latin typeface="+mj-lt"/>
                <a:ea typeface="+mn-ea"/>
                <a:cs typeface="+mn-cs"/>
              </a:rPr>
              <a:t>CREATED BY</a:t>
            </a:r>
          </a:p>
          <a:p>
            <a:pPr algn="ctr"/>
            <a:endParaRPr lang="en-IN" sz="1200" b="1">
              <a:solidFill>
                <a:schemeClr val="dk1"/>
              </a:solidFill>
              <a:effectLst/>
              <a:latin typeface="+mj-lt"/>
              <a:ea typeface="+mn-ea"/>
              <a:cs typeface="+mn-cs"/>
            </a:endParaRPr>
          </a:p>
          <a:p>
            <a:pPr algn="ctr"/>
            <a:r>
              <a:rPr lang="en-IN" sz="1200" b="0">
                <a:solidFill>
                  <a:schemeClr val="dk1"/>
                </a:solidFill>
                <a:effectLst/>
                <a:latin typeface="+mj-lt"/>
                <a:ea typeface="+mn-ea"/>
                <a:cs typeface="+mn-cs"/>
              </a:rPr>
              <a:t>ARAFAT MUNAWWAR</a:t>
            </a:r>
          </a:p>
          <a:p>
            <a:endParaRPr lang="en-IN" sz="900" b="1">
              <a:solidFill>
                <a:schemeClr val="dk1"/>
              </a:solidFill>
              <a:effectLst/>
              <a:latin typeface="+mj-lt"/>
              <a:ea typeface="+mn-ea"/>
              <a:cs typeface="+mn-cs"/>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104775</xdr:colOff>
      <xdr:row>18</xdr:row>
      <xdr:rowOff>228600</xdr:rowOff>
    </xdr:from>
    <xdr:to>
      <xdr:col>18</xdr:col>
      <xdr:colOff>314325</xdr:colOff>
      <xdr:row>26</xdr:row>
      <xdr:rowOff>171449</xdr:rowOff>
    </xdr:to>
    <xdr:graphicFrame macro="">
      <xdr:nvGraphicFramePr>
        <xdr:cNvPr id="2" name="Chart 1">
          <a:extLst>
            <a:ext uri="{FF2B5EF4-FFF2-40B4-BE49-F238E27FC236}">
              <a16:creationId xmlns:a16="http://schemas.microsoft.com/office/drawing/2014/main" id="{B71412CE-D1A8-7206-960D-B79C59B862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FII" refreshedDate="46259.756169560183" createdVersion="8" refreshedVersion="8" minRefreshableVersion="3" recordCount="1566" xr:uid="{10C69B46-2BD0-4E2F-BE72-33A56F5C3A70}">
  <cacheSource type="worksheet">
    <worksheetSource ref="A1:T1567" sheet="Data"/>
  </cacheSource>
  <cacheFields count="24">
    <cacheField name="S No" numFmtId="0">
      <sharedItems containsSemiMixedTypes="0" containsString="0" containsNumber="1" containsInteger="1" minValue="1" maxValue="1566"/>
    </cacheField>
    <cacheField name="Date" numFmtId="165">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22"/>
    </cacheField>
    <cacheField name="Salesman" numFmtId="0">
      <sharedItems count="6">
        <s v="Anuj Narang"/>
        <s v="Rohan Khanna"/>
        <s v="Sandeep Rai"/>
        <s v="Abhishek Raj"/>
        <s v="Rizwan Khan"/>
        <s v="Alok Pal"/>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1" maxValue="12"/>
    </cacheField>
    <cacheField name="Price" numFmtId="4">
      <sharedItems containsSemiMixedTypes="0" containsString="0" containsNumber="1" containsInteger="1" minValue="170" maxValue="2410"/>
    </cacheField>
    <cacheField name="Amount" numFmtId="166">
      <sharedItems containsSemiMixedTypes="0" containsString="0" containsNumber="1" containsInteger="1" minValue="170" maxValue="28560"/>
    </cacheField>
    <cacheField name="Discount %" numFmtId="10">
      <sharedItems containsSemiMixedTypes="0" containsString="0" containsNumber="1" minValue="0" maxValue="0.15"/>
    </cacheField>
    <cacheField name="Discount Amount" numFmtId="4">
      <sharedItems containsSemiMixedTypes="0" containsString="0" containsNumber="1" minValue="0" maxValue="4212"/>
    </cacheField>
    <cacheField name="Net Sales" numFmtId="4">
      <sharedItems containsSemiMixedTypes="0" containsString="0" containsNumber="1" minValue="161.5" maxValue="28440"/>
    </cacheField>
    <cacheField name="Unit Cost" numFmtId="4">
      <sharedItems containsSemiMixedTypes="0" containsString="0" containsNumber="1" containsInteger="1" minValue="100" maxValue="1930"/>
    </cacheField>
    <cacheField name="Profit" numFmtId="4">
      <sharedItems containsSemiMixedTypes="0" containsString="0" containsNumber="1" minValue="14" maxValue="11400"/>
    </cacheField>
    <cacheField name="Profit Margin %" numFmtId="10">
      <sharedItems containsSemiMixedTypes="0" containsString="0" containsNumber="1" minValue="9.2879256965944269E-3" maxValue="0.43478260869565216"/>
    </cacheField>
    <cacheField name="Payment Mode" numFmtId="0">
      <sharedItems count="5">
        <s v="Cash"/>
        <s v="UPI"/>
        <s v="Credit"/>
        <s v="Bank Transfer"/>
        <s v="Card"/>
      </sharedItems>
    </cacheField>
    <cacheField name="Order Status" numFmtId="0">
      <sharedItems count="4">
        <s v="Cancelled"/>
        <s v="Completed"/>
        <s v="Pending"/>
        <s v="Returned"/>
      </sharedItems>
    </cacheField>
    <cacheField name="Customer Type" numFmtId="0">
      <sharedItems count="4">
        <s v="Government"/>
        <s v="Corporate"/>
        <s v="SME"/>
        <s v="Retail"/>
      </sharedItems>
    </cacheField>
    <cacheField name="Customer City" numFmtId="0">
      <sharedItems count="10">
        <s v="Vidisha"/>
        <s v="Satna"/>
        <s v="Rewa"/>
        <s v="Bhopal"/>
        <s v="Indore"/>
        <s v="Chhatarpur"/>
        <s v="Jabalpur"/>
        <s v="Gwalior"/>
        <s v="Ujjain"/>
        <s v="Sagar"/>
      </sharedItems>
    </cacheField>
    <cacheField name="Customer ID" numFmtId="0">
      <sharedItems/>
    </cacheField>
    <cacheField name="Sales Channel" numFmtId="0">
      <sharedItems count="4">
        <s v="Direct Sales"/>
        <s v="Distributor"/>
        <s v="Online"/>
        <s v="Retail Store"/>
      </sharedItems>
    </cacheField>
    <cacheField name="Months (Date)"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 name="Quarters (Date)" numFmtId="0" databaseField="0">
      <fieldGroup base="1">
        <rangePr groupBy="quarters" startDate="2021-01-01T00:00:00" endDate="2022-01-02T00:00:00"/>
        <groupItems count="6">
          <s v="&lt;01-01-2021"/>
          <s v="Qtr1"/>
          <s v="Qtr2"/>
          <s v="Qtr3"/>
          <s v="Qtr4"/>
          <s v="&gt;02-01-2022"/>
        </groupItems>
      </fieldGroup>
    </cacheField>
    <cacheField name="Years (Date)" numFmtId="0" databaseField="0">
      <fieldGroup base="1">
        <rangePr groupBy="years" startDate="2021-01-01T00:00:00" endDate="2022-01-02T00:00:00"/>
        <groupItems count="4">
          <s v="&lt;01-01-2021"/>
          <s v="2021"/>
          <s v="2022"/>
          <s v="&gt;02-01-2022"/>
        </groupItems>
      </fieldGroup>
    </cacheField>
    <cacheField name="PROFIT MARGIN" numFmtId="0" formula="Profit/'Net Sales'" databaseField="0"/>
  </cacheFields>
  <extLst>
    <ext xmlns:x14="http://schemas.microsoft.com/office/spreadsheetml/2009/9/main" uri="{725AE2AE-9491-48be-B2B4-4EB974FC3084}">
      <x14:pivotCacheDefinition pivotCacheId="11450084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FII" refreshedDate="46259.756187847219" createdVersion="8" refreshedVersion="8" minRefreshableVersion="3" recordCount="12" xr:uid="{B19DCDB2-E32B-4AA4-B088-04CC92405631}">
  <cacheSource type="worksheet">
    <worksheetSource name="Table1"/>
  </cacheSource>
  <cacheFields count="2">
    <cacheField name="Month " numFmtId="0">
      <sharedItems count="12">
        <s v="Jan"/>
        <s v="Feb"/>
        <s v="Mar"/>
        <s v="Apr"/>
        <s v="May"/>
        <s v="Jun"/>
        <s v="Jul"/>
        <s v="Aug"/>
        <s v="Sep"/>
        <s v="Oct"/>
        <s v="Nov"/>
        <s v="Dec"/>
      </sharedItems>
    </cacheField>
    <cacheField name="Target" numFmtId="0">
      <sharedItems containsSemiMixedTypes="0" containsString="0" containsNumber="1" containsInteger="1" minValue="660000" maxValue="66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6">
  <r>
    <n v="1"/>
    <x v="0"/>
    <x v="0"/>
    <x v="0"/>
    <x v="0"/>
    <n v="7"/>
    <n v="210"/>
    <n v="1470"/>
    <n v="0.15"/>
    <n v="220.5"/>
    <n v="1249.5"/>
    <n v="150"/>
    <n v="199.5"/>
    <n v="0.15966386554621848"/>
    <x v="0"/>
    <x v="0"/>
    <x v="0"/>
    <x v="0"/>
    <s v="CUST1221"/>
    <x v="0"/>
  </r>
  <r>
    <n v="2"/>
    <x v="1"/>
    <x v="1"/>
    <x v="1"/>
    <x v="1"/>
    <n v="6"/>
    <n v="2100"/>
    <n v="12600"/>
    <n v="0.1"/>
    <n v="1260"/>
    <n v="11340"/>
    <n v="1510"/>
    <n v="2280"/>
    <n v="0.20105820105820105"/>
    <x v="1"/>
    <x v="1"/>
    <x v="1"/>
    <x v="1"/>
    <s v="CUST1297"/>
    <x v="1"/>
  </r>
  <r>
    <n v="3"/>
    <x v="2"/>
    <x v="2"/>
    <x v="0"/>
    <x v="2"/>
    <n v="5"/>
    <n v="1200"/>
    <n v="6000"/>
    <n v="0.15"/>
    <n v="900"/>
    <n v="5100"/>
    <n v="810"/>
    <n v="1050"/>
    <n v="0.20588235294117646"/>
    <x v="1"/>
    <x v="1"/>
    <x v="2"/>
    <x v="2"/>
    <s v="CUST1284"/>
    <x v="0"/>
  </r>
  <r>
    <n v="4"/>
    <x v="3"/>
    <x v="3"/>
    <x v="1"/>
    <x v="3"/>
    <n v="4"/>
    <n v="1500"/>
    <n v="6000"/>
    <n v="0.1"/>
    <n v="600"/>
    <n v="5400"/>
    <n v="1020"/>
    <n v="1320"/>
    <n v="0.24444444444444444"/>
    <x v="2"/>
    <x v="1"/>
    <x v="2"/>
    <x v="2"/>
    <s v="CUST1220"/>
    <x v="1"/>
  </r>
  <r>
    <n v="5"/>
    <x v="4"/>
    <x v="4"/>
    <x v="0"/>
    <x v="4"/>
    <n v="3"/>
    <n v="300"/>
    <n v="900"/>
    <n v="0.05"/>
    <n v="45"/>
    <n v="855"/>
    <n v="180"/>
    <n v="315"/>
    <n v="0.36842105263157893"/>
    <x v="1"/>
    <x v="1"/>
    <x v="2"/>
    <x v="0"/>
    <s v="CUST1025"/>
    <x v="1"/>
  </r>
  <r>
    <n v="6"/>
    <x v="5"/>
    <x v="5"/>
    <x v="0"/>
    <x v="5"/>
    <n v="2"/>
    <n v="190"/>
    <n v="380"/>
    <n v="0.05"/>
    <n v="19"/>
    <n v="361"/>
    <n v="130"/>
    <n v="101"/>
    <n v="0.27977839335180055"/>
    <x v="0"/>
    <x v="1"/>
    <x v="1"/>
    <x v="3"/>
    <s v="CUST1149"/>
    <x v="1"/>
  </r>
  <r>
    <n v="7"/>
    <x v="6"/>
    <x v="0"/>
    <x v="0"/>
    <x v="0"/>
    <n v="7"/>
    <n v="210"/>
    <n v="1470"/>
    <n v="0.02"/>
    <n v="29.400000000000002"/>
    <n v="1440.6"/>
    <n v="160"/>
    <n v="320.59999999999991"/>
    <n v="0.22254616132167149"/>
    <x v="1"/>
    <x v="1"/>
    <x v="3"/>
    <x v="4"/>
    <s v="CUST1025"/>
    <x v="0"/>
  </r>
  <r>
    <n v="8"/>
    <x v="7"/>
    <x v="1"/>
    <x v="1"/>
    <x v="1"/>
    <n v="6"/>
    <n v="2100"/>
    <n v="12600"/>
    <n v="0"/>
    <n v="0"/>
    <n v="12600"/>
    <n v="1470"/>
    <n v="3780"/>
    <n v="0.3"/>
    <x v="1"/>
    <x v="1"/>
    <x v="3"/>
    <x v="5"/>
    <s v="CUST1282"/>
    <x v="1"/>
  </r>
  <r>
    <n v="9"/>
    <x v="8"/>
    <x v="2"/>
    <x v="1"/>
    <x v="2"/>
    <n v="5"/>
    <n v="1200"/>
    <n v="6000"/>
    <n v="0.02"/>
    <n v="120"/>
    <n v="5880"/>
    <n v="950"/>
    <n v="1130"/>
    <n v="0.19217687074829931"/>
    <x v="2"/>
    <x v="1"/>
    <x v="0"/>
    <x v="3"/>
    <s v="CUST1192"/>
    <x v="2"/>
  </r>
  <r>
    <n v="10"/>
    <x v="9"/>
    <x v="3"/>
    <x v="0"/>
    <x v="3"/>
    <n v="4"/>
    <n v="1500"/>
    <n v="6000"/>
    <n v="0.1"/>
    <n v="600"/>
    <n v="5400"/>
    <n v="1040"/>
    <n v="1240"/>
    <n v="0.22962962962962963"/>
    <x v="3"/>
    <x v="1"/>
    <x v="0"/>
    <x v="3"/>
    <s v="CUST1003"/>
    <x v="1"/>
  </r>
  <r>
    <n v="11"/>
    <x v="10"/>
    <x v="4"/>
    <x v="0"/>
    <x v="4"/>
    <n v="3"/>
    <n v="300"/>
    <n v="900"/>
    <n v="0.05"/>
    <n v="45"/>
    <n v="855"/>
    <n v="230"/>
    <n v="165"/>
    <n v="0.19298245614035087"/>
    <x v="3"/>
    <x v="1"/>
    <x v="2"/>
    <x v="6"/>
    <s v="CUST1228"/>
    <x v="2"/>
  </r>
  <r>
    <n v="12"/>
    <x v="11"/>
    <x v="5"/>
    <x v="1"/>
    <x v="5"/>
    <n v="2"/>
    <n v="190"/>
    <n v="380"/>
    <n v="0"/>
    <n v="0"/>
    <n v="380"/>
    <n v="130"/>
    <n v="120"/>
    <n v="0.31578947368421051"/>
    <x v="1"/>
    <x v="1"/>
    <x v="0"/>
    <x v="3"/>
    <s v="CUST1069"/>
    <x v="2"/>
  </r>
  <r>
    <n v="13"/>
    <x v="12"/>
    <x v="5"/>
    <x v="0"/>
    <x v="0"/>
    <n v="2"/>
    <n v="210"/>
    <n v="420"/>
    <n v="0.05"/>
    <n v="21"/>
    <n v="399"/>
    <n v="130"/>
    <n v="139"/>
    <n v="0.34837092731829572"/>
    <x v="4"/>
    <x v="1"/>
    <x v="2"/>
    <x v="4"/>
    <s v="CUST1227"/>
    <x v="3"/>
  </r>
  <r>
    <n v="14"/>
    <x v="13"/>
    <x v="0"/>
    <x v="0"/>
    <x v="1"/>
    <n v="7"/>
    <n v="2100"/>
    <n v="14700"/>
    <n v="0.1"/>
    <n v="1470"/>
    <n v="13230"/>
    <n v="1440"/>
    <n v="3150"/>
    <n v="0.23809523809523808"/>
    <x v="3"/>
    <x v="1"/>
    <x v="1"/>
    <x v="3"/>
    <s v="CUST1221"/>
    <x v="2"/>
  </r>
  <r>
    <n v="15"/>
    <x v="14"/>
    <x v="1"/>
    <x v="0"/>
    <x v="2"/>
    <n v="6"/>
    <n v="1200"/>
    <n v="7200"/>
    <n v="0.1"/>
    <n v="720"/>
    <n v="6480"/>
    <n v="880"/>
    <n v="1200"/>
    <n v="0.18518518518518517"/>
    <x v="2"/>
    <x v="2"/>
    <x v="2"/>
    <x v="7"/>
    <s v="CUST1014"/>
    <x v="2"/>
  </r>
  <r>
    <n v="16"/>
    <x v="15"/>
    <x v="2"/>
    <x v="0"/>
    <x v="3"/>
    <n v="5"/>
    <n v="1500"/>
    <n v="7500"/>
    <n v="0.05"/>
    <n v="375"/>
    <n v="7125"/>
    <n v="1140"/>
    <n v="1425"/>
    <n v="0.2"/>
    <x v="3"/>
    <x v="1"/>
    <x v="2"/>
    <x v="5"/>
    <s v="CUST1058"/>
    <x v="1"/>
  </r>
  <r>
    <n v="17"/>
    <x v="16"/>
    <x v="3"/>
    <x v="0"/>
    <x v="4"/>
    <n v="4"/>
    <n v="300"/>
    <n v="1200"/>
    <n v="0"/>
    <n v="0"/>
    <n v="1200"/>
    <n v="190"/>
    <n v="440"/>
    <n v="0.36666666666666664"/>
    <x v="1"/>
    <x v="1"/>
    <x v="2"/>
    <x v="8"/>
    <s v="CUST1148"/>
    <x v="3"/>
  </r>
  <r>
    <n v="18"/>
    <x v="17"/>
    <x v="4"/>
    <x v="0"/>
    <x v="5"/>
    <n v="3"/>
    <n v="190"/>
    <n v="570"/>
    <n v="0.05"/>
    <n v="28.5"/>
    <n v="541.5"/>
    <n v="140"/>
    <n v="121.5"/>
    <n v="0.22437673130193905"/>
    <x v="1"/>
    <x v="1"/>
    <x v="1"/>
    <x v="4"/>
    <s v="CUST1294"/>
    <x v="3"/>
  </r>
  <r>
    <n v="19"/>
    <x v="18"/>
    <x v="5"/>
    <x v="0"/>
    <x v="0"/>
    <n v="2"/>
    <n v="210"/>
    <n v="420"/>
    <n v="0.15"/>
    <n v="63"/>
    <n v="357"/>
    <n v="130"/>
    <n v="97"/>
    <n v="0.27170868347338933"/>
    <x v="4"/>
    <x v="0"/>
    <x v="1"/>
    <x v="7"/>
    <s v="CUST1156"/>
    <x v="1"/>
  </r>
  <r>
    <n v="20"/>
    <x v="19"/>
    <x v="0"/>
    <x v="0"/>
    <x v="2"/>
    <n v="7"/>
    <n v="2100"/>
    <n v="14700"/>
    <n v="0.15"/>
    <n v="2205"/>
    <n v="12495"/>
    <n v="1560"/>
    <n v="1575"/>
    <n v="0.12605042016806722"/>
    <x v="3"/>
    <x v="1"/>
    <x v="1"/>
    <x v="6"/>
    <s v="CUST1068"/>
    <x v="0"/>
  </r>
  <r>
    <n v="21"/>
    <x v="20"/>
    <x v="1"/>
    <x v="1"/>
    <x v="3"/>
    <n v="6"/>
    <n v="1200"/>
    <n v="7200"/>
    <n v="0.05"/>
    <n v="360"/>
    <n v="6840"/>
    <n v="740"/>
    <n v="2400"/>
    <n v="0.35087719298245612"/>
    <x v="1"/>
    <x v="1"/>
    <x v="1"/>
    <x v="6"/>
    <s v="CUST1049"/>
    <x v="1"/>
  </r>
  <r>
    <n v="22"/>
    <x v="21"/>
    <x v="2"/>
    <x v="0"/>
    <x v="4"/>
    <n v="5"/>
    <n v="300"/>
    <n v="1500"/>
    <n v="0"/>
    <n v="0"/>
    <n v="1500"/>
    <n v="230"/>
    <n v="350"/>
    <n v="0.23333333333333334"/>
    <x v="3"/>
    <x v="1"/>
    <x v="1"/>
    <x v="4"/>
    <s v="CUST1052"/>
    <x v="1"/>
  </r>
  <r>
    <n v="23"/>
    <x v="22"/>
    <x v="3"/>
    <x v="1"/>
    <x v="5"/>
    <n v="4"/>
    <n v="200"/>
    <n v="800"/>
    <n v="0"/>
    <n v="0"/>
    <n v="800"/>
    <n v="130"/>
    <n v="280"/>
    <n v="0.35"/>
    <x v="0"/>
    <x v="1"/>
    <x v="0"/>
    <x v="3"/>
    <s v="CUST1186"/>
    <x v="0"/>
  </r>
  <r>
    <n v="24"/>
    <x v="23"/>
    <x v="4"/>
    <x v="0"/>
    <x v="0"/>
    <n v="3"/>
    <n v="190"/>
    <n v="570"/>
    <n v="0"/>
    <n v="0"/>
    <n v="570"/>
    <n v="150"/>
    <n v="120"/>
    <n v="0.21052631578947367"/>
    <x v="3"/>
    <x v="1"/>
    <x v="1"/>
    <x v="7"/>
    <s v="CUST1232"/>
    <x v="1"/>
  </r>
  <r>
    <n v="25"/>
    <x v="24"/>
    <x v="5"/>
    <x v="0"/>
    <x v="1"/>
    <n v="2"/>
    <n v="2100"/>
    <n v="4200"/>
    <n v="0.02"/>
    <n v="84"/>
    <n v="4116"/>
    <n v="1430"/>
    <n v="1256"/>
    <n v="0.3051506316812439"/>
    <x v="3"/>
    <x v="1"/>
    <x v="2"/>
    <x v="1"/>
    <s v="CUST1264"/>
    <x v="1"/>
  </r>
  <r>
    <n v="26"/>
    <x v="25"/>
    <x v="5"/>
    <x v="0"/>
    <x v="0"/>
    <n v="7"/>
    <n v="210"/>
    <n v="1470"/>
    <n v="0.05"/>
    <n v="73.5"/>
    <n v="1396.5"/>
    <n v="140"/>
    <n v="416.5"/>
    <n v="0.2982456140350877"/>
    <x v="3"/>
    <x v="3"/>
    <x v="0"/>
    <x v="1"/>
    <s v="CUST1238"/>
    <x v="2"/>
  </r>
  <r>
    <n v="27"/>
    <x v="26"/>
    <x v="0"/>
    <x v="0"/>
    <x v="1"/>
    <n v="6"/>
    <n v="2100"/>
    <n v="12600"/>
    <n v="0.1"/>
    <n v="1260"/>
    <n v="11340"/>
    <n v="1630"/>
    <n v="1560"/>
    <n v="0.13756613756613756"/>
    <x v="0"/>
    <x v="1"/>
    <x v="3"/>
    <x v="4"/>
    <s v="CUST1214"/>
    <x v="0"/>
  </r>
  <r>
    <n v="28"/>
    <x v="27"/>
    <x v="0"/>
    <x v="1"/>
    <x v="0"/>
    <n v="7"/>
    <n v="210"/>
    <n v="1470"/>
    <n v="0"/>
    <n v="0"/>
    <n v="1470"/>
    <n v="170"/>
    <n v="280"/>
    <n v="0.19047619047619047"/>
    <x v="3"/>
    <x v="1"/>
    <x v="1"/>
    <x v="2"/>
    <s v="CUST1298"/>
    <x v="2"/>
  </r>
  <r>
    <n v="29"/>
    <x v="28"/>
    <x v="0"/>
    <x v="2"/>
    <x v="0"/>
    <n v="7"/>
    <n v="210"/>
    <n v="1470"/>
    <n v="0.05"/>
    <n v="73.5"/>
    <n v="1396.5"/>
    <n v="160"/>
    <n v="276.5"/>
    <n v="0.19799498746867167"/>
    <x v="3"/>
    <x v="1"/>
    <x v="1"/>
    <x v="0"/>
    <s v="CUST1053"/>
    <x v="3"/>
  </r>
  <r>
    <n v="30"/>
    <x v="29"/>
    <x v="0"/>
    <x v="3"/>
    <x v="0"/>
    <n v="7"/>
    <n v="210"/>
    <n v="1470"/>
    <n v="0"/>
    <n v="0"/>
    <n v="1470"/>
    <n v="160"/>
    <n v="350"/>
    <n v="0.23809523809523808"/>
    <x v="4"/>
    <x v="1"/>
    <x v="3"/>
    <x v="3"/>
    <s v="CUST1083"/>
    <x v="1"/>
  </r>
  <r>
    <n v="31"/>
    <x v="30"/>
    <x v="0"/>
    <x v="0"/>
    <x v="0"/>
    <n v="7"/>
    <n v="210"/>
    <n v="1470"/>
    <n v="0.1"/>
    <n v="147"/>
    <n v="1323"/>
    <n v="120"/>
    <n v="483"/>
    <n v="0.36507936507936506"/>
    <x v="0"/>
    <x v="1"/>
    <x v="3"/>
    <x v="8"/>
    <s v="CUST1142"/>
    <x v="1"/>
  </r>
  <r>
    <n v="32"/>
    <x v="31"/>
    <x v="0"/>
    <x v="1"/>
    <x v="0"/>
    <n v="7"/>
    <n v="210"/>
    <n v="1470"/>
    <n v="0.05"/>
    <n v="73.5"/>
    <n v="1396.5"/>
    <n v="130"/>
    <n v="486.5"/>
    <n v="0.34837092731829572"/>
    <x v="4"/>
    <x v="1"/>
    <x v="2"/>
    <x v="5"/>
    <s v="CUST1238"/>
    <x v="2"/>
  </r>
  <r>
    <n v="33"/>
    <x v="32"/>
    <x v="0"/>
    <x v="2"/>
    <x v="0"/>
    <n v="7"/>
    <n v="210"/>
    <n v="1470"/>
    <n v="0"/>
    <n v="0"/>
    <n v="1470"/>
    <n v="120"/>
    <n v="630"/>
    <n v="0.42857142857142855"/>
    <x v="2"/>
    <x v="1"/>
    <x v="0"/>
    <x v="7"/>
    <s v="CUST1131"/>
    <x v="2"/>
  </r>
  <r>
    <n v="34"/>
    <x v="33"/>
    <x v="0"/>
    <x v="3"/>
    <x v="0"/>
    <n v="7"/>
    <n v="210"/>
    <n v="1470"/>
    <n v="0"/>
    <n v="0"/>
    <n v="1470"/>
    <n v="150"/>
    <n v="420"/>
    <n v="0.2857142857142857"/>
    <x v="0"/>
    <x v="1"/>
    <x v="0"/>
    <x v="4"/>
    <s v="CUST1031"/>
    <x v="0"/>
  </r>
  <r>
    <n v="35"/>
    <x v="34"/>
    <x v="1"/>
    <x v="1"/>
    <x v="0"/>
    <n v="7"/>
    <n v="210"/>
    <n v="1470"/>
    <n v="0"/>
    <n v="0"/>
    <n v="1470"/>
    <n v="160"/>
    <n v="350"/>
    <n v="0.23809523809523808"/>
    <x v="4"/>
    <x v="1"/>
    <x v="3"/>
    <x v="2"/>
    <s v="CUST1078"/>
    <x v="1"/>
  </r>
  <r>
    <n v="36"/>
    <x v="35"/>
    <x v="1"/>
    <x v="0"/>
    <x v="0"/>
    <n v="7"/>
    <n v="210"/>
    <n v="1470"/>
    <n v="0.02"/>
    <n v="29.400000000000002"/>
    <n v="1440.6"/>
    <n v="140"/>
    <n v="460.59999999999991"/>
    <n v="0.31972789115646255"/>
    <x v="3"/>
    <x v="1"/>
    <x v="0"/>
    <x v="9"/>
    <s v="CUST1203"/>
    <x v="2"/>
  </r>
  <r>
    <n v="37"/>
    <x v="36"/>
    <x v="1"/>
    <x v="2"/>
    <x v="5"/>
    <n v="2"/>
    <n v="190"/>
    <n v="380"/>
    <n v="0"/>
    <n v="0"/>
    <n v="380"/>
    <n v="140"/>
    <n v="100"/>
    <n v="0.26315789473684209"/>
    <x v="1"/>
    <x v="1"/>
    <x v="0"/>
    <x v="4"/>
    <s v="CUST1093"/>
    <x v="0"/>
  </r>
  <r>
    <n v="38"/>
    <x v="37"/>
    <x v="1"/>
    <x v="3"/>
    <x v="0"/>
    <n v="2"/>
    <n v="210"/>
    <n v="420"/>
    <n v="0.05"/>
    <n v="21"/>
    <n v="399"/>
    <n v="160"/>
    <n v="79"/>
    <n v="0.19799498746867167"/>
    <x v="1"/>
    <x v="1"/>
    <x v="0"/>
    <x v="3"/>
    <s v="CUST1070"/>
    <x v="3"/>
  </r>
  <r>
    <n v="39"/>
    <x v="38"/>
    <x v="1"/>
    <x v="1"/>
    <x v="1"/>
    <n v="7"/>
    <n v="2100"/>
    <n v="14700"/>
    <n v="0"/>
    <n v="0"/>
    <n v="14700"/>
    <n v="1420"/>
    <n v="4760"/>
    <n v="0.32380952380952382"/>
    <x v="3"/>
    <x v="1"/>
    <x v="2"/>
    <x v="9"/>
    <s v="CUST1002"/>
    <x v="3"/>
  </r>
  <r>
    <n v="40"/>
    <x v="39"/>
    <x v="1"/>
    <x v="0"/>
    <x v="2"/>
    <n v="6"/>
    <n v="1200"/>
    <n v="7200"/>
    <n v="0.02"/>
    <n v="144"/>
    <n v="7056"/>
    <n v="770"/>
    <n v="2436"/>
    <n v="0.34523809523809523"/>
    <x v="1"/>
    <x v="1"/>
    <x v="1"/>
    <x v="2"/>
    <s v="CUST1259"/>
    <x v="1"/>
  </r>
  <r>
    <n v="41"/>
    <x v="40"/>
    <x v="1"/>
    <x v="2"/>
    <x v="1"/>
    <n v="7"/>
    <n v="2100"/>
    <n v="14700"/>
    <n v="0"/>
    <n v="0"/>
    <n v="14700"/>
    <n v="1590"/>
    <n v="3570"/>
    <n v="0.24285714285714285"/>
    <x v="2"/>
    <x v="1"/>
    <x v="1"/>
    <x v="7"/>
    <s v="CUST1052"/>
    <x v="3"/>
  </r>
  <r>
    <n v="42"/>
    <x v="41"/>
    <x v="1"/>
    <x v="3"/>
    <x v="1"/>
    <n v="7"/>
    <n v="2100"/>
    <n v="14700"/>
    <n v="0.05"/>
    <n v="735"/>
    <n v="13965"/>
    <n v="1230"/>
    <n v="5355"/>
    <n v="0.38345864661654133"/>
    <x v="1"/>
    <x v="1"/>
    <x v="3"/>
    <x v="9"/>
    <s v="CUST1250"/>
    <x v="1"/>
  </r>
  <r>
    <n v="43"/>
    <x v="42"/>
    <x v="2"/>
    <x v="3"/>
    <x v="1"/>
    <n v="7"/>
    <n v="2100"/>
    <n v="14700"/>
    <n v="0.05"/>
    <n v="735"/>
    <n v="13965"/>
    <n v="1650"/>
    <n v="2415"/>
    <n v="0.17293233082706766"/>
    <x v="3"/>
    <x v="1"/>
    <x v="3"/>
    <x v="6"/>
    <s v="CUST1116"/>
    <x v="0"/>
  </r>
  <r>
    <n v="44"/>
    <x v="43"/>
    <x v="3"/>
    <x v="3"/>
    <x v="1"/>
    <n v="7"/>
    <n v="2100"/>
    <n v="14700"/>
    <n v="0.1"/>
    <n v="1470"/>
    <n v="13230"/>
    <n v="1390"/>
    <n v="3500"/>
    <n v="0.26455026455026454"/>
    <x v="2"/>
    <x v="1"/>
    <x v="2"/>
    <x v="5"/>
    <s v="CUST1261"/>
    <x v="0"/>
  </r>
  <r>
    <n v="45"/>
    <x v="44"/>
    <x v="4"/>
    <x v="3"/>
    <x v="1"/>
    <n v="7"/>
    <n v="2100"/>
    <n v="14700"/>
    <n v="0.15"/>
    <n v="2205"/>
    <n v="12495"/>
    <n v="1320"/>
    <n v="3255"/>
    <n v="0.26050420168067229"/>
    <x v="1"/>
    <x v="1"/>
    <x v="3"/>
    <x v="5"/>
    <s v="CUST1285"/>
    <x v="2"/>
  </r>
  <r>
    <n v="46"/>
    <x v="45"/>
    <x v="5"/>
    <x v="3"/>
    <x v="1"/>
    <n v="7"/>
    <n v="2100"/>
    <n v="14700"/>
    <n v="0"/>
    <n v="0"/>
    <n v="14700"/>
    <n v="1370"/>
    <n v="5110"/>
    <n v="0.34761904761904761"/>
    <x v="3"/>
    <x v="1"/>
    <x v="0"/>
    <x v="2"/>
    <s v="CUST1093"/>
    <x v="3"/>
  </r>
  <r>
    <n v="47"/>
    <x v="46"/>
    <x v="5"/>
    <x v="0"/>
    <x v="1"/>
    <n v="7"/>
    <n v="2100"/>
    <n v="14700"/>
    <n v="0"/>
    <n v="0"/>
    <n v="14700"/>
    <n v="1310"/>
    <n v="5530"/>
    <n v="0.37619047619047619"/>
    <x v="3"/>
    <x v="1"/>
    <x v="3"/>
    <x v="3"/>
    <s v="CUST1185"/>
    <x v="3"/>
  </r>
  <r>
    <n v="48"/>
    <x v="47"/>
    <x v="5"/>
    <x v="1"/>
    <x v="1"/>
    <n v="7"/>
    <n v="2100"/>
    <n v="14700"/>
    <n v="0.02"/>
    <n v="294"/>
    <n v="14406"/>
    <n v="1260"/>
    <n v="5586"/>
    <n v="0.38775510204081631"/>
    <x v="2"/>
    <x v="1"/>
    <x v="1"/>
    <x v="3"/>
    <s v="CUST1138"/>
    <x v="1"/>
  </r>
  <r>
    <n v="49"/>
    <x v="48"/>
    <x v="5"/>
    <x v="2"/>
    <x v="1"/>
    <n v="7"/>
    <n v="2100"/>
    <n v="14700"/>
    <n v="0"/>
    <n v="0"/>
    <n v="14700"/>
    <n v="1280"/>
    <n v="5740"/>
    <n v="0.39047619047619048"/>
    <x v="1"/>
    <x v="1"/>
    <x v="2"/>
    <x v="4"/>
    <s v="CUST1119"/>
    <x v="2"/>
  </r>
  <r>
    <n v="50"/>
    <x v="49"/>
    <x v="5"/>
    <x v="3"/>
    <x v="1"/>
    <n v="7"/>
    <n v="2100"/>
    <n v="14700"/>
    <n v="0.05"/>
    <n v="735"/>
    <n v="13965"/>
    <n v="1680"/>
    <n v="2205"/>
    <n v="0.15789473684210525"/>
    <x v="2"/>
    <x v="1"/>
    <x v="0"/>
    <x v="4"/>
    <s v="CUST1236"/>
    <x v="2"/>
  </r>
  <r>
    <n v="51"/>
    <x v="50"/>
    <x v="5"/>
    <x v="0"/>
    <x v="0"/>
    <n v="7"/>
    <n v="210"/>
    <n v="1470"/>
    <n v="0.02"/>
    <n v="29.400000000000002"/>
    <n v="1440.6"/>
    <n v="120"/>
    <n v="600.59999999999991"/>
    <n v="0.41690962099125362"/>
    <x v="1"/>
    <x v="1"/>
    <x v="3"/>
    <x v="5"/>
    <s v="CUST1151"/>
    <x v="1"/>
  </r>
  <r>
    <n v="52"/>
    <x v="51"/>
    <x v="5"/>
    <x v="1"/>
    <x v="1"/>
    <n v="6"/>
    <n v="2100"/>
    <n v="12600"/>
    <n v="0.15"/>
    <n v="1890"/>
    <n v="10710"/>
    <n v="1300"/>
    <n v="2910"/>
    <n v="0.27170868347338933"/>
    <x v="3"/>
    <x v="1"/>
    <x v="2"/>
    <x v="0"/>
    <s v="CUST1192"/>
    <x v="2"/>
  </r>
  <r>
    <n v="53"/>
    <x v="52"/>
    <x v="5"/>
    <x v="2"/>
    <x v="2"/>
    <n v="5"/>
    <n v="1200"/>
    <n v="6000"/>
    <n v="0.15"/>
    <n v="900"/>
    <n v="5100"/>
    <n v="840"/>
    <n v="900"/>
    <n v="0.17647058823529413"/>
    <x v="3"/>
    <x v="1"/>
    <x v="0"/>
    <x v="0"/>
    <s v="CUST1142"/>
    <x v="1"/>
  </r>
  <r>
    <n v="54"/>
    <x v="53"/>
    <x v="5"/>
    <x v="3"/>
    <x v="3"/>
    <n v="4"/>
    <n v="1500"/>
    <n v="6000"/>
    <n v="0.02"/>
    <n v="120"/>
    <n v="5880"/>
    <n v="1070"/>
    <n v="1600"/>
    <n v="0.27210884353741499"/>
    <x v="2"/>
    <x v="1"/>
    <x v="1"/>
    <x v="8"/>
    <s v="CUST1298"/>
    <x v="0"/>
  </r>
  <r>
    <n v="55"/>
    <x v="54"/>
    <x v="0"/>
    <x v="0"/>
    <x v="4"/>
    <n v="3"/>
    <n v="300"/>
    <n v="900"/>
    <n v="0.15"/>
    <n v="135"/>
    <n v="765"/>
    <n v="240"/>
    <n v="45"/>
    <n v="5.8823529411764705E-2"/>
    <x v="1"/>
    <x v="1"/>
    <x v="3"/>
    <x v="2"/>
    <s v="CUST1281"/>
    <x v="3"/>
  </r>
  <r>
    <n v="56"/>
    <x v="55"/>
    <x v="1"/>
    <x v="1"/>
    <x v="5"/>
    <n v="2"/>
    <n v="190"/>
    <n v="380"/>
    <n v="0.05"/>
    <n v="19"/>
    <n v="361"/>
    <n v="140"/>
    <n v="81"/>
    <n v="0.22437673130193905"/>
    <x v="4"/>
    <x v="1"/>
    <x v="2"/>
    <x v="8"/>
    <s v="CUST1138"/>
    <x v="1"/>
  </r>
  <r>
    <n v="57"/>
    <x v="56"/>
    <x v="2"/>
    <x v="0"/>
    <x v="0"/>
    <n v="7"/>
    <n v="210"/>
    <n v="1470"/>
    <n v="0.15"/>
    <n v="220.5"/>
    <n v="1249.5"/>
    <n v="150"/>
    <n v="199.5"/>
    <n v="0.15966386554621848"/>
    <x v="2"/>
    <x v="1"/>
    <x v="1"/>
    <x v="5"/>
    <s v="CUST1185"/>
    <x v="0"/>
  </r>
  <r>
    <n v="58"/>
    <x v="57"/>
    <x v="3"/>
    <x v="1"/>
    <x v="1"/>
    <n v="6"/>
    <n v="2100"/>
    <n v="12600"/>
    <n v="0"/>
    <n v="0"/>
    <n v="12600"/>
    <n v="1660"/>
    <n v="2640"/>
    <n v="0.20952380952380953"/>
    <x v="1"/>
    <x v="0"/>
    <x v="1"/>
    <x v="2"/>
    <s v="CUST1296"/>
    <x v="3"/>
  </r>
  <r>
    <n v="59"/>
    <x v="58"/>
    <x v="4"/>
    <x v="0"/>
    <x v="2"/>
    <n v="5"/>
    <n v="1200"/>
    <n v="6000"/>
    <n v="0"/>
    <n v="0"/>
    <n v="6000"/>
    <n v="890"/>
    <n v="1550"/>
    <n v="0.25833333333333336"/>
    <x v="1"/>
    <x v="2"/>
    <x v="3"/>
    <x v="6"/>
    <s v="CUST1021"/>
    <x v="0"/>
  </r>
  <r>
    <n v="60"/>
    <x v="59"/>
    <x v="5"/>
    <x v="0"/>
    <x v="3"/>
    <n v="4"/>
    <n v="1500"/>
    <n v="6000"/>
    <n v="0"/>
    <n v="0"/>
    <n v="6000"/>
    <n v="1040"/>
    <n v="1840"/>
    <n v="0.30666666666666664"/>
    <x v="3"/>
    <x v="2"/>
    <x v="1"/>
    <x v="7"/>
    <s v="CUST1142"/>
    <x v="1"/>
  </r>
  <r>
    <n v="61"/>
    <x v="60"/>
    <x v="0"/>
    <x v="0"/>
    <x v="4"/>
    <n v="3"/>
    <n v="300"/>
    <n v="900"/>
    <n v="0.05"/>
    <n v="45"/>
    <n v="855"/>
    <n v="230"/>
    <n v="165"/>
    <n v="0.19298245614035087"/>
    <x v="3"/>
    <x v="1"/>
    <x v="1"/>
    <x v="5"/>
    <s v="CUST1064"/>
    <x v="3"/>
  </r>
  <r>
    <n v="62"/>
    <x v="61"/>
    <x v="1"/>
    <x v="1"/>
    <x v="5"/>
    <n v="2"/>
    <n v="190"/>
    <n v="380"/>
    <n v="0"/>
    <n v="0"/>
    <n v="380"/>
    <n v="150"/>
    <n v="80"/>
    <n v="0.21052631578947367"/>
    <x v="0"/>
    <x v="1"/>
    <x v="2"/>
    <x v="4"/>
    <s v="CUST1023"/>
    <x v="1"/>
  </r>
  <r>
    <n v="63"/>
    <x v="62"/>
    <x v="2"/>
    <x v="1"/>
    <x v="0"/>
    <n v="2"/>
    <n v="210"/>
    <n v="420"/>
    <n v="0.15"/>
    <n v="63"/>
    <n v="357"/>
    <n v="140"/>
    <n v="77"/>
    <n v="0.21568627450980393"/>
    <x v="2"/>
    <x v="1"/>
    <x v="2"/>
    <x v="6"/>
    <s v="CUST1229"/>
    <x v="0"/>
  </r>
  <r>
    <n v="64"/>
    <x v="63"/>
    <x v="3"/>
    <x v="0"/>
    <x v="1"/>
    <n v="7"/>
    <n v="2100"/>
    <n v="14700"/>
    <n v="0.05"/>
    <n v="735"/>
    <n v="13965"/>
    <n v="1690"/>
    <n v="2135"/>
    <n v="0.15288220551378445"/>
    <x v="0"/>
    <x v="1"/>
    <x v="1"/>
    <x v="8"/>
    <s v="CUST1024"/>
    <x v="1"/>
  </r>
  <r>
    <n v="65"/>
    <x v="64"/>
    <x v="4"/>
    <x v="0"/>
    <x v="2"/>
    <n v="6"/>
    <n v="1200"/>
    <n v="7200"/>
    <n v="0"/>
    <n v="0"/>
    <n v="7200"/>
    <n v="930"/>
    <n v="1620"/>
    <n v="0.22500000000000001"/>
    <x v="2"/>
    <x v="3"/>
    <x v="2"/>
    <x v="8"/>
    <s v="CUST1146"/>
    <x v="3"/>
  </r>
  <r>
    <n v="66"/>
    <x v="65"/>
    <x v="5"/>
    <x v="1"/>
    <x v="3"/>
    <n v="5"/>
    <n v="1500"/>
    <n v="7500"/>
    <n v="0"/>
    <n v="0"/>
    <n v="7500"/>
    <n v="1070"/>
    <n v="2150"/>
    <n v="0.28666666666666668"/>
    <x v="1"/>
    <x v="1"/>
    <x v="2"/>
    <x v="7"/>
    <s v="CUST1055"/>
    <x v="2"/>
  </r>
  <r>
    <n v="67"/>
    <x v="66"/>
    <x v="5"/>
    <x v="0"/>
    <x v="4"/>
    <n v="4"/>
    <n v="300"/>
    <n v="1200"/>
    <n v="0.02"/>
    <n v="24"/>
    <n v="1176"/>
    <n v="200"/>
    <n v="376"/>
    <n v="0.31972789115646261"/>
    <x v="0"/>
    <x v="1"/>
    <x v="0"/>
    <x v="5"/>
    <s v="CUST1212"/>
    <x v="0"/>
  </r>
  <r>
    <n v="68"/>
    <x v="67"/>
    <x v="0"/>
    <x v="0"/>
    <x v="5"/>
    <n v="3"/>
    <n v="190"/>
    <n v="570"/>
    <n v="0"/>
    <n v="0"/>
    <n v="570"/>
    <n v="120"/>
    <n v="210"/>
    <n v="0.36842105263157893"/>
    <x v="2"/>
    <x v="1"/>
    <x v="3"/>
    <x v="7"/>
    <s v="CUST1059"/>
    <x v="3"/>
  </r>
  <r>
    <n v="69"/>
    <x v="68"/>
    <x v="1"/>
    <x v="0"/>
    <x v="0"/>
    <n v="2"/>
    <n v="210"/>
    <n v="420"/>
    <n v="0.05"/>
    <n v="21"/>
    <n v="399"/>
    <n v="170"/>
    <n v="59"/>
    <n v="0.14786967418546365"/>
    <x v="4"/>
    <x v="1"/>
    <x v="0"/>
    <x v="5"/>
    <s v="CUST1142"/>
    <x v="1"/>
  </r>
  <r>
    <n v="70"/>
    <x v="69"/>
    <x v="2"/>
    <x v="0"/>
    <x v="5"/>
    <n v="3"/>
    <n v="190"/>
    <n v="570"/>
    <n v="0.1"/>
    <n v="57"/>
    <n v="513"/>
    <n v="120"/>
    <n v="153"/>
    <n v="0.2982456140350877"/>
    <x v="4"/>
    <x v="1"/>
    <x v="1"/>
    <x v="9"/>
    <s v="CUST1114"/>
    <x v="0"/>
  </r>
  <r>
    <n v="71"/>
    <x v="70"/>
    <x v="3"/>
    <x v="0"/>
    <x v="0"/>
    <n v="2"/>
    <n v="210"/>
    <n v="420"/>
    <n v="0.05"/>
    <n v="21"/>
    <n v="399"/>
    <n v="150"/>
    <n v="99"/>
    <n v="0.24812030075187969"/>
    <x v="4"/>
    <x v="1"/>
    <x v="3"/>
    <x v="8"/>
    <s v="CUST1041"/>
    <x v="0"/>
  </r>
  <r>
    <n v="72"/>
    <x v="71"/>
    <x v="4"/>
    <x v="0"/>
    <x v="5"/>
    <n v="3"/>
    <n v="190"/>
    <n v="570"/>
    <n v="0"/>
    <n v="0"/>
    <n v="570"/>
    <n v="130"/>
    <n v="180"/>
    <n v="0.31578947368421051"/>
    <x v="3"/>
    <x v="1"/>
    <x v="0"/>
    <x v="6"/>
    <s v="CUST1160"/>
    <x v="3"/>
  </r>
  <r>
    <n v="73"/>
    <x v="72"/>
    <x v="5"/>
    <x v="0"/>
    <x v="0"/>
    <n v="2"/>
    <n v="210"/>
    <n v="420"/>
    <n v="0.15"/>
    <n v="63"/>
    <n v="357"/>
    <n v="130"/>
    <n v="97"/>
    <n v="0.27170868347338933"/>
    <x v="4"/>
    <x v="1"/>
    <x v="2"/>
    <x v="3"/>
    <s v="CUST1216"/>
    <x v="1"/>
  </r>
  <r>
    <n v="74"/>
    <x v="73"/>
    <x v="0"/>
    <x v="0"/>
    <x v="5"/>
    <n v="3"/>
    <n v="190"/>
    <n v="570"/>
    <n v="0.15"/>
    <n v="85.5"/>
    <n v="484.5"/>
    <n v="130"/>
    <n v="94.5"/>
    <n v="0.19504643962848298"/>
    <x v="1"/>
    <x v="1"/>
    <x v="3"/>
    <x v="8"/>
    <s v="CUST1160"/>
    <x v="1"/>
  </r>
  <r>
    <n v="75"/>
    <x v="74"/>
    <x v="1"/>
    <x v="1"/>
    <x v="0"/>
    <n v="2"/>
    <n v="210"/>
    <n v="420"/>
    <n v="0"/>
    <n v="0"/>
    <n v="420"/>
    <n v="130"/>
    <n v="160"/>
    <n v="0.38095238095238093"/>
    <x v="0"/>
    <x v="1"/>
    <x v="1"/>
    <x v="0"/>
    <s v="CUST1063"/>
    <x v="3"/>
  </r>
  <r>
    <n v="76"/>
    <x v="75"/>
    <x v="2"/>
    <x v="0"/>
    <x v="5"/>
    <n v="3"/>
    <n v="190"/>
    <n v="570"/>
    <n v="0.15"/>
    <n v="85.5"/>
    <n v="484.5"/>
    <n v="130"/>
    <n v="94.5"/>
    <n v="0.19504643962848298"/>
    <x v="4"/>
    <x v="1"/>
    <x v="2"/>
    <x v="2"/>
    <s v="CUST1229"/>
    <x v="2"/>
  </r>
  <r>
    <n v="77"/>
    <x v="76"/>
    <x v="3"/>
    <x v="1"/>
    <x v="0"/>
    <n v="2"/>
    <n v="210"/>
    <n v="420"/>
    <n v="0.15"/>
    <n v="63"/>
    <n v="357"/>
    <n v="150"/>
    <n v="57"/>
    <n v="0.15966386554621848"/>
    <x v="2"/>
    <x v="1"/>
    <x v="1"/>
    <x v="4"/>
    <s v="CUST1174"/>
    <x v="1"/>
  </r>
  <r>
    <n v="78"/>
    <x v="77"/>
    <x v="4"/>
    <x v="0"/>
    <x v="2"/>
    <n v="5"/>
    <n v="1200"/>
    <n v="6000"/>
    <n v="0.02"/>
    <n v="120"/>
    <n v="5880"/>
    <n v="810"/>
    <n v="1830"/>
    <n v="0.31122448979591838"/>
    <x v="3"/>
    <x v="1"/>
    <x v="0"/>
    <x v="4"/>
    <s v="CUST1055"/>
    <x v="0"/>
  </r>
  <r>
    <n v="79"/>
    <x v="78"/>
    <x v="5"/>
    <x v="0"/>
    <x v="3"/>
    <n v="4"/>
    <n v="1500"/>
    <n v="6000"/>
    <n v="0.05"/>
    <n v="300"/>
    <n v="5700"/>
    <n v="890"/>
    <n v="2140"/>
    <n v="0.37543859649122807"/>
    <x v="1"/>
    <x v="1"/>
    <x v="0"/>
    <x v="7"/>
    <s v="CUST1036"/>
    <x v="0"/>
  </r>
  <r>
    <n v="80"/>
    <x v="79"/>
    <x v="5"/>
    <x v="0"/>
    <x v="4"/>
    <n v="3"/>
    <n v="300"/>
    <n v="900"/>
    <n v="0.15"/>
    <n v="135"/>
    <n v="765"/>
    <n v="230"/>
    <n v="75"/>
    <n v="9.8039215686274508E-2"/>
    <x v="1"/>
    <x v="1"/>
    <x v="1"/>
    <x v="1"/>
    <s v="CUST1165"/>
    <x v="0"/>
  </r>
  <r>
    <n v="81"/>
    <x v="80"/>
    <x v="0"/>
    <x v="0"/>
    <x v="5"/>
    <n v="2"/>
    <n v="190"/>
    <n v="380"/>
    <n v="0.1"/>
    <n v="38"/>
    <n v="342"/>
    <n v="130"/>
    <n v="82"/>
    <n v="0.23976608187134502"/>
    <x v="4"/>
    <x v="1"/>
    <x v="1"/>
    <x v="6"/>
    <s v="CUST1070"/>
    <x v="1"/>
  </r>
  <r>
    <n v="82"/>
    <x v="81"/>
    <x v="0"/>
    <x v="1"/>
    <x v="0"/>
    <n v="7"/>
    <n v="210"/>
    <n v="1470"/>
    <n v="0.15"/>
    <n v="220.5"/>
    <n v="1249.5"/>
    <n v="170"/>
    <n v="59.5"/>
    <n v="4.7619047619047616E-2"/>
    <x v="3"/>
    <x v="1"/>
    <x v="1"/>
    <x v="4"/>
    <s v="CUST1129"/>
    <x v="3"/>
  </r>
  <r>
    <n v="83"/>
    <x v="82"/>
    <x v="0"/>
    <x v="2"/>
    <x v="1"/>
    <n v="6"/>
    <n v="2100"/>
    <n v="12600"/>
    <n v="0.15"/>
    <n v="1890"/>
    <n v="10710"/>
    <n v="1440"/>
    <n v="2070"/>
    <n v="0.19327731092436976"/>
    <x v="3"/>
    <x v="1"/>
    <x v="1"/>
    <x v="2"/>
    <s v="CUST1157"/>
    <x v="3"/>
  </r>
  <r>
    <n v="84"/>
    <x v="83"/>
    <x v="0"/>
    <x v="3"/>
    <x v="2"/>
    <n v="5"/>
    <n v="1200"/>
    <n v="6000"/>
    <n v="0.1"/>
    <n v="600"/>
    <n v="5400"/>
    <n v="850"/>
    <n v="1150"/>
    <n v="0.21296296296296297"/>
    <x v="1"/>
    <x v="1"/>
    <x v="0"/>
    <x v="8"/>
    <s v="CUST1193"/>
    <x v="3"/>
  </r>
  <r>
    <n v="85"/>
    <x v="84"/>
    <x v="0"/>
    <x v="0"/>
    <x v="3"/>
    <n v="4"/>
    <n v="1500"/>
    <n v="6000"/>
    <n v="0"/>
    <n v="0"/>
    <n v="6000"/>
    <n v="1080"/>
    <n v="1680"/>
    <n v="0.28000000000000003"/>
    <x v="2"/>
    <x v="2"/>
    <x v="3"/>
    <x v="3"/>
    <s v="CUST1062"/>
    <x v="2"/>
  </r>
  <r>
    <n v="86"/>
    <x v="85"/>
    <x v="0"/>
    <x v="1"/>
    <x v="4"/>
    <n v="3"/>
    <n v="300"/>
    <n v="900"/>
    <n v="0"/>
    <n v="0"/>
    <n v="900"/>
    <n v="210"/>
    <n v="270"/>
    <n v="0.3"/>
    <x v="1"/>
    <x v="1"/>
    <x v="0"/>
    <x v="8"/>
    <s v="CUST1117"/>
    <x v="0"/>
  </r>
  <r>
    <n v="87"/>
    <x v="86"/>
    <x v="0"/>
    <x v="2"/>
    <x v="5"/>
    <n v="2"/>
    <n v="190"/>
    <n v="380"/>
    <n v="0"/>
    <n v="0"/>
    <n v="380"/>
    <n v="110"/>
    <n v="160"/>
    <n v="0.42105263157894735"/>
    <x v="3"/>
    <x v="1"/>
    <x v="2"/>
    <x v="4"/>
    <s v="CUST1206"/>
    <x v="2"/>
  </r>
  <r>
    <n v="88"/>
    <x v="87"/>
    <x v="0"/>
    <x v="3"/>
    <x v="0"/>
    <n v="2"/>
    <n v="210"/>
    <n v="420"/>
    <n v="0"/>
    <n v="0"/>
    <n v="420"/>
    <n v="120"/>
    <n v="180"/>
    <n v="0.42857142857142855"/>
    <x v="0"/>
    <x v="1"/>
    <x v="2"/>
    <x v="8"/>
    <s v="CUST1241"/>
    <x v="3"/>
  </r>
  <r>
    <n v="89"/>
    <x v="88"/>
    <x v="1"/>
    <x v="1"/>
    <x v="4"/>
    <n v="3"/>
    <n v="300"/>
    <n v="900"/>
    <n v="0"/>
    <n v="0"/>
    <n v="900"/>
    <n v="210"/>
    <n v="270"/>
    <n v="0.3"/>
    <x v="3"/>
    <x v="0"/>
    <x v="2"/>
    <x v="6"/>
    <s v="CUST1051"/>
    <x v="0"/>
  </r>
  <r>
    <n v="90"/>
    <x v="89"/>
    <x v="1"/>
    <x v="0"/>
    <x v="4"/>
    <n v="3"/>
    <n v="300"/>
    <n v="900"/>
    <n v="0.1"/>
    <n v="90"/>
    <n v="810"/>
    <n v="200"/>
    <n v="210"/>
    <n v="0.25925925925925924"/>
    <x v="2"/>
    <x v="1"/>
    <x v="3"/>
    <x v="9"/>
    <s v="CUST1160"/>
    <x v="2"/>
  </r>
  <r>
    <n v="91"/>
    <x v="90"/>
    <x v="1"/>
    <x v="2"/>
    <x v="4"/>
    <n v="3"/>
    <n v="300"/>
    <n v="900"/>
    <n v="0.1"/>
    <n v="90"/>
    <n v="810"/>
    <n v="230"/>
    <n v="120"/>
    <n v="0.14814814814814814"/>
    <x v="0"/>
    <x v="1"/>
    <x v="0"/>
    <x v="3"/>
    <s v="CUST1116"/>
    <x v="2"/>
  </r>
  <r>
    <n v="92"/>
    <x v="91"/>
    <x v="1"/>
    <x v="3"/>
    <x v="4"/>
    <n v="3"/>
    <n v="300"/>
    <n v="900"/>
    <n v="0.05"/>
    <n v="45"/>
    <n v="855"/>
    <n v="240"/>
    <n v="135"/>
    <n v="0.15789473684210525"/>
    <x v="2"/>
    <x v="1"/>
    <x v="2"/>
    <x v="9"/>
    <s v="CUST1084"/>
    <x v="2"/>
  </r>
  <r>
    <n v="93"/>
    <x v="92"/>
    <x v="1"/>
    <x v="1"/>
    <x v="4"/>
    <n v="3"/>
    <n v="300"/>
    <n v="900"/>
    <n v="0"/>
    <n v="0"/>
    <n v="900"/>
    <n v="220"/>
    <n v="240"/>
    <n v="0.26666666666666666"/>
    <x v="4"/>
    <x v="1"/>
    <x v="3"/>
    <x v="9"/>
    <s v="CUST1123"/>
    <x v="1"/>
  </r>
  <r>
    <n v="94"/>
    <x v="93"/>
    <x v="1"/>
    <x v="0"/>
    <x v="4"/>
    <n v="3"/>
    <n v="300"/>
    <n v="900"/>
    <n v="0"/>
    <n v="0"/>
    <n v="900"/>
    <n v="200"/>
    <n v="300"/>
    <n v="0.33333333333333331"/>
    <x v="4"/>
    <x v="1"/>
    <x v="3"/>
    <x v="5"/>
    <s v="CUST1024"/>
    <x v="1"/>
  </r>
  <r>
    <n v="95"/>
    <x v="94"/>
    <x v="1"/>
    <x v="2"/>
    <x v="4"/>
    <n v="3"/>
    <n v="300"/>
    <n v="900"/>
    <n v="0.1"/>
    <n v="90"/>
    <n v="810"/>
    <n v="180"/>
    <n v="270"/>
    <n v="0.33333333333333331"/>
    <x v="1"/>
    <x v="3"/>
    <x v="3"/>
    <x v="5"/>
    <s v="CUST1007"/>
    <x v="0"/>
  </r>
  <r>
    <n v="96"/>
    <x v="95"/>
    <x v="1"/>
    <x v="3"/>
    <x v="4"/>
    <n v="3"/>
    <n v="300"/>
    <n v="900"/>
    <n v="0.15"/>
    <n v="135"/>
    <n v="765"/>
    <n v="230"/>
    <n v="75"/>
    <n v="9.8039215686274508E-2"/>
    <x v="2"/>
    <x v="1"/>
    <x v="1"/>
    <x v="2"/>
    <s v="CUST1165"/>
    <x v="3"/>
  </r>
  <r>
    <n v="97"/>
    <x v="96"/>
    <x v="2"/>
    <x v="3"/>
    <x v="4"/>
    <n v="3"/>
    <n v="300"/>
    <n v="900"/>
    <n v="0"/>
    <n v="0"/>
    <n v="900"/>
    <n v="230"/>
    <n v="210"/>
    <n v="0.23333333333333334"/>
    <x v="1"/>
    <x v="1"/>
    <x v="3"/>
    <x v="3"/>
    <s v="CUST1101"/>
    <x v="0"/>
  </r>
  <r>
    <n v="98"/>
    <x v="97"/>
    <x v="3"/>
    <x v="3"/>
    <x v="4"/>
    <n v="3"/>
    <n v="300"/>
    <n v="900"/>
    <n v="0.05"/>
    <n v="45"/>
    <n v="855"/>
    <n v="240"/>
    <n v="135"/>
    <n v="0.15789473684210525"/>
    <x v="4"/>
    <x v="1"/>
    <x v="2"/>
    <x v="1"/>
    <s v="CUST1014"/>
    <x v="3"/>
  </r>
  <r>
    <n v="99"/>
    <x v="98"/>
    <x v="4"/>
    <x v="3"/>
    <x v="0"/>
    <n v="3"/>
    <n v="190"/>
    <n v="570"/>
    <n v="0"/>
    <n v="0"/>
    <n v="570"/>
    <n v="120"/>
    <n v="210"/>
    <n v="0.36842105263157893"/>
    <x v="3"/>
    <x v="1"/>
    <x v="3"/>
    <x v="8"/>
    <s v="CUST1189"/>
    <x v="3"/>
  </r>
  <r>
    <n v="100"/>
    <x v="99"/>
    <x v="5"/>
    <x v="3"/>
    <x v="1"/>
    <n v="2"/>
    <n v="2100"/>
    <n v="4200"/>
    <n v="0"/>
    <n v="0"/>
    <n v="4200"/>
    <n v="1290"/>
    <n v="1620"/>
    <n v="0.38571428571428573"/>
    <x v="1"/>
    <x v="1"/>
    <x v="2"/>
    <x v="8"/>
    <s v="CUST1218"/>
    <x v="1"/>
  </r>
  <r>
    <n v="101"/>
    <x v="100"/>
    <x v="5"/>
    <x v="0"/>
    <x v="0"/>
    <n v="7"/>
    <n v="210"/>
    <n v="1470"/>
    <n v="0.15"/>
    <n v="220.5"/>
    <n v="1249.5"/>
    <n v="140"/>
    <n v="269.5"/>
    <n v="0.21568627450980393"/>
    <x v="0"/>
    <x v="1"/>
    <x v="3"/>
    <x v="5"/>
    <s v="CUST1046"/>
    <x v="0"/>
  </r>
  <r>
    <n v="102"/>
    <x v="101"/>
    <x v="5"/>
    <x v="1"/>
    <x v="1"/>
    <n v="6"/>
    <n v="2100"/>
    <n v="12600"/>
    <n v="0.1"/>
    <n v="1260"/>
    <n v="11340"/>
    <n v="1570"/>
    <n v="1920"/>
    <n v="0.1693121693121693"/>
    <x v="1"/>
    <x v="1"/>
    <x v="2"/>
    <x v="5"/>
    <s v="CUST1029"/>
    <x v="2"/>
  </r>
  <r>
    <n v="103"/>
    <x v="102"/>
    <x v="5"/>
    <x v="2"/>
    <x v="2"/>
    <n v="5"/>
    <n v="1200"/>
    <n v="6000"/>
    <n v="0.15"/>
    <n v="900"/>
    <n v="5100"/>
    <n v="760"/>
    <n v="1300"/>
    <n v="0.25490196078431371"/>
    <x v="2"/>
    <x v="1"/>
    <x v="2"/>
    <x v="7"/>
    <s v="CUST1125"/>
    <x v="1"/>
  </r>
  <r>
    <n v="104"/>
    <x v="103"/>
    <x v="5"/>
    <x v="3"/>
    <x v="1"/>
    <n v="6"/>
    <n v="2100"/>
    <n v="12600"/>
    <n v="0"/>
    <n v="0"/>
    <n v="12600"/>
    <n v="1600"/>
    <n v="3000"/>
    <n v="0.23809523809523808"/>
    <x v="3"/>
    <x v="1"/>
    <x v="2"/>
    <x v="0"/>
    <s v="CUST1143"/>
    <x v="0"/>
  </r>
  <r>
    <n v="105"/>
    <x v="104"/>
    <x v="5"/>
    <x v="0"/>
    <x v="2"/>
    <n v="5"/>
    <n v="1200"/>
    <n v="6000"/>
    <n v="0.05"/>
    <n v="300"/>
    <n v="5700"/>
    <n v="790"/>
    <n v="1750"/>
    <n v="0.30701754385964913"/>
    <x v="0"/>
    <x v="1"/>
    <x v="0"/>
    <x v="9"/>
    <s v="CUST1188"/>
    <x v="3"/>
  </r>
  <r>
    <n v="106"/>
    <x v="105"/>
    <x v="5"/>
    <x v="1"/>
    <x v="5"/>
    <n v="2"/>
    <n v="190"/>
    <n v="380"/>
    <n v="0.05"/>
    <n v="19"/>
    <n v="361"/>
    <n v="130"/>
    <n v="101"/>
    <n v="0.27977839335180055"/>
    <x v="0"/>
    <x v="1"/>
    <x v="0"/>
    <x v="6"/>
    <s v="CUST1235"/>
    <x v="3"/>
  </r>
  <r>
    <n v="107"/>
    <x v="106"/>
    <x v="5"/>
    <x v="2"/>
    <x v="1"/>
    <n v="6"/>
    <n v="2100"/>
    <n v="12600"/>
    <n v="0.1"/>
    <n v="1260"/>
    <n v="11340"/>
    <n v="1220"/>
    <n v="4020"/>
    <n v="0.35449735449735448"/>
    <x v="3"/>
    <x v="1"/>
    <x v="3"/>
    <x v="5"/>
    <s v="CUST1080"/>
    <x v="1"/>
  </r>
  <r>
    <n v="108"/>
    <x v="107"/>
    <x v="5"/>
    <x v="3"/>
    <x v="2"/>
    <n v="5"/>
    <n v="1200"/>
    <n v="6000"/>
    <n v="0.02"/>
    <n v="120"/>
    <n v="5880"/>
    <n v="800"/>
    <n v="1880"/>
    <n v="0.31972789115646261"/>
    <x v="1"/>
    <x v="0"/>
    <x v="1"/>
    <x v="0"/>
    <s v="CUST1128"/>
    <x v="3"/>
  </r>
  <r>
    <n v="109"/>
    <x v="108"/>
    <x v="0"/>
    <x v="0"/>
    <x v="1"/>
    <n v="6"/>
    <n v="2100"/>
    <n v="12600"/>
    <n v="0.05"/>
    <n v="630"/>
    <n v="11970"/>
    <n v="1340"/>
    <n v="3930"/>
    <n v="0.32832080200501251"/>
    <x v="0"/>
    <x v="1"/>
    <x v="3"/>
    <x v="6"/>
    <s v="CUST1222"/>
    <x v="1"/>
  </r>
  <r>
    <n v="110"/>
    <x v="109"/>
    <x v="1"/>
    <x v="1"/>
    <x v="2"/>
    <n v="5"/>
    <n v="1200"/>
    <n v="6000"/>
    <n v="0"/>
    <n v="0"/>
    <n v="6000"/>
    <n v="880"/>
    <n v="1600"/>
    <n v="0.26666666666666666"/>
    <x v="4"/>
    <x v="2"/>
    <x v="2"/>
    <x v="4"/>
    <s v="CUST1075"/>
    <x v="3"/>
  </r>
  <r>
    <n v="111"/>
    <x v="110"/>
    <x v="2"/>
    <x v="0"/>
    <x v="1"/>
    <n v="6"/>
    <n v="2100"/>
    <n v="12600"/>
    <n v="0.05"/>
    <n v="630"/>
    <n v="11970"/>
    <n v="1280"/>
    <n v="4290"/>
    <n v="0.35839598997493732"/>
    <x v="1"/>
    <x v="1"/>
    <x v="0"/>
    <x v="6"/>
    <s v="CUST1246"/>
    <x v="3"/>
  </r>
  <r>
    <n v="112"/>
    <x v="111"/>
    <x v="3"/>
    <x v="1"/>
    <x v="2"/>
    <n v="5"/>
    <n v="1200"/>
    <n v="6000"/>
    <n v="0"/>
    <n v="0"/>
    <n v="6000"/>
    <n v="740"/>
    <n v="2300"/>
    <n v="0.38333333333333336"/>
    <x v="0"/>
    <x v="1"/>
    <x v="1"/>
    <x v="5"/>
    <s v="CUST1279"/>
    <x v="1"/>
  </r>
  <r>
    <n v="113"/>
    <x v="112"/>
    <x v="4"/>
    <x v="0"/>
    <x v="0"/>
    <n v="2"/>
    <n v="210"/>
    <n v="420"/>
    <n v="0.1"/>
    <n v="42"/>
    <n v="378"/>
    <n v="150"/>
    <n v="78"/>
    <n v="0.20634920634920634"/>
    <x v="2"/>
    <x v="1"/>
    <x v="3"/>
    <x v="8"/>
    <s v="CUST1109"/>
    <x v="0"/>
  </r>
  <r>
    <n v="114"/>
    <x v="113"/>
    <x v="5"/>
    <x v="0"/>
    <x v="1"/>
    <n v="7"/>
    <n v="2100"/>
    <n v="14700"/>
    <n v="0"/>
    <n v="0"/>
    <n v="14700"/>
    <n v="1500"/>
    <n v="4200"/>
    <n v="0.2857142857142857"/>
    <x v="3"/>
    <x v="1"/>
    <x v="0"/>
    <x v="9"/>
    <s v="CUST1066"/>
    <x v="3"/>
  </r>
  <r>
    <n v="115"/>
    <x v="114"/>
    <x v="0"/>
    <x v="0"/>
    <x v="2"/>
    <n v="6"/>
    <n v="1200"/>
    <n v="7200"/>
    <n v="0.05"/>
    <n v="360"/>
    <n v="6840"/>
    <n v="850"/>
    <n v="1740"/>
    <n v="0.25438596491228072"/>
    <x v="1"/>
    <x v="1"/>
    <x v="1"/>
    <x v="0"/>
    <s v="CUST1017"/>
    <x v="2"/>
  </r>
  <r>
    <n v="116"/>
    <x v="115"/>
    <x v="1"/>
    <x v="1"/>
    <x v="3"/>
    <n v="5"/>
    <n v="1500"/>
    <n v="7500"/>
    <n v="0.15"/>
    <n v="1125"/>
    <n v="6375"/>
    <n v="950"/>
    <n v="1625"/>
    <n v="0.25490196078431371"/>
    <x v="3"/>
    <x v="1"/>
    <x v="0"/>
    <x v="9"/>
    <s v="CUST1076"/>
    <x v="2"/>
  </r>
  <r>
    <n v="117"/>
    <x v="116"/>
    <x v="2"/>
    <x v="1"/>
    <x v="4"/>
    <n v="4"/>
    <n v="300"/>
    <n v="1200"/>
    <n v="0.15"/>
    <n v="180"/>
    <n v="1020"/>
    <n v="230"/>
    <n v="100"/>
    <n v="9.8039215686274508E-2"/>
    <x v="4"/>
    <x v="1"/>
    <x v="1"/>
    <x v="3"/>
    <s v="CUST1104"/>
    <x v="0"/>
  </r>
  <r>
    <n v="118"/>
    <x v="117"/>
    <x v="3"/>
    <x v="0"/>
    <x v="5"/>
    <n v="3"/>
    <n v="190"/>
    <n v="570"/>
    <n v="0.02"/>
    <n v="11.4"/>
    <n v="558.6"/>
    <n v="150"/>
    <n v="108.60000000000002"/>
    <n v="0.19441460794844256"/>
    <x v="2"/>
    <x v="1"/>
    <x v="1"/>
    <x v="9"/>
    <s v="CUST1267"/>
    <x v="1"/>
  </r>
  <r>
    <n v="119"/>
    <x v="118"/>
    <x v="4"/>
    <x v="0"/>
    <x v="0"/>
    <n v="2"/>
    <n v="210"/>
    <n v="420"/>
    <n v="0.05"/>
    <n v="21"/>
    <n v="399"/>
    <n v="130"/>
    <n v="139"/>
    <n v="0.34837092731829572"/>
    <x v="4"/>
    <x v="1"/>
    <x v="3"/>
    <x v="0"/>
    <s v="CUST1177"/>
    <x v="0"/>
  </r>
  <r>
    <n v="120"/>
    <x v="119"/>
    <x v="5"/>
    <x v="1"/>
    <x v="2"/>
    <n v="7"/>
    <n v="2100"/>
    <n v="14700"/>
    <n v="0.05"/>
    <n v="735"/>
    <n v="13965"/>
    <n v="1700"/>
    <n v="2065"/>
    <n v="0.14786967418546365"/>
    <x v="3"/>
    <x v="1"/>
    <x v="0"/>
    <x v="6"/>
    <s v="CUST1201"/>
    <x v="3"/>
  </r>
  <r>
    <n v="121"/>
    <x v="120"/>
    <x v="5"/>
    <x v="0"/>
    <x v="3"/>
    <n v="6"/>
    <n v="1200"/>
    <n v="7200"/>
    <n v="0.1"/>
    <n v="720"/>
    <n v="6480"/>
    <n v="740"/>
    <n v="2040"/>
    <n v="0.31481481481481483"/>
    <x v="1"/>
    <x v="1"/>
    <x v="3"/>
    <x v="0"/>
    <s v="CUST1070"/>
    <x v="3"/>
  </r>
  <r>
    <n v="122"/>
    <x v="121"/>
    <x v="0"/>
    <x v="0"/>
    <x v="4"/>
    <n v="5"/>
    <n v="300"/>
    <n v="1500"/>
    <n v="0.05"/>
    <n v="75"/>
    <n v="1425"/>
    <n v="210"/>
    <n v="375"/>
    <n v="0.26315789473684209"/>
    <x v="2"/>
    <x v="1"/>
    <x v="1"/>
    <x v="3"/>
    <s v="CUST1188"/>
    <x v="3"/>
  </r>
  <r>
    <n v="123"/>
    <x v="122"/>
    <x v="1"/>
    <x v="0"/>
    <x v="5"/>
    <n v="4"/>
    <n v="200"/>
    <n v="800"/>
    <n v="0.05"/>
    <n v="40"/>
    <n v="760"/>
    <n v="120"/>
    <n v="280"/>
    <n v="0.36842105263157893"/>
    <x v="2"/>
    <x v="1"/>
    <x v="3"/>
    <x v="7"/>
    <s v="CUST1125"/>
    <x v="0"/>
  </r>
  <r>
    <n v="124"/>
    <x v="123"/>
    <x v="2"/>
    <x v="0"/>
    <x v="0"/>
    <n v="3"/>
    <n v="190"/>
    <n v="570"/>
    <n v="0.05"/>
    <n v="28.5"/>
    <n v="541.5"/>
    <n v="120"/>
    <n v="181.5"/>
    <n v="0.33518005540166207"/>
    <x v="1"/>
    <x v="2"/>
    <x v="1"/>
    <x v="0"/>
    <s v="CUST1299"/>
    <x v="0"/>
  </r>
  <r>
    <n v="125"/>
    <x v="124"/>
    <x v="3"/>
    <x v="0"/>
    <x v="1"/>
    <n v="2"/>
    <n v="2100"/>
    <n v="4200"/>
    <n v="0.05"/>
    <n v="210"/>
    <n v="3990"/>
    <n v="1320"/>
    <n v="1350"/>
    <n v="0.33834586466165412"/>
    <x v="2"/>
    <x v="1"/>
    <x v="3"/>
    <x v="6"/>
    <s v="CUST1255"/>
    <x v="1"/>
  </r>
  <r>
    <n v="126"/>
    <x v="125"/>
    <x v="4"/>
    <x v="0"/>
    <x v="0"/>
    <n v="7"/>
    <n v="210"/>
    <n v="1470"/>
    <n v="0"/>
    <n v="0"/>
    <n v="1470"/>
    <n v="170"/>
    <n v="280"/>
    <n v="0.19047619047619047"/>
    <x v="4"/>
    <x v="1"/>
    <x v="3"/>
    <x v="9"/>
    <s v="CUST1138"/>
    <x v="3"/>
  </r>
  <r>
    <n v="127"/>
    <x v="126"/>
    <x v="5"/>
    <x v="0"/>
    <x v="1"/>
    <n v="6"/>
    <n v="2100"/>
    <n v="12600"/>
    <n v="0"/>
    <n v="0"/>
    <n v="12600"/>
    <n v="1260"/>
    <n v="5040"/>
    <n v="0.4"/>
    <x v="0"/>
    <x v="1"/>
    <x v="2"/>
    <x v="1"/>
    <s v="CUST1268"/>
    <x v="2"/>
  </r>
  <r>
    <n v="128"/>
    <x v="127"/>
    <x v="0"/>
    <x v="0"/>
    <x v="2"/>
    <n v="5"/>
    <n v="1200"/>
    <n v="6000"/>
    <n v="0.15"/>
    <n v="900"/>
    <n v="5100"/>
    <n v="860"/>
    <n v="800"/>
    <n v="0.15686274509803921"/>
    <x v="4"/>
    <x v="1"/>
    <x v="2"/>
    <x v="9"/>
    <s v="CUST1278"/>
    <x v="0"/>
  </r>
  <r>
    <n v="129"/>
    <x v="128"/>
    <x v="1"/>
    <x v="1"/>
    <x v="3"/>
    <n v="4"/>
    <n v="1500"/>
    <n v="6000"/>
    <n v="0"/>
    <n v="0"/>
    <n v="6000"/>
    <n v="1210"/>
    <n v="1160"/>
    <n v="0.19333333333333333"/>
    <x v="0"/>
    <x v="1"/>
    <x v="3"/>
    <x v="8"/>
    <s v="CUST1103"/>
    <x v="1"/>
  </r>
  <r>
    <n v="130"/>
    <x v="129"/>
    <x v="2"/>
    <x v="0"/>
    <x v="4"/>
    <n v="3"/>
    <n v="300"/>
    <n v="900"/>
    <n v="0"/>
    <n v="0"/>
    <n v="900"/>
    <n v="180"/>
    <n v="360"/>
    <n v="0.4"/>
    <x v="1"/>
    <x v="1"/>
    <x v="0"/>
    <x v="7"/>
    <s v="CUST1161"/>
    <x v="3"/>
  </r>
  <r>
    <n v="131"/>
    <x v="130"/>
    <x v="3"/>
    <x v="1"/>
    <x v="5"/>
    <n v="2"/>
    <n v="190"/>
    <n v="380"/>
    <n v="0.15"/>
    <n v="57"/>
    <n v="323"/>
    <n v="150"/>
    <n v="23"/>
    <n v="7.1207430340557279E-2"/>
    <x v="0"/>
    <x v="1"/>
    <x v="0"/>
    <x v="0"/>
    <s v="CUST1221"/>
    <x v="0"/>
  </r>
  <r>
    <n v="132"/>
    <x v="131"/>
    <x v="4"/>
    <x v="0"/>
    <x v="0"/>
    <n v="7"/>
    <n v="210"/>
    <n v="1470"/>
    <n v="0.02"/>
    <n v="29.400000000000002"/>
    <n v="1440.6"/>
    <n v="140"/>
    <n v="460.59999999999991"/>
    <n v="0.31972789115646255"/>
    <x v="2"/>
    <x v="1"/>
    <x v="0"/>
    <x v="2"/>
    <s v="CUST1121"/>
    <x v="3"/>
  </r>
  <r>
    <n v="133"/>
    <x v="132"/>
    <x v="5"/>
    <x v="0"/>
    <x v="1"/>
    <n v="6"/>
    <n v="2100"/>
    <n v="12600"/>
    <n v="0.15"/>
    <n v="1890"/>
    <n v="10710"/>
    <n v="1580"/>
    <n v="1230"/>
    <n v="0.11484593837535013"/>
    <x v="4"/>
    <x v="1"/>
    <x v="1"/>
    <x v="3"/>
    <s v="CUST1099"/>
    <x v="3"/>
  </r>
  <r>
    <n v="134"/>
    <x v="133"/>
    <x v="5"/>
    <x v="0"/>
    <x v="2"/>
    <n v="5"/>
    <n v="1200"/>
    <n v="6000"/>
    <n v="0"/>
    <n v="0"/>
    <n v="6000"/>
    <n v="880"/>
    <n v="1600"/>
    <n v="0.26666666666666666"/>
    <x v="0"/>
    <x v="1"/>
    <x v="2"/>
    <x v="3"/>
    <s v="CUST1223"/>
    <x v="2"/>
  </r>
  <r>
    <n v="135"/>
    <x v="134"/>
    <x v="0"/>
    <x v="0"/>
    <x v="3"/>
    <n v="4"/>
    <n v="1500"/>
    <n v="6000"/>
    <n v="0.05"/>
    <n v="300"/>
    <n v="5700"/>
    <n v="1170"/>
    <n v="1020"/>
    <n v="0.17894736842105263"/>
    <x v="1"/>
    <x v="1"/>
    <x v="3"/>
    <x v="8"/>
    <s v="CUST1187"/>
    <x v="1"/>
  </r>
  <r>
    <n v="136"/>
    <x v="135"/>
    <x v="0"/>
    <x v="1"/>
    <x v="4"/>
    <n v="3"/>
    <n v="300"/>
    <n v="900"/>
    <n v="0.05"/>
    <n v="45"/>
    <n v="855"/>
    <n v="200"/>
    <n v="255"/>
    <n v="0.2982456140350877"/>
    <x v="1"/>
    <x v="1"/>
    <x v="1"/>
    <x v="5"/>
    <s v="CUST1154"/>
    <x v="2"/>
  </r>
  <r>
    <n v="137"/>
    <x v="136"/>
    <x v="0"/>
    <x v="2"/>
    <x v="5"/>
    <n v="2"/>
    <n v="190"/>
    <n v="380"/>
    <n v="0.1"/>
    <n v="38"/>
    <n v="342"/>
    <n v="120"/>
    <n v="102"/>
    <n v="0.2982456140350877"/>
    <x v="2"/>
    <x v="1"/>
    <x v="0"/>
    <x v="0"/>
    <s v="CUST1273"/>
    <x v="2"/>
  </r>
  <r>
    <n v="138"/>
    <x v="137"/>
    <x v="0"/>
    <x v="3"/>
    <x v="0"/>
    <n v="2"/>
    <n v="210"/>
    <n v="420"/>
    <n v="0"/>
    <n v="0"/>
    <n v="420"/>
    <n v="130"/>
    <n v="160"/>
    <n v="0.38095238095238093"/>
    <x v="4"/>
    <x v="1"/>
    <x v="3"/>
    <x v="1"/>
    <s v="CUST1148"/>
    <x v="0"/>
  </r>
  <r>
    <n v="139"/>
    <x v="138"/>
    <x v="0"/>
    <x v="0"/>
    <x v="1"/>
    <n v="7"/>
    <n v="2100"/>
    <n v="14700"/>
    <n v="0.15"/>
    <n v="2205"/>
    <n v="12495"/>
    <n v="1400"/>
    <n v="2695"/>
    <n v="0.21568627450980393"/>
    <x v="1"/>
    <x v="1"/>
    <x v="3"/>
    <x v="0"/>
    <s v="CUST1093"/>
    <x v="1"/>
  </r>
  <r>
    <n v="140"/>
    <x v="139"/>
    <x v="0"/>
    <x v="1"/>
    <x v="2"/>
    <n v="6"/>
    <n v="1200"/>
    <n v="7200"/>
    <n v="0.15"/>
    <n v="1080"/>
    <n v="6120"/>
    <n v="720"/>
    <n v="1800"/>
    <n v="0.29411764705882354"/>
    <x v="4"/>
    <x v="1"/>
    <x v="2"/>
    <x v="7"/>
    <s v="CUST1286"/>
    <x v="3"/>
  </r>
  <r>
    <n v="141"/>
    <x v="140"/>
    <x v="0"/>
    <x v="2"/>
    <x v="3"/>
    <n v="5"/>
    <n v="1500"/>
    <n v="7500"/>
    <n v="0"/>
    <n v="0"/>
    <n v="7500"/>
    <n v="1200"/>
    <n v="1500"/>
    <n v="0.2"/>
    <x v="1"/>
    <x v="1"/>
    <x v="0"/>
    <x v="3"/>
    <s v="CUST1041"/>
    <x v="1"/>
  </r>
  <r>
    <n v="142"/>
    <x v="141"/>
    <x v="0"/>
    <x v="3"/>
    <x v="4"/>
    <n v="4"/>
    <n v="300"/>
    <n v="1200"/>
    <n v="0.05"/>
    <n v="60"/>
    <n v="1140"/>
    <n v="190"/>
    <n v="380"/>
    <n v="0.33333333333333331"/>
    <x v="0"/>
    <x v="1"/>
    <x v="1"/>
    <x v="1"/>
    <s v="CUST1179"/>
    <x v="2"/>
  </r>
  <r>
    <n v="143"/>
    <x v="142"/>
    <x v="1"/>
    <x v="1"/>
    <x v="5"/>
    <n v="3"/>
    <n v="190"/>
    <n v="570"/>
    <n v="0"/>
    <n v="0"/>
    <n v="570"/>
    <n v="120"/>
    <n v="210"/>
    <n v="0.36842105263157893"/>
    <x v="4"/>
    <x v="0"/>
    <x v="3"/>
    <x v="5"/>
    <s v="CUST1073"/>
    <x v="1"/>
  </r>
  <r>
    <n v="144"/>
    <x v="143"/>
    <x v="1"/>
    <x v="0"/>
    <x v="4"/>
    <n v="4"/>
    <n v="300"/>
    <n v="1200"/>
    <n v="0.02"/>
    <n v="24"/>
    <n v="1176"/>
    <n v="210"/>
    <n v="336"/>
    <n v="0.2857142857142857"/>
    <x v="2"/>
    <x v="1"/>
    <x v="0"/>
    <x v="0"/>
    <s v="CUST1186"/>
    <x v="3"/>
  </r>
  <r>
    <n v="145"/>
    <x v="144"/>
    <x v="1"/>
    <x v="2"/>
    <x v="4"/>
    <n v="4"/>
    <n v="300"/>
    <n v="1200"/>
    <n v="0"/>
    <n v="0"/>
    <n v="1200"/>
    <n v="190"/>
    <n v="440"/>
    <n v="0.36666666666666664"/>
    <x v="2"/>
    <x v="1"/>
    <x v="0"/>
    <x v="7"/>
    <s v="CUST1295"/>
    <x v="0"/>
  </r>
  <r>
    <n v="146"/>
    <x v="145"/>
    <x v="1"/>
    <x v="3"/>
    <x v="4"/>
    <n v="4"/>
    <n v="300"/>
    <n v="1200"/>
    <n v="0"/>
    <n v="0"/>
    <n v="1200"/>
    <n v="180"/>
    <n v="480"/>
    <n v="0.4"/>
    <x v="0"/>
    <x v="1"/>
    <x v="0"/>
    <x v="4"/>
    <s v="CUST1053"/>
    <x v="3"/>
  </r>
  <r>
    <n v="147"/>
    <x v="146"/>
    <x v="1"/>
    <x v="1"/>
    <x v="4"/>
    <n v="4"/>
    <n v="300"/>
    <n v="1200"/>
    <n v="0.1"/>
    <n v="120"/>
    <n v="1080"/>
    <n v="220"/>
    <n v="200"/>
    <n v="0.18518518518518517"/>
    <x v="3"/>
    <x v="1"/>
    <x v="0"/>
    <x v="0"/>
    <s v="CUST1253"/>
    <x v="0"/>
  </r>
  <r>
    <n v="148"/>
    <x v="147"/>
    <x v="1"/>
    <x v="0"/>
    <x v="4"/>
    <n v="4"/>
    <n v="300"/>
    <n v="1200"/>
    <n v="0.02"/>
    <n v="24"/>
    <n v="1176"/>
    <n v="230"/>
    <n v="256"/>
    <n v="0.21768707482993196"/>
    <x v="0"/>
    <x v="1"/>
    <x v="1"/>
    <x v="5"/>
    <s v="CUST1178"/>
    <x v="0"/>
  </r>
  <r>
    <n v="149"/>
    <x v="148"/>
    <x v="1"/>
    <x v="2"/>
    <x v="4"/>
    <n v="4"/>
    <n v="300"/>
    <n v="1200"/>
    <n v="0"/>
    <n v="0"/>
    <n v="1200"/>
    <n v="200"/>
    <n v="400"/>
    <n v="0.33333333333333331"/>
    <x v="2"/>
    <x v="1"/>
    <x v="0"/>
    <x v="7"/>
    <s v="CUST1092"/>
    <x v="2"/>
  </r>
  <r>
    <n v="150"/>
    <x v="149"/>
    <x v="1"/>
    <x v="3"/>
    <x v="4"/>
    <n v="4"/>
    <n v="300"/>
    <n v="1200"/>
    <n v="0.15"/>
    <n v="180"/>
    <n v="1020"/>
    <n v="200"/>
    <n v="220"/>
    <n v="0.21568627450980393"/>
    <x v="1"/>
    <x v="1"/>
    <x v="1"/>
    <x v="7"/>
    <s v="CUST1153"/>
    <x v="1"/>
  </r>
  <r>
    <n v="151"/>
    <x v="150"/>
    <x v="2"/>
    <x v="3"/>
    <x v="4"/>
    <n v="4"/>
    <n v="300"/>
    <n v="1200"/>
    <n v="0"/>
    <n v="0"/>
    <n v="1200"/>
    <n v="230"/>
    <n v="280"/>
    <n v="0.23333333333333334"/>
    <x v="2"/>
    <x v="1"/>
    <x v="3"/>
    <x v="7"/>
    <s v="CUST1289"/>
    <x v="1"/>
  </r>
  <r>
    <n v="152"/>
    <x v="151"/>
    <x v="3"/>
    <x v="3"/>
    <x v="1"/>
    <n v="6"/>
    <n v="2100"/>
    <n v="12600"/>
    <n v="0"/>
    <n v="0"/>
    <n v="12600"/>
    <n v="1450"/>
    <n v="3900"/>
    <n v="0.30952380952380953"/>
    <x v="3"/>
    <x v="1"/>
    <x v="2"/>
    <x v="9"/>
    <s v="CUST1049"/>
    <x v="2"/>
  </r>
  <r>
    <n v="153"/>
    <x v="152"/>
    <x v="4"/>
    <x v="3"/>
    <x v="2"/>
    <n v="5"/>
    <n v="1200"/>
    <n v="6000"/>
    <n v="0.02"/>
    <n v="120"/>
    <n v="5880"/>
    <n v="700"/>
    <n v="2380"/>
    <n v="0.40476190476190477"/>
    <x v="4"/>
    <x v="1"/>
    <x v="0"/>
    <x v="9"/>
    <s v="CUST1275"/>
    <x v="1"/>
  </r>
  <r>
    <n v="154"/>
    <x v="153"/>
    <x v="5"/>
    <x v="3"/>
    <x v="3"/>
    <n v="4"/>
    <n v="1500"/>
    <n v="6000"/>
    <n v="0.05"/>
    <n v="300"/>
    <n v="5700"/>
    <n v="1170"/>
    <n v="1020"/>
    <n v="0.17894736842105263"/>
    <x v="3"/>
    <x v="1"/>
    <x v="1"/>
    <x v="2"/>
    <s v="CUST1037"/>
    <x v="3"/>
  </r>
  <r>
    <n v="155"/>
    <x v="154"/>
    <x v="5"/>
    <x v="0"/>
    <x v="4"/>
    <n v="3"/>
    <n v="300"/>
    <n v="900"/>
    <n v="0.02"/>
    <n v="18"/>
    <n v="882"/>
    <n v="200"/>
    <n v="282"/>
    <n v="0.31972789115646261"/>
    <x v="3"/>
    <x v="2"/>
    <x v="1"/>
    <x v="7"/>
    <s v="CUST1178"/>
    <x v="1"/>
  </r>
  <r>
    <n v="156"/>
    <x v="155"/>
    <x v="5"/>
    <x v="1"/>
    <x v="5"/>
    <n v="2"/>
    <n v="190"/>
    <n v="380"/>
    <n v="0"/>
    <n v="0"/>
    <n v="380"/>
    <n v="130"/>
    <n v="120"/>
    <n v="0.31578947368421051"/>
    <x v="3"/>
    <x v="1"/>
    <x v="2"/>
    <x v="1"/>
    <s v="CUST1012"/>
    <x v="3"/>
  </r>
  <r>
    <n v="157"/>
    <x v="156"/>
    <x v="5"/>
    <x v="2"/>
    <x v="0"/>
    <n v="7"/>
    <n v="210"/>
    <n v="1470"/>
    <n v="0.15"/>
    <n v="220.5"/>
    <n v="1249.5"/>
    <n v="140"/>
    <n v="269.5"/>
    <n v="0.21568627450980393"/>
    <x v="4"/>
    <x v="1"/>
    <x v="0"/>
    <x v="1"/>
    <s v="CUST1148"/>
    <x v="3"/>
  </r>
  <r>
    <n v="158"/>
    <x v="157"/>
    <x v="5"/>
    <x v="3"/>
    <x v="1"/>
    <n v="6"/>
    <n v="2100"/>
    <n v="12600"/>
    <n v="0.02"/>
    <n v="252"/>
    <n v="12348"/>
    <n v="1360"/>
    <n v="4188"/>
    <n v="0.33916423712342081"/>
    <x v="3"/>
    <x v="1"/>
    <x v="0"/>
    <x v="2"/>
    <s v="CUST1247"/>
    <x v="2"/>
  </r>
  <r>
    <n v="159"/>
    <x v="158"/>
    <x v="5"/>
    <x v="0"/>
    <x v="2"/>
    <n v="5"/>
    <n v="1200"/>
    <n v="6000"/>
    <n v="0.05"/>
    <n v="300"/>
    <n v="5700"/>
    <n v="880"/>
    <n v="1300"/>
    <n v="0.22807017543859648"/>
    <x v="4"/>
    <x v="1"/>
    <x v="3"/>
    <x v="0"/>
    <s v="CUST1253"/>
    <x v="3"/>
  </r>
  <r>
    <n v="160"/>
    <x v="159"/>
    <x v="5"/>
    <x v="1"/>
    <x v="3"/>
    <n v="4"/>
    <n v="1500"/>
    <n v="6000"/>
    <n v="0.1"/>
    <n v="600"/>
    <n v="5400"/>
    <n v="930"/>
    <n v="1680"/>
    <n v="0.31111111111111112"/>
    <x v="2"/>
    <x v="1"/>
    <x v="0"/>
    <x v="4"/>
    <s v="CUST1212"/>
    <x v="3"/>
  </r>
  <r>
    <n v="161"/>
    <x v="160"/>
    <x v="5"/>
    <x v="2"/>
    <x v="4"/>
    <n v="3"/>
    <n v="300"/>
    <n v="900"/>
    <n v="0.1"/>
    <n v="90"/>
    <n v="810"/>
    <n v="220"/>
    <n v="150"/>
    <n v="0.18518518518518517"/>
    <x v="4"/>
    <x v="1"/>
    <x v="2"/>
    <x v="9"/>
    <s v="CUST1256"/>
    <x v="1"/>
  </r>
  <r>
    <n v="162"/>
    <x v="161"/>
    <x v="5"/>
    <x v="3"/>
    <x v="5"/>
    <n v="2"/>
    <n v="190"/>
    <n v="380"/>
    <n v="0.05"/>
    <n v="19"/>
    <n v="361"/>
    <n v="110"/>
    <n v="141"/>
    <n v="0.39058171745152354"/>
    <x v="3"/>
    <x v="1"/>
    <x v="0"/>
    <x v="8"/>
    <s v="CUST1118"/>
    <x v="3"/>
  </r>
  <r>
    <n v="163"/>
    <x v="162"/>
    <x v="0"/>
    <x v="0"/>
    <x v="0"/>
    <n v="2"/>
    <n v="210"/>
    <n v="420"/>
    <n v="0"/>
    <n v="0"/>
    <n v="420"/>
    <n v="150"/>
    <n v="120"/>
    <n v="0.2857142857142857"/>
    <x v="2"/>
    <x v="1"/>
    <x v="0"/>
    <x v="3"/>
    <s v="CUST1203"/>
    <x v="2"/>
  </r>
  <r>
    <n v="164"/>
    <x v="163"/>
    <x v="1"/>
    <x v="1"/>
    <x v="1"/>
    <n v="7"/>
    <n v="2100"/>
    <n v="14700"/>
    <n v="0.05"/>
    <n v="735"/>
    <n v="13965"/>
    <n v="1380"/>
    <n v="4305"/>
    <n v="0.30827067669172931"/>
    <x v="3"/>
    <x v="1"/>
    <x v="3"/>
    <x v="2"/>
    <s v="CUST1286"/>
    <x v="1"/>
  </r>
  <r>
    <n v="165"/>
    <x v="164"/>
    <x v="2"/>
    <x v="0"/>
    <x v="2"/>
    <n v="6"/>
    <n v="1200"/>
    <n v="7200"/>
    <n v="0.15"/>
    <n v="1080"/>
    <n v="6120"/>
    <n v="860"/>
    <n v="960"/>
    <n v="0.15686274509803921"/>
    <x v="1"/>
    <x v="0"/>
    <x v="2"/>
    <x v="3"/>
    <s v="CUST1140"/>
    <x v="1"/>
  </r>
  <r>
    <n v="166"/>
    <x v="165"/>
    <x v="3"/>
    <x v="1"/>
    <x v="3"/>
    <n v="5"/>
    <n v="1500"/>
    <n v="7500"/>
    <n v="0.05"/>
    <n v="375"/>
    <n v="7125"/>
    <n v="1120"/>
    <n v="1525"/>
    <n v="0.21403508771929824"/>
    <x v="1"/>
    <x v="1"/>
    <x v="0"/>
    <x v="3"/>
    <s v="CUST1200"/>
    <x v="2"/>
  </r>
  <r>
    <n v="167"/>
    <x v="166"/>
    <x v="4"/>
    <x v="0"/>
    <x v="4"/>
    <n v="4"/>
    <n v="300"/>
    <n v="1200"/>
    <n v="0.02"/>
    <n v="24"/>
    <n v="1176"/>
    <n v="240"/>
    <n v="216"/>
    <n v="0.18367346938775511"/>
    <x v="4"/>
    <x v="1"/>
    <x v="1"/>
    <x v="2"/>
    <s v="CUST1291"/>
    <x v="0"/>
  </r>
  <r>
    <n v="168"/>
    <x v="167"/>
    <x v="5"/>
    <x v="0"/>
    <x v="5"/>
    <n v="3"/>
    <n v="190"/>
    <n v="570"/>
    <n v="0"/>
    <n v="0"/>
    <n v="570"/>
    <n v="150"/>
    <n v="120"/>
    <n v="0.21052631578947367"/>
    <x v="1"/>
    <x v="1"/>
    <x v="1"/>
    <x v="0"/>
    <s v="CUST1235"/>
    <x v="0"/>
  </r>
  <r>
    <n v="169"/>
    <x v="168"/>
    <x v="0"/>
    <x v="0"/>
    <x v="0"/>
    <n v="2"/>
    <n v="210"/>
    <n v="420"/>
    <n v="0.02"/>
    <n v="8.4"/>
    <n v="411.6"/>
    <n v="160"/>
    <n v="91.600000000000023"/>
    <n v="0.22254616132167157"/>
    <x v="2"/>
    <x v="1"/>
    <x v="2"/>
    <x v="7"/>
    <s v="CUST1029"/>
    <x v="1"/>
  </r>
  <r>
    <n v="170"/>
    <x v="169"/>
    <x v="1"/>
    <x v="1"/>
    <x v="2"/>
    <n v="7"/>
    <n v="2100"/>
    <n v="14700"/>
    <n v="0"/>
    <n v="0"/>
    <n v="14700"/>
    <n v="1280"/>
    <n v="5740"/>
    <n v="0.39047619047619048"/>
    <x v="0"/>
    <x v="1"/>
    <x v="3"/>
    <x v="4"/>
    <s v="CUST1244"/>
    <x v="2"/>
  </r>
  <r>
    <n v="171"/>
    <x v="170"/>
    <x v="2"/>
    <x v="1"/>
    <x v="3"/>
    <n v="6"/>
    <n v="1200"/>
    <n v="7200"/>
    <n v="0.05"/>
    <n v="360"/>
    <n v="6840"/>
    <n v="880"/>
    <n v="1560"/>
    <n v="0.22807017543859648"/>
    <x v="4"/>
    <x v="1"/>
    <x v="2"/>
    <x v="8"/>
    <s v="CUST1274"/>
    <x v="1"/>
  </r>
  <r>
    <n v="172"/>
    <x v="171"/>
    <x v="3"/>
    <x v="0"/>
    <x v="4"/>
    <n v="5"/>
    <n v="300"/>
    <n v="1500"/>
    <n v="0.05"/>
    <n v="75"/>
    <n v="1425"/>
    <n v="220"/>
    <n v="325"/>
    <n v="0.22807017543859648"/>
    <x v="0"/>
    <x v="1"/>
    <x v="2"/>
    <x v="0"/>
    <s v="CUST1299"/>
    <x v="1"/>
  </r>
  <r>
    <n v="173"/>
    <x v="172"/>
    <x v="4"/>
    <x v="0"/>
    <x v="5"/>
    <n v="4"/>
    <n v="200"/>
    <n v="800"/>
    <n v="0.05"/>
    <n v="40"/>
    <n v="760"/>
    <n v="120"/>
    <n v="280"/>
    <n v="0.36842105263157893"/>
    <x v="2"/>
    <x v="3"/>
    <x v="2"/>
    <x v="4"/>
    <s v="CUST1197"/>
    <x v="0"/>
  </r>
  <r>
    <n v="174"/>
    <x v="173"/>
    <x v="5"/>
    <x v="1"/>
    <x v="0"/>
    <n v="3"/>
    <n v="190"/>
    <n v="570"/>
    <n v="0"/>
    <n v="0"/>
    <n v="570"/>
    <n v="130"/>
    <n v="180"/>
    <n v="0.31578947368421051"/>
    <x v="3"/>
    <x v="1"/>
    <x v="2"/>
    <x v="8"/>
    <s v="CUST1068"/>
    <x v="3"/>
  </r>
  <r>
    <n v="175"/>
    <x v="174"/>
    <x v="5"/>
    <x v="0"/>
    <x v="1"/>
    <n v="2"/>
    <n v="2100"/>
    <n v="4200"/>
    <n v="0.1"/>
    <n v="420"/>
    <n v="3780"/>
    <n v="1680"/>
    <n v="420"/>
    <n v="0.1111111111111111"/>
    <x v="3"/>
    <x v="1"/>
    <x v="2"/>
    <x v="1"/>
    <s v="CUST1266"/>
    <x v="0"/>
  </r>
  <r>
    <n v="176"/>
    <x v="175"/>
    <x v="0"/>
    <x v="0"/>
    <x v="0"/>
    <n v="7"/>
    <n v="210"/>
    <n v="1470"/>
    <n v="0.1"/>
    <n v="147"/>
    <n v="1323"/>
    <n v="140"/>
    <n v="343"/>
    <n v="0.25925925925925924"/>
    <x v="0"/>
    <x v="1"/>
    <x v="1"/>
    <x v="0"/>
    <s v="CUST1106"/>
    <x v="0"/>
  </r>
  <r>
    <n v="177"/>
    <x v="176"/>
    <x v="1"/>
    <x v="0"/>
    <x v="0"/>
    <n v="3"/>
    <n v="190"/>
    <n v="570"/>
    <n v="0.05"/>
    <n v="28.5"/>
    <n v="541.5"/>
    <n v="150"/>
    <n v="91.5"/>
    <n v="0.16897506925207756"/>
    <x v="4"/>
    <x v="1"/>
    <x v="2"/>
    <x v="5"/>
    <s v="CUST1177"/>
    <x v="0"/>
  </r>
  <r>
    <n v="178"/>
    <x v="177"/>
    <x v="2"/>
    <x v="0"/>
    <x v="0"/>
    <n v="3"/>
    <n v="190"/>
    <n v="570"/>
    <n v="0.15"/>
    <n v="85.5"/>
    <n v="484.5"/>
    <n v="150"/>
    <n v="34.5"/>
    <n v="7.1207430340557279E-2"/>
    <x v="4"/>
    <x v="1"/>
    <x v="0"/>
    <x v="3"/>
    <s v="CUST1259"/>
    <x v="2"/>
  </r>
  <r>
    <n v="179"/>
    <x v="178"/>
    <x v="3"/>
    <x v="0"/>
    <x v="0"/>
    <n v="3"/>
    <n v="190"/>
    <n v="570"/>
    <n v="0"/>
    <n v="0"/>
    <n v="570"/>
    <n v="120"/>
    <n v="210"/>
    <n v="0.36842105263157893"/>
    <x v="0"/>
    <x v="1"/>
    <x v="0"/>
    <x v="3"/>
    <s v="CUST1118"/>
    <x v="3"/>
  </r>
  <r>
    <n v="180"/>
    <x v="179"/>
    <x v="4"/>
    <x v="0"/>
    <x v="0"/>
    <n v="3"/>
    <n v="190"/>
    <n v="570"/>
    <n v="0.1"/>
    <n v="57"/>
    <n v="513"/>
    <n v="110"/>
    <n v="183"/>
    <n v="0.35672514619883039"/>
    <x v="3"/>
    <x v="1"/>
    <x v="3"/>
    <x v="5"/>
    <s v="CUST1024"/>
    <x v="1"/>
  </r>
  <r>
    <n v="181"/>
    <x v="180"/>
    <x v="5"/>
    <x v="0"/>
    <x v="0"/>
    <n v="3"/>
    <n v="190"/>
    <n v="570"/>
    <n v="0"/>
    <n v="0"/>
    <n v="570"/>
    <n v="150"/>
    <n v="120"/>
    <n v="0.21052631578947367"/>
    <x v="4"/>
    <x v="1"/>
    <x v="0"/>
    <x v="7"/>
    <s v="CUST1165"/>
    <x v="3"/>
  </r>
  <r>
    <n v="182"/>
    <x v="181"/>
    <x v="0"/>
    <x v="0"/>
    <x v="0"/>
    <n v="3"/>
    <n v="190"/>
    <n v="570"/>
    <n v="0.15"/>
    <n v="85.5"/>
    <n v="484.5"/>
    <n v="130"/>
    <n v="94.5"/>
    <n v="0.19504643962848298"/>
    <x v="4"/>
    <x v="1"/>
    <x v="0"/>
    <x v="7"/>
    <s v="CUST1085"/>
    <x v="1"/>
  </r>
  <r>
    <n v="183"/>
    <x v="182"/>
    <x v="1"/>
    <x v="1"/>
    <x v="0"/>
    <n v="3"/>
    <n v="190"/>
    <n v="570"/>
    <n v="0"/>
    <n v="0"/>
    <n v="570"/>
    <n v="130"/>
    <n v="180"/>
    <n v="0.31578947368421051"/>
    <x v="1"/>
    <x v="1"/>
    <x v="2"/>
    <x v="0"/>
    <s v="CUST1121"/>
    <x v="1"/>
  </r>
  <r>
    <n v="184"/>
    <x v="183"/>
    <x v="2"/>
    <x v="0"/>
    <x v="2"/>
    <n v="5"/>
    <n v="1200"/>
    <n v="6000"/>
    <n v="0.02"/>
    <n v="120"/>
    <n v="5880"/>
    <n v="840"/>
    <n v="1680"/>
    <n v="0.2857142857142857"/>
    <x v="0"/>
    <x v="3"/>
    <x v="3"/>
    <x v="0"/>
    <s v="CUST1121"/>
    <x v="0"/>
  </r>
  <r>
    <n v="185"/>
    <x v="184"/>
    <x v="3"/>
    <x v="1"/>
    <x v="3"/>
    <n v="4"/>
    <n v="1500"/>
    <n v="6000"/>
    <n v="0.05"/>
    <n v="300"/>
    <n v="5700"/>
    <n v="1010"/>
    <n v="1660"/>
    <n v="0.29122807017543861"/>
    <x v="2"/>
    <x v="1"/>
    <x v="2"/>
    <x v="4"/>
    <s v="CUST1300"/>
    <x v="1"/>
  </r>
  <r>
    <n v="186"/>
    <x v="185"/>
    <x v="4"/>
    <x v="0"/>
    <x v="4"/>
    <n v="3"/>
    <n v="300"/>
    <n v="900"/>
    <n v="0"/>
    <n v="0"/>
    <n v="900"/>
    <n v="220"/>
    <n v="240"/>
    <n v="0.26666666666666666"/>
    <x v="4"/>
    <x v="1"/>
    <x v="3"/>
    <x v="7"/>
    <s v="CUST1272"/>
    <x v="2"/>
  </r>
  <r>
    <n v="187"/>
    <x v="186"/>
    <x v="5"/>
    <x v="0"/>
    <x v="5"/>
    <n v="2"/>
    <n v="190"/>
    <n v="380"/>
    <n v="0.1"/>
    <n v="38"/>
    <n v="342"/>
    <n v="150"/>
    <n v="42"/>
    <n v="0.12280701754385964"/>
    <x v="1"/>
    <x v="1"/>
    <x v="0"/>
    <x v="3"/>
    <s v="CUST1049"/>
    <x v="3"/>
  </r>
  <r>
    <n v="188"/>
    <x v="187"/>
    <x v="5"/>
    <x v="0"/>
    <x v="0"/>
    <n v="2"/>
    <n v="210"/>
    <n v="420"/>
    <n v="0.15"/>
    <n v="63"/>
    <n v="357"/>
    <n v="160"/>
    <n v="37"/>
    <n v="0.10364145658263306"/>
    <x v="3"/>
    <x v="1"/>
    <x v="1"/>
    <x v="0"/>
    <s v="CUST1110"/>
    <x v="2"/>
  </r>
  <r>
    <n v="189"/>
    <x v="188"/>
    <x v="0"/>
    <x v="0"/>
    <x v="1"/>
    <n v="7"/>
    <n v="2100"/>
    <n v="14700"/>
    <n v="0.05"/>
    <n v="735"/>
    <n v="13965"/>
    <n v="1500"/>
    <n v="3465"/>
    <n v="0.24812030075187969"/>
    <x v="2"/>
    <x v="0"/>
    <x v="1"/>
    <x v="9"/>
    <s v="CUST1256"/>
    <x v="0"/>
  </r>
  <r>
    <n v="190"/>
    <x v="189"/>
    <x v="0"/>
    <x v="1"/>
    <x v="2"/>
    <n v="6"/>
    <n v="1200"/>
    <n v="7200"/>
    <n v="0"/>
    <n v="0"/>
    <n v="7200"/>
    <n v="810"/>
    <n v="2340"/>
    <n v="0.32500000000000001"/>
    <x v="4"/>
    <x v="1"/>
    <x v="2"/>
    <x v="2"/>
    <s v="CUST1194"/>
    <x v="0"/>
  </r>
  <r>
    <n v="191"/>
    <x v="190"/>
    <x v="0"/>
    <x v="2"/>
    <x v="3"/>
    <n v="5"/>
    <n v="1500"/>
    <n v="7500"/>
    <n v="0"/>
    <n v="0"/>
    <n v="7500"/>
    <n v="1190"/>
    <n v="1550"/>
    <n v="0.20666666666666667"/>
    <x v="2"/>
    <x v="1"/>
    <x v="1"/>
    <x v="7"/>
    <s v="CUST1099"/>
    <x v="0"/>
  </r>
  <r>
    <n v="192"/>
    <x v="191"/>
    <x v="0"/>
    <x v="3"/>
    <x v="4"/>
    <n v="4"/>
    <n v="300"/>
    <n v="1200"/>
    <n v="0"/>
    <n v="0"/>
    <n v="1200"/>
    <n v="230"/>
    <n v="280"/>
    <n v="0.23333333333333334"/>
    <x v="3"/>
    <x v="1"/>
    <x v="2"/>
    <x v="1"/>
    <s v="CUST1106"/>
    <x v="1"/>
  </r>
  <r>
    <n v="193"/>
    <x v="192"/>
    <x v="0"/>
    <x v="0"/>
    <x v="5"/>
    <n v="3"/>
    <n v="190"/>
    <n v="570"/>
    <n v="0.02"/>
    <n v="11.4"/>
    <n v="558.6"/>
    <n v="130"/>
    <n v="168.60000000000002"/>
    <n v="0.30182599355531692"/>
    <x v="3"/>
    <x v="1"/>
    <x v="1"/>
    <x v="2"/>
    <s v="CUST1031"/>
    <x v="3"/>
  </r>
  <r>
    <n v="194"/>
    <x v="193"/>
    <x v="0"/>
    <x v="1"/>
    <x v="0"/>
    <n v="2"/>
    <n v="210"/>
    <n v="420"/>
    <n v="0.02"/>
    <n v="8.4"/>
    <n v="411.6"/>
    <n v="150"/>
    <n v="111.60000000000002"/>
    <n v="0.2711370262390671"/>
    <x v="0"/>
    <x v="1"/>
    <x v="2"/>
    <x v="8"/>
    <s v="CUST1221"/>
    <x v="2"/>
  </r>
  <r>
    <n v="195"/>
    <x v="194"/>
    <x v="0"/>
    <x v="2"/>
    <x v="2"/>
    <n v="7"/>
    <n v="2100"/>
    <n v="14700"/>
    <n v="0"/>
    <n v="0"/>
    <n v="14700"/>
    <n v="1290"/>
    <n v="5670"/>
    <n v="0.38571428571428573"/>
    <x v="4"/>
    <x v="1"/>
    <x v="0"/>
    <x v="3"/>
    <s v="CUST1215"/>
    <x v="0"/>
  </r>
  <r>
    <n v="196"/>
    <x v="195"/>
    <x v="0"/>
    <x v="3"/>
    <x v="3"/>
    <n v="6"/>
    <n v="1200"/>
    <n v="7200"/>
    <n v="0.02"/>
    <n v="144"/>
    <n v="7056"/>
    <n v="900"/>
    <n v="1656"/>
    <n v="0.23469387755102042"/>
    <x v="3"/>
    <x v="1"/>
    <x v="2"/>
    <x v="4"/>
    <s v="CUST1057"/>
    <x v="1"/>
  </r>
  <r>
    <n v="197"/>
    <x v="196"/>
    <x v="1"/>
    <x v="1"/>
    <x v="4"/>
    <n v="5"/>
    <n v="300"/>
    <n v="1500"/>
    <n v="0.1"/>
    <n v="150"/>
    <n v="1350"/>
    <n v="220"/>
    <n v="250"/>
    <n v="0.18518518518518517"/>
    <x v="3"/>
    <x v="0"/>
    <x v="3"/>
    <x v="8"/>
    <s v="CUST1138"/>
    <x v="3"/>
  </r>
  <r>
    <n v="198"/>
    <x v="197"/>
    <x v="1"/>
    <x v="0"/>
    <x v="5"/>
    <n v="4"/>
    <n v="200"/>
    <n v="800"/>
    <n v="0.1"/>
    <n v="80"/>
    <n v="720"/>
    <n v="160"/>
    <n v="80"/>
    <n v="0.1111111111111111"/>
    <x v="4"/>
    <x v="1"/>
    <x v="1"/>
    <x v="6"/>
    <s v="CUST1253"/>
    <x v="1"/>
  </r>
  <r>
    <n v="199"/>
    <x v="198"/>
    <x v="1"/>
    <x v="2"/>
    <x v="0"/>
    <n v="3"/>
    <n v="190"/>
    <n v="570"/>
    <n v="0.05"/>
    <n v="28.5"/>
    <n v="541.5"/>
    <n v="130"/>
    <n v="151.5"/>
    <n v="0.27977839335180055"/>
    <x v="4"/>
    <x v="1"/>
    <x v="2"/>
    <x v="6"/>
    <s v="CUST1148"/>
    <x v="3"/>
  </r>
  <r>
    <n v="200"/>
    <x v="199"/>
    <x v="1"/>
    <x v="3"/>
    <x v="1"/>
    <n v="2"/>
    <n v="2100"/>
    <n v="4200"/>
    <n v="0"/>
    <n v="0"/>
    <n v="4200"/>
    <n v="1610"/>
    <n v="980"/>
    <n v="0.23333333333333334"/>
    <x v="2"/>
    <x v="1"/>
    <x v="2"/>
    <x v="6"/>
    <s v="CUST1163"/>
    <x v="3"/>
  </r>
  <r>
    <n v="201"/>
    <x v="200"/>
    <x v="1"/>
    <x v="1"/>
    <x v="0"/>
    <n v="7"/>
    <n v="210"/>
    <n v="1470"/>
    <n v="0"/>
    <n v="0"/>
    <n v="1470"/>
    <n v="130"/>
    <n v="560"/>
    <n v="0.38095238095238093"/>
    <x v="1"/>
    <x v="1"/>
    <x v="2"/>
    <x v="9"/>
    <s v="CUST1158"/>
    <x v="0"/>
  </r>
  <r>
    <n v="202"/>
    <x v="201"/>
    <x v="1"/>
    <x v="0"/>
    <x v="1"/>
    <n v="6"/>
    <n v="2100"/>
    <n v="12600"/>
    <n v="0.15"/>
    <n v="1890"/>
    <n v="10710"/>
    <n v="1480"/>
    <n v="1830"/>
    <n v="0.17086834733893558"/>
    <x v="4"/>
    <x v="1"/>
    <x v="2"/>
    <x v="4"/>
    <s v="CUST1030"/>
    <x v="3"/>
  </r>
  <r>
    <n v="203"/>
    <x v="202"/>
    <x v="1"/>
    <x v="2"/>
    <x v="2"/>
    <n v="5"/>
    <n v="1200"/>
    <n v="6000"/>
    <n v="0.05"/>
    <n v="300"/>
    <n v="5700"/>
    <n v="840"/>
    <n v="1500"/>
    <n v="0.26315789473684209"/>
    <x v="1"/>
    <x v="1"/>
    <x v="0"/>
    <x v="4"/>
    <s v="CUST1105"/>
    <x v="3"/>
  </r>
  <r>
    <n v="204"/>
    <x v="203"/>
    <x v="1"/>
    <x v="3"/>
    <x v="3"/>
    <n v="4"/>
    <n v="1500"/>
    <n v="6000"/>
    <n v="0.02"/>
    <n v="120"/>
    <n v="5880"/>
    <n v="1150"/>
    <n v="1280"/>
    <n v="0.21768707482993196"/>
    <x v="0"/>
    <x v="1"/>
    <x v="1"/>
    <x v="7"/>
    <s v="CUST1012"/>
    <x v="3"/>
  </r>
  <r>
    <n v="205"/>
    <x v="204"/>
    <x v="2"/>
    <x v="3"/>
    <x v="4"/>
    <n v="3"/>
    <n v="300"/>
    <n v="900"/>
    <n v="0"/>
    <n v="0"/>
    <n v="900"/>
    <n v="190"/>
    <n v="330"/>
    <n v="0.36666666666666664"/>
    <x v="1"/>
    <x v="3"/>
    <x v="2"/>
    <x v="2"/>
    <s v="CUST1181"/>
    <x v="0"/>
  </r>
  <r>
    <n v="206"/>
    <x v="205"/>
    <x v="3"/>
    <x v="3"/>
    <x v="5"/>
    <n v="2"/>
    <n v="190"/>
    <n v="380"/>
    <n v="0.05"/>
    <n v="19"/>
    <n v="361"/>
    <n v="140"/>
    <n v="81"/>
    <n v="0.22437673130193905"/>
    <x v="0"/>
    <x v="1"/>
    <x v="0"/>
    <x v="9"/>
    <s v="CUST1261"/>
    <x v="0"/>
  </r>
  <r>
    <n v="207"/>
    <x v="206"/>
    <x v="4"/>
    <x v="3"/>
    <x v="0"/>
    <n v="7"/>
    <n v="210"/>
    <n v="1470"/>
    <n v="0.15"/>
    <n v="220.5"/>
    <n v="1249.5"/>
    <n v="140"/>
    <n v="269.5"/>
    <n v="0.21568627450980393"/>
    <x v="2"/>
    <x v="1"/>
    <x v="2"/>
    <x v="8"/>
    <s v="CUST1033"/>
    <x v="3"/>
  </r>
  <r>
    <n v="208"/>
    <x v="207"/>
    <x v="5"/>
    <x v="3"/>
    <x v="1"/>
    <n v="6"/>
    <n v="2100"/>
    <n v="12600"/>
    <n v="0.05"/>
    <n v="630"/>
    <n v="11970"/>
    <n v="1720"/>
    <n v="1650"/>
    <n v="0.13784461152882205"/>
    <x v="2"/>
    <x v="1"/>
    <x v="2"/>
    <x v="5"/>
    <s v="CUST1200"/>
    <x v="3"/>
  </r>
  <r>
    <n v="209"/>
    <x v="208"/>
    <x v="5"/>
    <x v="0"/>
    <x v="2"/>
    <n v="5"/>
    <n v="1200"/>
    <n v="6000"/>
    <n v="0.15"/>
    <n v="900"/>
    <n v="5100"/>
    <n v="920"/>
    <n v="500"/>
    <n v="9.8039215686274508E-2"/>
    <x v="1"/>
    <x v="1"/>
    <x v="1"/>
    <x v="1"/>
    <s v="CUST1034"/>
    <x v="1"/>
  </r>
  <r>
    <n v="210"/>
    <x v="209"/>
    <x v="5"/>
    <x v="1"/>
    <x v="3"/>
    <n v="4"/>
    <n v="1500"/>
    <n v="6000"/>
    <n v="0"/>
    <n v="0"/>
    <n v="6000"/>
    <n v="1090"/>
    <n v="1640"/>
    <n v="0.27333333333333332"/>
    <x v="3"/>
    <x v="1"/>
    <x v="1"/>
    <x v="6"/>
    <s v="CUST1031"/>
    <x v="0"/>
  </r>
  <r>
    <n v="211"/>
    <x v="210"/>
    <x v="5"/>
    <x v="2"/>
    <x v="4"/>
    <n v="3"/>
    <n v="300"/>
    <n v="900"/>
    <n v="0.05"/>
    <n v="45"/>
    <n v="855"/>
    <n v="190"/>
    <n v="285"/>
    <n v="0.33333333333333331"/>
    <x v="0"/>
    <x v="1"/>
    <x v="2"/>
    <x v="9"/>
    <s v="CUST1138"/>
    <x v="1"/>
  </r>
  <r>
    <n v="212"/>
    <x v="211"/>
    <x v="5"/>
    <x v="3"/>
    <x v="5"/>
    <n v="2"/>
    <n v="190"/>
    <n v="380"/>
    <n v="0.02"/>
    <n v="7.6000000000000005"/>
    <n v="372.4"/>
    <n v="110"/>
    <n v="152.39999999999998"/>
    <n v="0.40923737916219116"/>
    <x v="0"/>
    <x v="1"/>
    <x v="1"/>
    <x v="6"/>
    <s v="CUST1028"/>
    <x v="0"/>
  </r>
  <r>
    <n v="213"/>
    <x v="212"/>
    <x v="5"/>
    <x v="0"/>
    <x v="0"/>
    <n v="2"/>
    <n v="210"/>
    <n v="420"/>
    <n v="0"/>
    <n v="0"/>
    <n v="420"/>
    <n v="130"/>
    <n v="160"/>
    <n v="0.38095238095238093"/>
    <x v="2"/>
    <x v="1"/>
    <x v="1"/>
    <x v="2"/>
    <s v="CUST1012"/>
    <x v="3"/>
  </r>
  <r>
    <n v="214"/>
    <x v="213"/>
    <x v="5"/>
    <x v="1"/>
    <x v="1"/>
    <n v="7"/>
    <n v="2100"/>
    <n v="14700"/>
    <n v="0.1"/>
    <n v="1470"/>
    <n v="13230"/>
    <n v="1400"/>
    <n v="3430"/>
    <n v="0.25925925925925924"/>
    <x v="3"/>
    <x v="1"/>
    <x v="3"/>
    <x v="5"/>
    <s v="CUST1098"/>
    <x v="2"/>
  </r>
  <r>
    <n v="215"/>
    <x v="214"/>
    <x v="5"/>
    <x v="2"/>
    <x v="2"/>
    <n v="6"/>
    <n v="1200"/>
    <n v="7200"/>
    <n v="0"/>
    <n v="0"/>
    <n v="7200"/>
    <n v="700"/>
    <n v="3000"/>
    <n v="0.41666666666666669"/>
    <x v="1"/>
    <x v="1"/>
    <x v="0"/>
    <x v="3"/>
    <s v="CUST1202"/>
    <x v="2"/>
  </r>
  <r>
    <n v="216"/>
    <x v="215"/>
    <x v="5"/>
    <x v="3"/>
    <x v="3"/>
    <n v="5"/>
    <n v="1500"/>
    <n v="7500"/>
    <n v="0"/>
    <n v="0"/>
    <n v="7500"/>
    <n v="1080"/>
    <n v="2100"/>
    <n v="0.28000000000000003"/>
    <x v="0"/>
    <x v="1"/>
    <x v="1"/>
    <x v="6"/>
    <s v="CUST1209"/>
    <x v="1"/>
  </r>
  <r>
    <n v="217"/>
    <x v="216"/>
    <x v="0"/>
    <x v="0"/>
    <x v="4"/>
    <n v="4"/>
    <n v="300"/>
    <n v="1200"/>
    <n v="0.05"/>
    <n v="60"/>
    <n v="1140"/>
    <n v="190"/>
    <n v="380"/>
    <n v="0.33333333333333331"/>
    <x v="0"/>
    <x v="1"/>
    <x v="0"/>
    <x v="4"/>
    <s v="CUST1123"/>
    <x v="0"/>
  </r>
  <r>
    <n v="218"/>
    <x v="217"/>
    <x v="1"/>
    <x v="1"/>
    <x v="5"/>
    <n v="3"/>
    <n v="190"/>
    <n v="570"/>
    <n v="0.02"/>
    <n v="11.4"/>
    <n v="558.6"/>
    <n v="120"/>
    <n v="198.60000000000002"/>
    <n v="0.35553168635875404"/>
    <x v="4"/>
    <x v="1"/>
    <x v="1"/>
    <x v="5"/>
    <s v="CUST1253"/>
    <x v="3"/>
  </r>
  <r>
    <n v="219"/>
    <x v="218"/>
    <x v="2"/>
    <x v="0"/>
    <x v="0"/>
    <n v="2"/>
    <n v="210"/>
    <n v="420"/>
    <n v="0.15"/>
    <n v="63"/>
    <n v="357"/>
    <n v="170"/>
    <n v="17"/>
    <n v="4.7619047619047616E-2"/>
    <x v="0"/>
    <x v="1"/>
    <x v="3"/>
    <x v="8"/>
    <s v="CUST1115"/>
    <x v="0"/>
  </r>
  <r>
    <n v="220"/>
    <x v="219"/>
    <x v="3"/>
    <x v="1"/>
    <x v="2"/>
    <n v="7"/>
    <n v="2100"/>
    <n v="14700"/>
    <n v="0"/>
    <n v="0"/>
    <n v="14700"/>
    <n v="1520"/>
    <n v="4060"/>
    <n v="0.27619047619047621"/>
    <x v="1"/>
    <x v="1"/>
    <x v="3"/>
    <x v="0"/>
    <s v="CUST1243"/>
    <x v="3"/>
  </r>
  <r>
    <n v="221"/>
    <x v="220"/>
    <x v="4"/>
    <x v="0"/>
    <x v="3"/>
    <n v="6"/>
    <n v="1200"/>
    <n v="7200"/>
    <n v="0.05"/>
    <n v="360"/>
    <n v="6840"/>
    <n v="880"/>
    <n v="1560"/>
    <n v="0.22807017543859648"/>
    <x v="0"/>
    <x v="1"/>
    <x v="3"/>
    <x v="6"/>
    <s v="CUST1177"/>
    <x v="2"/>
  </r>
  <r>
    <n v="222"/>
    <x v="221"/>
    <x v="5"/>
    <x v="0"/>
    <x v="4"/>
    <n v="5"/>
    <n v="300"/>
    <n v="1500"/>
    <n v="0.02"/>
    <n v="30"/>
    <n v="1470"/>
    <n v="200"/>
    <n v="470"/>
    <n v="0.31972789115646261"/>
    <x v="3"/>
    <x v="1"/>
    <x v="2"/>
    <x v="8"/>
    <s v="CUST1117"/>
    <x v="0"/>
  </r>
  <r>
    <n v="223"/>
    <x v="222"/>
    <x v="0"/>
    <x v="0"/>
    <x v="5"/>
    <n v="4"/>
    <n v="200"/>
    <n v="800"/>
    <n v="0.05"/>
    <n v="40"/>
    <n v="760"/>
    <n v="120"/>
    <n v="280"/>
    <n v="0.36842105263157893"/>
    <x v="4"/>
    <x v="1"/>
    <x v="1"/>
    <x v="6"/>
    <s v="CUST1180"/>
    <x v="1"/>
  </r>
  <r>
    <n v="224"/>
    <x v="223"/>
    <x v="1"/>
    <x v="1"/>
    <x v="0"/>
    <n v="3"/>
    <n v="190"/>
    <n v="570"/>
    <n v="0.02"/>
    <n v="11.4"/>
    <n v="558.6"/>
    <n v="130"/>
    <n v="168.60000000000002"/>
    <n v="0.30182599355531692"/>
    <x v="2"/>
    <x v="1"/>
    <x v="1"/>
    <x v="6"/>
    <s v="CUST1168"/>
    <x v="3"/>
  </r>
  <r>
    <n v="225"/>
    <x v="224"/>
    <x v="2"/>
    <x v="1"/>
    <x v="1"/>
    <n v="2"/>
    <n v="2100"/>
    <n v="4200"/>
    <n v="0.1"/>
    <n v="420"/>
    <n v="3780"/>
    <n v="1510"/>
    <n v="760"/>
    <n v="0.20105820105820105"/>
    <x v="2"/>
    <x v="1"/>
    <x v="2"/>
    <x v="9"/>
    <s v="CUST1007"/>
    <x v="0"/>
  </r>
  <r>
    <n v="226"/>
    <x v="225"/>
    <x v="3"/>
    <x v="0"/>
    <x v="0"/>
    <n v="7"/>
    <n v="210"/>
    <n v="1470"/>
    <n v="0"/>
    <n v="0"/>
    <n v="1470"/>
    <n v="130"/>
    <n v="560"/>
    <n v="0.38095238095238093"/>
    <x v="2"/>
    <x v="1"/>
    <x v="1"/>
    <x v="4"/>
    <s v="CUST1252"/>
    <x v="3"/>
  </r>
  <r>
    <n v="227"/>
    <x v="226"/>
    <x v="4"/>
    <x v="0"/>
    <x v="1"/>
    <n v="6"/>
    <n v="2100"/>
    <n v="12600"/>
    <n v="0.05"/>
    <n v="630"/>
    <n v="11970"/>
    <n v="1660"/>
    <n v="2010"/>
    <n v="0.16791979949874686"/>
    <x v="2"/>
    <x v="1"/>
    <x v="2"/>
    <x v="5"/>
    <s v="CUST1290"/>
    <x v="3"/>
  </r>
  <r>
    <n v="228"/>
    <x v="227"/>
    <x v="5"/>
    <x v="1"/>
    <x v="2"/>
    <n v="5"/>
    <n v="1200"/>
    <n v="6000"/>
    <n v="0"/>
    <n v="0"/>
    <n v="6000"/>
    <n v="740"/>
    <n v="2300"/>
    <n v="0.38333333333333336"/>
    <x v="3"/>
    <x v="1"/>
    <x v="2"/>
    <x v="0"/>
    <s v="CUST1207"/>
    <x v="0"/>
  </r>
  <r>
    <n v="229"/>
    <x v="228"/>
    <x v="5"/>
    <x v="0"/>
    <x v="3"/>
    <n v="4"/>
    <n v="1500"/>
    <n v="6000"/>
    <n v="0"/>
    <n v="0"/>
    <n v="6000"/>
    <n v="1040"/>
    <n v="1840"/>
    <n v="0.30666666666666664"/>
    <x v="1"/>
    <x v="1"/>
    <x v="1"/>
    <x v="1"/>
    <s v="CUST1192"/>
    <x v="2"/>
  </r>
  <r>
    <n v="230"/>
    <x v="229"/>
    <x v="0"/>
    <x v="0"/>
    <x v="4"/>
    <n v="3"/>
    <n v="300"/>
    <n v="900"/>
    <n v="0.15"/>
    <n v="135"/>
    <n v="765"/>
    <n v="180"/>
    <n v="225"/>
    <n v="0.29411764705882354"/>
    <x v="3"/>
    <x v="0"/>
    <x v="3"/>
    <x v="8"/>
    <s v="CUST1216"/>
    <x v="1"/>
  </r>
  <r>
    <n v="231"/>
    <x v="230"/>
    <x v="1"/>
    <x v="0"/>
    <x v="5"/>
    <n v="2"/>
    <n v="190"/>
    <n v="380"/>
    <n v="0.02"/>
    <n v="7.6000000000000005"/>
    <n v="372.4"/>
    <n v="120"/>
    <n v="132.39999999999998"/>
    <n v="0.35553168635875398"/>
    <x v="1"/>
    <x v="2"/>
    <x v="1"/>
    <x v="4"/>
    <s v="CUST1192"/>
    <x v="3"/>
  </r>
  <r>
    <n v="232"/>
    <x v="231"/>
    <x v="2"/>
    <x v="0"/>
    <x v="0"/>
    <n v="7"/>
    <n v="210"/>
    <n v="1470"/>
    <n v="0"/>
    <n v="0"/>
    <n v="1470"/>
    <n v="160"/>
    <n v="350"/>
    <n v="0.23809523809523808"/>
    <x v="2"/>
    <x v="1"/>
    <x v="2"/>
    <x v="9"/>
    <s v="CUST1023"/>
    <x v="3"/>
  </r>
  <r>
    <n v="233"/>
    <x v="232"/>
    <x v="3"/>
    <x v="0"/>
    <x v="1"/>
    <n v="6"/>
    <n v="2100"/>
    <n v="12600"/>
    <n v="0.05"/>
    <n v="630"/>
    <n v="11970"/>
    <n v="1490"/>
    <n v="3030"/>
    <n v="0.25313283208020049"/>
    <x v="1"/>
    <x v="1"/>
    <x v="3"/>
    <x v="4"/>
    <s v="CUST1025"/>
    <x v="0"/>
  </r>
  <r>
    <n v="234"/>
    <x v="233"/>
    <x v="4"/>
    <x v="0"/>
    <x v="1"/>
    <n v="7"/>
    <n v="2100"/>
    <n v="14700"/>
    <n v="0.15"/>
    <n v="2205"/>
    <n v="12495"/>
    <n v="1300"/>
    <n v="3395"/>
    <n v="0.27170868347338933"/>
    <x v="1"/>
    <x v="1"/>
    <x v="0"/>
    <x v="4"/>
    <s v="CUST1133"/>
    <x v="2"/>
  </r>
  <r>
    <n v="235"/>
    <x v="234"/>
    <x v="5"/>
    <x v="0"/>
    <x v="3"/>
    <n v="4"/>
    <n v="1500"/>
    <n v="6000"/>
    <n v="0"/>
    <n v="0"/>
    <n v="6000"/>
    <n v="900"/>
    <n v="2400"/>
    <n v="0.4"/>
    <x v="4"/>
    <x v="1"/>
    <x v="1"/>
    <x v="5"/>
    <s v="CUST1221"/>
    <x v="1"/>
  </r>
  <r>
    <n v="236"/>
    <x v="235"/>
    <x v="0"/>
    <x v="0"/>
    <x v="4"/>
    <n v="3"/>
    <n v="300"/>
    <n v="900"/>
    <n v="0.02"/>
    <n v="18"/>
    <n v="882"/>
    <n v="200"/>
    <n v="282"/>
    <n v="0.31972789115646261"/>
    <x v="1"/>
    <x v="1"/>
    <x v="2"/>
    <x v="9"/>
    <s v="CUST1120"/>
    <x v="3"/>
  </r>
  <r>
    <n v="237"/>
    <x v="236"/>
    <x v="1"/>
    <x v="1"/>
    <x v="5"/>
    <n v="2"/>
    <n v="190"/>
    <n v="380"/>
    <n v="0.02"/>
    <n v="7.6000000000000005"/>
    <n v="372.4"/>
    <n v="150"/>
    <n v="72.399999999999977"/>
    <n v="0.19441460794844248"/>
    <x v="4"/>
    <x v="1"/>
    <x v="2"/>
    <x v="2"/>
    <s v="CUST1069"/>
    <x v="2"/>
  </r>
  <r>
    <n v="238"/>
    <x v="237"/>
    <x v="2"/>
    <x v="0"/>
    <x v="0"/>
    <n v="2"/>
    <n v="210"/>
    <n v="420"/>
    <n v="0.02"/>
    <n v="8.4"/>
    <n v="411.6"/>
    <n v="140"/>
    <n v="131.60000000000002"/>
    <n v="0.31972789115646261"/>
    <x v="3"/>
    <x v="1"/>
    <x v="0"/>
    <x v="0"/>
    <s v="CUST1106"/>
    <x v="2"/>
  </r>
  <r>
    <n v="239"/>
    <x v="238"/>
    <x v="3"/>
    <x v="1"/>
    <x v="1"/>
    <n v="7"/>
    <n v="2100"/>
    <n v="14700"/>
    <n v="0"/>
    <n v="0"/>
    <n v="14700"/>
    <n v="1400"/>
    <n v="4900"/>
    <n v="0.33333333333333331"/>
    <x v="1"/>
    <x v="1"/>
    <x v="0"/>
    <x v="0"/>
    <s v="CUST1196"/>
    <x v="0"/>
  </r>
  <r>
    <n v="240"/>
    <x v="239"/>
    <x v="4"/>
    <x v="0"/>
    <x v="2"/>
    <n v="6"/>
    <n v="1200"/>
    <n v="7200"/>
    <n v="0"/>
    <n v="0"/>
    <n v="7200"/>
    <n v="770"/>
    <n v="2580"/>
    <n v="0.35833333333333334"/>
    <x v="4"/>
    <x v="1"/>
    <x v="0"/>
    <x v="8"/>
    <s v="CUST1289"/>
    <x v="3"/>
  </r>
  <r>
    <n v="241"/>
    <x v="240"/>
    <x v="5"/>
    <x v="0"/>
    <x v="3"/>
    <n v="5"/>
    <n v="1500"/>
    <n v="7500"/>
    <n v="0"/>
    <n v="0"/>
    <n v="7500"/>
    <n v="910"/>
    <n v="2950"/>
    <n v="0.39333333333333331"/>
    <x v="2"/>
    <x v="1"/>
    <x v="1"/>
    <x v="0"/>
    <s v="CUST1127"/>
    <x v="2"/>
  </r>
  <r>
    <n v="242"/>
    <x v="241"/>
    <x v="5"/>
    <x v="0"/>
    <x v="4"/>
    <n v="4"/>
    <n v="300"/>
    <n v="1200"/>
    <n v="0"/>
    <n v="0"/>
    <n v="1200"/>
    <n v="220"/>
    <n v="320"/>
    <n v="0.26666666666666666"/>
    <x v="0"/>
    <x v="1"/>
    <x v="3"/>
    <x v="0"/>
    <s v="CUST1112"/>
    <x v="0"/>
  </r>
  <r>
    <n v="243"/>
    <x v="242"/>
    <x v="0"/>
    <x v="0"/>
    <x v="4"/>
    <n v="3"/>
    <n v="300"/>
    <n v="900"/>
    <n v="0"/>
    <n v="0"/>
    <n v="900"/>
    <n v="240"/>
    <n v="180"/>
    <n v="0.2"/>
    <x v="1"/>
    <x v="1"/>
    <x v="1"/>
    <x v="8"/>
    <s v="CUST1020"/>
    <x v="2"/>
  </r>
  <r>
    <n v="244"/>
    <x v="243"/>
    <x v="0"/>
    <x v="1"/>
    <x v="5"/>
    <n v="2"/>
    <n v="190"/>
    <n v="380"/>
    <n v="0.02"/>
    <n v="7.6000000000000005"/>
    <n v="372.4"/>
    <n v="150"/>
    <n v="72.399999999999977"/>
    <n v="0.19441460794844248"/>
    <x v="1"/>
    <x v="1"/>
    <x v="3"/>
    <x v="8"/>
    <s v="CUST1142"/>
    <x v="2"/>
  </r>
  <r>
    <n v="245"/>
    <x v="244"/>
    <x v="0"/>
    <x v="2"/>
    <x v="0"/>
    <n v="2"/>
    <n v="210"/>
    <n v="420"/>
    <n v="0.15"/>
    <n v="63"/>
    <n v="357"/>
    <n v="150"/>
    <n v="57"/>
    <n v="0.15966386554621848"/>
    <x v="3"/>
    <x v="1"/>
    <x v="1"/>
    <x v="4"/>
    <s v="CUST1219"/>
    <x v="2"/>
  </r>
  <r>
    <n v="246"/>
    <x v="245"/>
    <x v="0"/>
    <x v="3"/>
    <x v="1"/>
    <n v="7"/>
    <n v="2100"/>
    <n v="14700"/>
    <n v="0.05"/>
    <n v="735"/>
    <n v="13965"/>
    <n v="1340"/>
    <n v="4585"/>
    <n v="0.32832080200501251"/>
    <x v="4"/>
    <x v="1"/>
    <x v="0"/>
    <x v="6"/>
    <s v="CUST1112"/>
    <x v="2"/>
  </r>
  <r>
    <n v="247"/>
    <x v="246"/>
    <x v="0"/>
    <x v="0"/>
    <x v="2"/>
    <n v="6"/>
    <n v="1200"/>
    <n v="7200"/>
    <n v="0"/>
    <n v="0"/>
    <n v="7200"/>
    <n v="730"/>
    <n v="2820"/>
    <n v="0.39166666666666666"/>
    <x v="3"/>
    <x v="1"/>
    <x v="1"/>
    <x v="1"/>
    <s v="CUST1114"/>
    <x v="2"/>
  </r>
  <r>
    <n v="248"/>
    <x v="247"/>
    <x v="0"/>
    <x v="1"/>
    <x v="3"/>
    <n v="5"/>
    <n v="1500"/>
    <n v="7500"/>
    <n v="0.02"/>
    <n v="150"/>
    <n v="7350"/>
    <n v="1010"/>
    <n v="2300"/>
    <n v="0.31292517006802723"/>
    <x v="4"/>
    <x v="1"/>
    <x v="3"/>
    <x v="5"/>
    <s v="CUST1011"/>
    <x v="3"/>
  </r>
  <r>
    <n v="249"/>
    <x v="248"/>
    <x v="0"/>
    <x v="2"/>
    <x v="4"/>
    <n v="4"/>
    <n v="300"/>
    <n v="1200"/>
    <n v="0"/>
    <n v="0"/>
    <n v="1200"/>
    <n v="180"/>
    <n v="480"/>
    <n v="0.4"/>
    <x v="3"/>
    <x v="1"/>
    <x v="1"/>
    <x v="7"/>
    <s v="CUST1065"/>
    <x v="2"/>
  </r>
  <r>
    <n v="250"/>
    <x v="249"/>
    <x v="0"/>
    <x v="3"/>
    <x v="4"/>
    <n v="3"/>
    <n v="300"/>
    <n v="900"/>
    <n v="0.1"/>
    <n v="90"/>
    <n v="810"/>
    <n v="200"/>
    <n v="210"/>
    <n v="0.25925925925925924"/>
    <x v="2"/>
    <x v="1"/>
    <x v="2"/>
    <x v="7"/>
    <s v="CUST1066"/>
    <x v="0"/>
  </r>
  <r>
    <n v="251"/>
    <x v="250"/>
    <x v="1"/>
    <x v="1"/>
    <x v="5"/>
    <n v="2"/>
    <n v="190"/>
    <n v="380"/>
    <n v="0.15"/>
    <n v="57"/>
    <n v="323"/>
    <n v="130"/>
    <n v="63"/>
    <n v="0.19504643962848298"/>
    <x v="4"/>
    <x v="1"/>
    <x v="1"/>
    <x v="4"/>
    <s v="CUST1131"/>
    <x v="2"/>
  </r>
  <r>
    <n v="252"/>
    <x v="251"/>
    <x v="1"/>
    <x v="0"/>
    <x v="0"/>
    <n v="2"/>
    <n v="210"/>
    <n v="420"/>
    <n v="0.15"/>
    <n v="63"/>
    <n v="357"/>
    <n v="160"/>
    <n v="37"/>
    <n v="0.10364145658263306"/>
    <x v="4"/>
    <x v="1"/>
    <x v="0"/>
    <x v="7"/>
    <s v="CUST1197"/>
    <x v="2"/>
  </r>
  <r>
    <n v="253"/>
    <x v="252"/>
    <x v="1"/>
    <x v="2"/>
    <x v="1"/>
    <n v="7"/>
    <n v="2100"/>
    <n v="14700"/>
    <n v="0.05"/>
    <n v="735"/>
    <n v="13965"/>
    <n v="1470"/>
    <n v="3675"/>
    <n v="0.26315789473684209"/>
    <x v="3"/>
    <x v="1"/>
    <x v="3"/>
    <x v="1"/>
    <s v="CUST1217"/>
    <x v="1"/>
  </r>
  <r>
    <n v="254"/>
    <x v="253"/>
    <x v="1"/>
    <x v="3"/>
    <x v="2"/>
    <n v="6"/>
    <n v="1200"/>
    <n v="7200"/>
    <n v="0.02"/>
    <n v="144"/>
    <n v="7056"/>
    <n v="980"/>
    <n v="1176"/>
    <n v="0.16666666666666666"/>
    <x v="3"/>
    <x v="1"/>
    <x v="1"/>
    <x v="2"/>
    <s v="CUST1098"/>
    <x v="2"/>
  </r>
  <r>
    <n v="255"/>
    <x v="254"/>
    <x v="1"/>
    <x v="1"/>
    <x v="3"/>
    <n v="5"/>
    <n v="1500"/>
    <n v="7500"/>
    <n v="0"/>
    <n v="0"/>
    <n v="7500"/>
    <n v="1070"/>
    <n v="2150"/>
    <n v="0.28666666666666668"/>
    <x v="0"/>
    <x v="1"/>
    <x v="0"/>
    <x v="0"/>
    <s v="CUST1146"/>
    <x v="2"/>
  </r>
  <r>
    <n v="256"/>
    <x v="255"/>
    <x v="1"/>
    <x v="0"/>
    <x v="4"/>
    <n v="4"/>
    <n v="300"/>
    <n v="1200"/>
    <n v="0.1"/>
    <n v="120"/>
    <n v="1080"/>
    <n v="200"/>
    <n v="280"/>
    <n v="0.25925925925925924"/>
    <x v="1"/>
    <x v="1"/>
    <x v="3"/>
    <x v="8"/>
    <s v="CUST1275"/>
    <x v="2"/>
  </r>
  <r>
    <n v="257"/>
    <x v="256"/>
    <x v="1"/>
    <x v="2"/>
    <x v="0"/>
    <n v="7"/>
    <n v="210"/>
    <n v="1470"/>
    <n v="0.05"/>
    <n v="73.5"/>
    <n v="1396.5"/>
    <n v="160"/>
    <n v="276.5"/>
    <n v="0.19799498746867167"/>
    <x v="0"/>
    <x v="1"/>
    <x v="1"/>
    <x v="9"/>
    <s v="CUST1109"/>
    <x v="1"/>
  </r>
  <r>
    <n v="258"/>
    <x v="257"/>
    <x v="1"/>
    <x v="3"/>
    <x v="1"/>
    <n v="6"/>
    <n v="2100"/>
    <n v="12600"/>
    <n v="0"/>
    <n v="0"/>
    <n v="12600"/>
    <n v="1540"/>
    <n v="3360"/>
    <n v="0.26666666666666666"/>
    <x v="4"/>
    <x v="1"/>
    <x v="1"/>
    <x v="3"/>
    <s v="CUST1265"/>
    <x v="2"/>
  </r>
  <r>
    <n v="259"/>
    <x v="258"/>
    <x v="2"/>
    <x v="3"/>
    <x v="2"/>
    <n v="5"/>
    <n v="1200"/>
    <n v="6000"/>
    <n v="0.05"/>
    <n v="300"/>
    <n v="5700"/>
    <n v="750"/>
    <n v="1950"/>
    <n v="0.34210526315789475"/>
    <x v="2"/>
    <x v="1"/>
    <x v="2"/>
    <x v="0"/>
    <s v="CUST1276"/>
    <x v="3"/>
  </r>
  <r>
    <n v="260"/>
    <x v="259"/>
    <x v="3"/>
    <x v="3"/>
    <x v="3"/>
    <n v="4"/>
    <n v="1500"/>
    <n v="6000"/>
    <n v="0"/>
    <n v="0"/>
    <n v="6000"/>
    <n v="930"/>
    <n v="2280"/>
    <n v="0.38"/>
    <x v="1"/>
    <x v="1"/>
    <x v="3"/>
    <x v="7"/>
    <s v="CUST1292"/>
    <x v="3"/>
  </r>
  <r>
    <n v="261"/>
    <x v="260"/>
    <x v="4"/>
    <x v="3"/>
    <x v="4"/>
    <n v="3"/>
    <n v="300"/>
    <n v="900"/>
    <n v="0.15"/>
    <n v="135"/>
    <n v="765"/>
    <n v="220"/>
    <n v="105"/>
    <n v="0.13725490196078433"/>
    <x v="4"/>
    <x v="1"/>
    <x v="3"/>
    <x v="8"/>
    <s v="CUST1184"/>
    <x v="3"/>
  </r>
  <r>
    <n v="262"/>
    <x v="261"/>
    <x v="5"/>
    <x v="3"/>
    <x v="5"/>
    <n v="2"/>
    <n v="190"/>
    <n v="380"/>
    <n v="0"/>
    <n v="0"/>
    <n v="380"/>
    <n v="120"/>
    <n v="140"/>
    <n v="0.36842105263157893"/>
    <x v="4"/>
    <x v="1"/>
    <x v="1"/>
    <x v="1"/>
    <s v="CUST1160"/>
    <x v="0"/>
  </r>
  <r>
    <n v="263"/>
    <x v="262"/>
    <x v="5"/>
    <x v="0"/>
    <x v="0"/>
    <n v="2"/>
    <n v="210"/>
    <n v="420"/>
    <n v="0.02"/>
    <n v="8.4"/>
    <n v="411.6"/>
    <n v="150"/>
    <n v="111.60000000000002"/>
    <n v="0.2711370262390671"/>
    <x v="4"/>
    <x v="1"/>
    <x v="1"/>
    <x v="4"/>
    <s v="CUST1114"/>
    <x v="0"/>
  </r>
  <r>
    <n v="264"/>
    <x v="263"/>
    <x v="5"/>
    <x v="1"/>
    <x v="1"/>
    <n v="7"/>
    <n v="2100"/>
    <n v="14700"/>
    <n v="0.1"/>
    <n v="1470"/>
    <n v="13230"/>
    <n v="1350"/>
    <n v="3780"/>
    <n v="0.2857142857142857"/>
    <x v="1"/>
    <x v="3"/>
    <x v="2"/>
    <x v="7"/>
    <s v="CUST1096"/>
    <x v="2"/>
  </r>
  <r>
    <n v="265"/>
    <x v="264"/>
    <x v="5"/>
    <x v="2"/>
    <x v="2"/>
    <n v="6"/>
    <n v="1200"/>
    <n v="7200"/>
    <n v="0"/>
    <n v="0"/>
    <n v="7200"/>
    <n v="760"/>
    <n v="2640"/>
    <n v="0.36666666666666664"/>
    <x v="3"/>
    <x v="1"/>
    <x v="0"/>
    <x v="2"/>
    <s v="CUST1116"/>
    <x v="0"/>
  </r>
  <r>
    <n v="266"/>
    <x v="265"/>
    <x v="5"/>
    <x v="3"/>
    <x v="3"/>
    <n v="5"/>
    <n v="1500"/>
    <n v="7500"/>
    <n v="0.05"/>
    <n v="375"/>
    <n v="7125"/>
    <n v="1160"/>
    <n v="1325"/>
    <n v="0.18596491228070175"/>
    <x v="4"/>
    <x v="1"/>
    <x v="0"/>
    <x v="7"/>
    <s v="CUST1298"/>
    <x v="2"/>
  </r>
  <r>
    <n v="267"/>
    <x v="266"/>
    <x v="5"/>
    <x v="0"/>
    <x v="1"/>
    <n v="7"/>
    <n v="2100"/>
    <n v="14700"/>
    <n v="0.02"/>
    <n v="294"/>
    <n v="14406"/>
    <n v="1320"/>
    <n v="5166"/>
    <n v="0.35860058309037901"/>
    <x v="3"/>
    <x v="1"/>
    <x v="2"/>
    <x v="4"/>
    <s v="CUST1223"/>
    <x v="1"/>
  </r>
  <r>
    <n v="268"/>
    <x v="267"/>
    <x v="5"/>
    <x v="1"/>
    <x v="1"/>
    <n v="7"/>
    <n v="2100"/>
    <n v="14700"/>
    <n v="0"/>
    <n v="0"/>
    <n v="14700"/>
    <n v="1460"/>
    <n v="4480"/>
    <n v="0.30476190476190479"/>
    <x v="1"/>
    <x v="1"/>
    <x v="2"/>
    <x v="3"/>
    <s v="CUST1186"/>
    <x v="3"/>
  </r>
  <r>
    <n v="269"/>
    <x v="268"/>
    <x v="5"/>
    <x v="2"/>
    <x v="1"/>
    <n v="7"/>
    <n v="2100"/>
    <n v="14700"/>
    <n v="0.02"/>
    <n v="294"/>
    <n v="14406"/>
    <n v="1550"/>
    <n v="3556"/>
    <n v="0.24684159378036929"/>
    <x v="1"/>
    <x v="0"/>
    <x v="2"/>
    <x v="4"/>
    <s v="CUST1162"/>
    <x v="3"/>
  </r>
  <r>
    <n v="270"/>
    <x v="269"/>
    <x v="5"/>
    <x v="3"/>
    <x v="1"/>
    <n v="7"/>
    <n v="2100"/>
    <n v="14700"/>
    <n v="0.02"/>
    <n v="294"/>
    <n v="14406"/>
    <n v="1530"/>
    <n v="3696"/>
    <n v="0.2565597667638484"/>
    <x v="1"/>
    <x v="1"/>
    <x v="3"/>
    <x v="4"/>
    <s v="CUST1152"/>
    <x v="0"/>
  </r>
  <r>
    <n v="271"/>
    <x v="270"/>
    <x v="0"/>
    <x v="0"/>
    <x v="1"/>
    <n v="7"/>
    <n v="2100"/>
    <n v="14700"/>
    <n v="0.1"/>
    <n v="1470"/>
    <n v="13230"/>
    <n v="1500"/>
    <n v="2730"/>
    <n v="0.20634920634920634"/>
    <x v="0"/>
    <x v="1"/>
    <x v="3"/>
    <x v="6"/>
    <s v="CUST1109"/>
    <x v="2"/>
  </r>
  <r>
    <n v="272"/>
    <x v="271"/>
    <x v="1"/>
    <x v="1"/>
    <x v="1"/>
    <n v="7"/>
    <n v="2100"/>
    <n v="14700"/>
    <n v="0.02"/>
    <n v="294"/>
    <n v="14406"/>
    <n v="1700"/>
    <n v="2506"/>
    <n v="0.17395529640427598"/>
    <x v="1"/>
    <x v="1"/>
    <x v="1"/>
    <x v="3"/>
    <s v="CUST1002"/>
    <x v="3"/>
  </r>
  <r>
    <n v="273"/>
    <x v="272"/>
    <x v="2"/>
    <x v="0"/>
    <x v="1"/>
    <n v="7"/>
    <n v="2100"/>
    <n v="14700"/>
    <n v="0.02"/>
    <n v="294"/>
    <n v="14406"/>
    <n v="1260"/>
    <n v="5586"/>
    <n v="0.38775510204081631"/>
    <x v="3"/>
    <x v="1"/>
    <x v="2"/>
    <x v="6"/>
    <s v="CUST1099"/>
    <x v="1"/>
  </r>
  <r>
    <n v="274"/>
    <x v="273"/>
    <x v="3"/>
    <x v="1"/>
    <x v="1"/>
    <n v="7"/>
    <n v="2100"/>
    <n v="14700"/>
    <n v="0.1"/>
    <n v="1470"/>
    <n v="13230"/>
    <n v="1550"/>
    <n v="2380"/>
    <n v="0.17989417989417988"/>
    <x v="2"/>
    <x v="1"/>
    <x v="0"/>
    <x v="5"/>
    <s v="CUST1008"/>
    <x v="0"/>
  </r>
  <r>
    <n v="275"/>
    <x v="274"/>
    <x v="4"/>
    <x v="0"/>
    <x v="1"/>
    <n v="7"/>
    <n v="2100"/>
    <n v="14700"/>
    <n v="0.05"/>
    <n v="735"/>
    <n v="13965"/>
    <n v="1430"/>
    <n v="3955"/>
    <n v="0.2832080200501253"/>
    <x v="1"/>
    <x v="1"/>
    <x v="2"/>
    <x v="9"/>
    <s v="CUST1056"/>
    <x v="0"/>
  </r>
  <r>
    <n v="276"/>
    <x v="275"/>
    <x v="5"/>
    <x v="0"/>
    <x v="1"/>
    <n v="7"/>
    <n v="2100"/>
    <n v="14700"/>
    <n v="0"/>
    <n v="0"/>
    <n v="14700"/>
    <n v="1580"/>
    <n v="3640"/>
    <n v="0.24761904761904763"/>
    <x v="4"/>
    <x v="1"/>
    <x v="2"/>
    <x v="6"/>
    <s v="CUST1192"/>
    <x v="3"/>
  </r>
  <r>
    <n v="277"/>
    <x v="276"/>
    <x v="0"/>
    <x v="0"/>
    <x v="1"/>
    <n v="7"/>
    <n v="2100"/>
    <n v="14700"/>
    <n v="0"/>
    <n v="0"/>
    <n v="14700"/>
    <n v="1530"/>
    <n v="3990"/>
    <n v="0.27142857142857141"/>
    <x v="4"/>
    <x v="1"/>
    <x v="1"/>
    <x v="4"/>
    <s v="CUST1222"/>
    <x v="1"/>
  </r>
  <r>
    <n v="278"/>
    <x v="277"/>
    <x v="1"/>
    <x v="1"/>
    <x v="2"/>
    <n v="5"/>
    <n v="1200"/>
    <n v="6000"/>
    <n v="0.05"/>
    <n v="300"/>
    <n v="5700"/>
    <n v="780"/>
    <n v="1800"/>
    <n v="0.31578947368421051"/>
    <x v="2"/>
    <x v="1"/>
    <x v="0"/>
    <x v="4"/>
    <s v="CUST1105"/>
    <x v="1"/>
  </r>
  <r>
    <n v="279"/>
    <x v="278"/>
    <x v="2"/>
    <x v="1"/>
    <x v="3"/>
    <n v="4"/>
    <n v="1500"/>
    <n v="6000"/>
    <n v="0.05"/>
    <n v="300"/>
    <n v="5700"/>
    <n v="1150"/>
    <n v="1100"/>
    <n v="0.19298245614035087"/>
    <x v="4"/>
    <x v="1"/>
    <x v="1"/>
    <x v="6"/>
    <s v="CUST1102"/>
    <x v="1"/>
  </r>
  <r>
    <n v="280"/>
    <x v="279"/>
    <x v="3"/>
    <x v="0"/>
    <x v="4"/>
    <n v="3"/>
    <n v="300"/>
    <n v="900"/>
    <n v="0.1"/>
    <n v="90"/>
    <n v="810"/>
    <n v="230"/>
    <n v="120"/>
    <n v="0.14814814814814814"/>
    <x v="3"/>
    <x v="1"/>
    <x v="3"/>
    <x v="4"/>
    <s v="CUST1027"/>
    <x v="0"/>
  </r>
  <r>
    <n v="281"/>
    <x v="280"/>
    <x v="4"/>
    <x v="0"/>
    <x v="5"/>
    <n v="2"/>
    <n v="190"/>
    <n v="380"/>
    <n v="0.05"/>
    <n v="19"/>
    <n v="361"/>
    <n v="120"/>
    <n v="121"/>
    <n v="0.33518005540166207"/>
    <x v="2"/>
    <x v="1"/>
    <x v="1"/>
    <x v="6"/>
    <s v="CUST1175"/>
    <x v="1"/>
  </r>
  <r>
    <n v="282"/>
    <x v="281"/>
    <x v="5"/>
    <x v="1"/>
    <x v="0"/>
    <n v="7"/>
    <n v="210"/>
    <n v="1470"/>
    <n v="0"/>
    <n v="0"/>
    <n v="1470"/>
    <n v="150"/>
    <n v="420"/>
    <n v="0.2857142857142857"/>
    <x v="4"/>
    <x v="1"/>
    <x v="0"/>
    <x v="2"/>
    <s v="CUST1189"/>
    <x v="3"/>
  </r>
  <r>
    <n v="283"/>
    <x v="282"/>
    <x v="5"/>
    <x v="0"/>
    <x v="1"/>
    <n v="6"/>
    <n v="2100"/>
    <n v="12600"/>
    <n v="0.15"/>
    <n v="1890"/>
    <n v="10710"/>
    <n v="1640"/>
    <n v="870"/>
    <n v="8.1232492997198882E-2"/>
    <x v="2"/>
    <x v="1"/>
    <x v="1"/>
    <x v="6"/>
    <s v="CUST1198"/>
    <x v="2"/>
  </r>
  <r>
    <n v="284"/>
    <x v="283"/>
    <x v="0"/>
    <x v="0"/>
    <x v="2"/>
    <n v="5"/>
    <n v="1200"/>
    <n v="6000"/>
    <n v="0"/>
    <n v="0"/>
    <n v="6000"/>
    <n v="870"/>
    <n v="1650"/>
    <n v="0.27500000000000002"/>
    <x v="2"/>
    <x v="1"/>
    <x v="1"/>
    <x v="2"/>
    <s v="CUST1037"/>
    <x v="2"/>
  </r>
  <r>
    <n v="285"/>
    <x v="284"/>
    <x v="1"/>
    <x v="0"/>
    <x v="3"/>
    <n v="4"/>
    <n v="1500"/>
    <n v="6000"/>
    <n v="0.02"/>
    <n v="120"/>
    <n v="5880"/>
    <n v="1010"/>
    <n v="1840"/>
    <n v="0.31292517006802723"/>
    <x v="0"/>
    <x v="3"/>
    <x v="0"/>
    <x v="8"/>
    <s v="CUST1180"/>
    <x v="0"/>
  </r>
  <r>
    <n v="286"/>
    <x v="285"/>
    <x v="2"/>
    <x v="0"/>
    <x v="4"/>
    <n v="3"/>
    <n v="300"/>
    <n v="900"/>
    <n v="0"/>
    <n v="0"/>
    <n v="900"/>
    <n v="200"/>
    <n v="300"/>
    <n v="0.33333333333333331"/>
    <x v="3"/>
    <x v="1"/>
    <x v="1"/>
    <x v="9"/>
    <s v="CUST1165"/>
    <x v="1"/>
  </r>
  <r>
    <n v="287"/>
    <x v="286"/>
    <x v="3"/>
    <x v="0"/>
    <x v="5"/>
    <n v="2"/>
    <n v="190"/>
    <n v="380"/>
    <n v="0.05"/>
    <n v="19"/>
    <n v="361"/>
    <n v="120"/>
    <n v="121"/>
    <n v="0.33518005540166207"/>
    <x v="2"/>
    <x v="1"/>
    <x v="0"/>
    <x v="2"/>
    <s v="CUST1042"/>
    <x v="0"/>
  </r>
  <r>
    <n v="288"/>
    <x v="287"/>
    <x v="4"/>
    <x v="0"/>
    <x v="0"/>
    <n v="2"/>
    <n v="210"/>
    <n v="420"/>
    <n v="0.15"/>
    <n v="63"/>
    <n v="357"/>
    <n v="170"/>
    <n v="17"/>
    <n v="4.7619047619047616E-2"/>
    <x v="0"/>
    <x v="1"/>
    <x v="1"/>
    <x v="2"/>
    <s v="CUST1145"/>
    <x v="2"/>
  </r>
  <r>
    <n v="289"/>
    <x v="288"/>
    <x v="5"/>
    <x v="0"/>
    <x v="1"/>
    <n v="7"/>
    <n v="2100"/>
    <n v="14700"/>
    <n v="0.1"/>
    <n v="1470"/>
    <n v="13230"/>
    <n v="1580"/>
    <n v="2170"/>
    <n v="0.16402116402116401"/>
    <x v="2"/>
    <x v="1"/>
    <x v="3"/>
    <x v="3"/>
    <s v="CUST1194"/>
    <x v="0"/>
  </r>
  <r>
    <n v="290"/>
    <x v="289"/>
    <x v="0"/>
    <x v="0"/>
    <x v="2"/>
    <n v="6"/>
    <n v="1200"/>
    <n v="7200"/>
    <n v="0"/>
    <n v="0"/>
    <n v="7200"/>
    <n v="740"/>
    <n v="2760"/>
    <n v="0.38333333333333336"/>
    <x v="4"/>
    <x v="1"/>
    <x v="0"/>
    <x v="3"/>
    <s v="CUST1090"/>
    <x v="3"/>
  </r>
  <r>
    <n v="291"/>
    <x v="290"/>
    <x v="1"/>
    <x v="1"/>
    <x v="3"/>
    <n v="5"/>
    <n v="1500"/>
    <n v="7500"/>
    <n v="0.1"/>
    <n v="750"/>
    <n v="6750"/>
    <n v="900"/>
    <n v="2250"/>
    <n v="0.33333333333333331"/>
    <x v="3"/>
    <x v="1"/>
    <x v="2"/>
    <x v="3"/>
    <s v="CUST1037"/>
    <x v="3"/>
  </r>
  <r>
    <n v="292"/>
    <x v="291"/>
    <x v="2"/>
    <x v="0"/>
    <x v="4"/>
    <n v="4"/>
    <n v="300"/>
    <n v="1200"/>
    <n v="0"/>
    <n v="0"/>
    <n v="1200"/>
    <n v="200"/>
    <n v="400"/>
    <n v="0.33333333333333331"/>
    <x v="3"/>
    <x v="1"/>
    <x v="2"/>
    <x v="9"/>
    <s v="CUST1207"/>
    <x v="0"/>
  </r>
  <r>
    <n v="293"/>
    <x v="292"/>
    <x v="3"/>
    <x v="1"/>
    <x v="3"/>
    <n v="5"/>
    <n v="1500"/>
    <n v="7500"/>
    <n v="0"/>
    <n v="0"/>
    <n v="7500"/>
    <n v="1220"/>
    <n v="1400"/>
    <n v="0.18666666666666668"/>
    <x v="0"/>
    <x v="1"/>
    <x v="0"/>
    <x v="2"/>
    <s v="CUST1035"/>
    <x v="3"/>
  </r>
  <r>
    <n v="294"/>
    <x v="293"/>
    <x v="4"/>
    <x v="0"/>
    <x v="4"/>
    <n v="4"/>
    <n v="300"/>
    <n v="1200"/>
    <n v="0.15"/>
    <n v="180"/>
    <n v="1020"/>
    <n v="240"/>
    <n v="60"/>
    <n v="5.8823529411764705E-2"/>
    <x v="3"/>
    <x v="1"/>
    <x v="3"/>
    <x v="2"/>
    <s v="CUST1182"/>
    <x v="2"/>
  </r>
  <r>
    <n v="295"/>
    <x v="294"/>
    <x v="5"/>
    <x v="0"/>
    <x v="3"/>
    <n v="5"/>
    <n v="1500"/>
    <n v="7500"/>
    <n v="0"/>
    <n v="0"/>
    <n v="7500"/>
    <n v="1130"/>
    <n v="1850"/>
    <n v="0.24666666666666667"/>
    <x v="3"/>
    <x v="1"/>
    <x v="0"/>
    <x v="9"/>
    <s v="CUST1080"/>
    <x v="0"/>
  </r>
  <r>
    <n v="296"/>
    <x v="295"/>
    <x v="5"/>
    <x v="0"/>
    <x v="4"/>
    <n v="4"/>
    <n v="300"/>
    <n v="1200"/>
    <n v="0.02"/>
    <n v="24"/>
    <n v="1176"/>
    <n v="240"/>
    <n v="216"/>
    <n v="0.18367346938775511"/>
    <x v="3"/>
    <x v="1"/>
    <x v="3"/>
    <x v="8"/>
    <s v="CUST1183"/>
    <x v="2"/>
  </r>
  <r>
    <n v="297"/>
    <x v="296"/>
    <x v="0"/>
    <x v="0"/>
    <x v="3"/>
    <n v="5"/>
    <n v="1500"/>
    <n v="7500"/>
    <n v="0"/>
    <n v="0"/>
    <n v="7500"/>
    <n v="980"/>
    <n v="2600"/>
    <n v="0.34666666666666668"/>
    <x v="2"/>
    <x v="1"/>
    <x v="3"/>
    <x v="6"/>
    <s v="CUST1167"/>
    <x v="3"/>
  </r>
  <r>
    <n v="298"/>
    <x v="297"/>
    <x v="0"/>
    <x v="1"/>
    <x v="4"/>
    <n v="4"/>
    <n v="300"/>
    <n v="1200"/>
    <n v="0"/>
    <n v="0"/>
    <n v="1200"/>
    <n v="210"/>
    <n v="360"/>
    <n v="0.3"/>
    <x v="2"/>
    <x v="1"/>
    <x v="1"/>
    <x v="0"/>
    <s v="CUST1163"/>
    <x v="1"/>
  </r>
  <r>
    <n v="299"/>
    <x v="298"/>
    <x v="0"/>
    <x v="2"/>
    <x v="3"/>
    <n v="5"/>
    <n v="1500"/>
    <n v="7500"/>
    <n v="0.1"/>
    <n v="750"/>
    <n v="6750"/>
    <n v="990"/>
    <n v="1800"/>
    <n v="0.26666666666666666"/>
    <x v="2"/>
    <x v="1"/>
    <x v="1"/>
    <x v="3"/>
    <s v="CUST1146"/>
    <x v="2"/>
  </r>
  <r>
    <n v="300"/>
    <x v="299"/>
    <x v="0"/>
    <x v="3"/>
    <x v="4"/>
    <n v="4"/>
    <n v="300"/>
    <n v="1200"/>
    <n v="0"/>
    <n v="0"/>
    <n v="1200"/>
    <n v="240"/>
    <n v="240"/>
    <n v="0.2"/>
    <x v="0"/>
    <x v="1"/>
    <x v="2"/>
    <x v="9"/>
    <s v="CUST1216"/>
    <x v="1"/>
  </r>
  <r>
    <n v="301"/>
    <x v="300"/>
    <x v="0"/>
    <x v="0"/>
    <x v="3"/>
    <n v="5"/>
    <n v="1500"/>
    <n v="7500"/>
    <n v="0.05"/>
    <n v="375"/>
    <n v="7125"/>
    <n v="1080"/>
    <n v="1725"/>
    <n v="0.24210526315789474"/>
    <x v="0"/>
    <x v="1"/>
    <x v="1"/>
    <x v="5"/>
    <s v="CUST1203"/>
    <x v="2"/>
  </r>
  <r>
    <n v="302"/>
    <x v="301"/>
    <x v="0"/>
    <x v="1"/>
    <x v="1"/>
    <n v="6"/>
    <n v="2100"/>
    <n v="12600"/>
    <n v="0"/>
    <n v="0"/>
    <n v="12600"/>
    <n v="1360"/>
    <n v="4440"/>
    <n v="0.35238095238095241"/>
    <x v="3"/>
    <x v="1"/>
    <x v="1"/>
    <x v="7"/>
    <s v="CUST1174"/>
    <x v="3"/>
  </r>
  <r>
    <n v="303"/>
    <x v="302"/>
    <x v="0"/>
    <x v="2"/>
    <x v="2"/>
    <n v="5"/>
    <n v="1200"/>
    <n v="6000"/>
    <n v="0.05"/>
    <n v="300"/>
    <n v="5700"/>
    <n v="960"/>
    <n v="900"/>
    <n v="0.15789473684210525"/>
    <x v="4"/>
    <x v="1"/>
    <x v="0"/>
    <x v="5"/>
    <s v="CUST1056"/>
    <x v="2"/>
  </r>
  <r>
    <n v="304"/>
    <x v="303"/>
    <x v="0"/>
    <x v="3"/>
    <x v="3"/>
    <n v="4"/>
    <n v="1500"/>
    <n v="6000"/>
    <n v="0.1"/>
    <n v="600"/>
    <n v="5400"/>
    <n v="1060"/>
    <n v="1160"/>
    <n v="0.21481481481481482"/>
    <x v="0"/>
    <x v="1"/>
    <x v="3"/>
    <x v="1"/>
    <s v="CUST1197"/>
    <x v="1"/>
  </r>
  <r>
    <n v="305"/>
    <x v="304"/>
    <x v="1"/>
    <x v="1"/>
    <x v="4"/>
    <n v="3"/>
    <n v="300"/>
    <n v="900"/>
    <n v="0"/>
    <n v="0"/>
    <n v="900"/>
    <n v="240"/>
    <n v="180"/>
    <n v="0.2"/>
    <x v="2"/>
    <x v="3"/>
    <x v="0"/>
    <x v="5"/>
    <s v="CUST1213"/>
    <x v="1"/>
  </r>
  <r>
    <n v="306"/>
    <x v="305"/>
    <x v="1"/>
    <x v="0"/>
    <x v="5"/>
    <n v="2"/>
    <n v="190"/>
    <n v="380"/>
    <n v="0.1"/>
    <n v="38"/>
    <n v="342"/>
    <n v="120"/>
    <n v="102"/>
    <n v="0.2982456140350877"/>
    <x v="3"/>
    <x v="1"/>
    <x v="3"/>
    <x v="4"/>
    <s v="CUST1025"/>
    <x v="2"/>
  </r>
  <r>
    <n v="307"/>
    <x v="306"/>
    <x v="1"/>
    <x v="2"/>
    <x v="5"/>
    <n v="2"/>
    <n v="190"/>
    <n v="380"/>
    <n v="0.05"/>
    <n v="19"/>
    <n v="361"/>
    <n v="130"/>
    <n v="101"/>
    <n v="0.27977839335180055"/>
    <x v="2"/>
    <x v="1"/>
    <x v="0"/>
    <x v="9"/>
    <s v="CUST1028"/>
    <x v="1"/>
  </r>
  <r>
    <n v="308"/>
    <x v="307"/>
    <x v="1"/>
    <x v="3"/>
    <x v="5"/>
    <n v="2"/>
    <n v="190"/>
    <n v="380"/>
    <n v="0.05"/>
    <n v="19"/>
    <n v="361"/>
    <n v="150"/>
    <n v="61"/>
    <n v="0.16897506925207756"/>
    <x v="0"/>
    <x v="1"/>
    <x v="2"/>
    <x v="3"/>
    <s v="CUST1016"/>
    <x v="0"/>
  </r>
  <r>
    <n v="309"/>
    <x v="308"/>
    <x v="1"/>
    <x v="1"/>
    <x v="5"/>
    <n v="2"/>
    <n v="190"/>
    <n v="380"/>
    <n v="0"/>
    <n v="0"/>
    <n v="380"/>
    <n v="140"/>
    <n v="100"/>
    <n v="0.26315789473684209"/>
    <x v="2"/>
    <x v="3"/>
    <x v="3"/>
    <x v="7"/>
    <s v="CUST1186"/>
    <x v="2"/>
  </r>
  <r>
    <n v="310"/>
    <x v="309"/>
    <x v="1"/>
    <x v="0"/>
    <x v="5"/>
    <n v="2"/>
    <n v="190"/>
    <n v="380"/>
    <n v="0"/>
    <n v="0"/>
    <n v="380"/>
    <n v="120"/>
    <n v="140"/>
    <n v="0.36842105263157893"/>
    <x v="0"/>
    <x v="1"/>
    <x v="3"/>
    <x v="5"/>
    <s v="CUST1184"/>
    <x v="0"/>
  </r>
  <r>
    <n v="311"/>
    <x v="310"/>
    <x v="1"/>
    <x v="2"/>
    <x v="5"/>
    <n v="2"/>
    <n v="190"/>
    <n v="380"/>
    <n v="0.05"/>
    <n v="19"/>
    <n v="361"/>
    <n v="120"/>
    <n v="121"/>
    <n v="0.33518005540166207"/>
    <x v="1"/>
    <x v="3"/>
    <x v="0"/>
    <x v="8"/>
    <s v="CUST1025"/>
    <x v="2"/>
  </r>
  <r>
    <n v="312"/>
    <x v="311"/>
    <x v="1"/>
    <x v="3"/>
    <x v="5"/>
    <n v="2"/>
    <n v="190"/>
    <n v="380"/>
    <n v="0.15"/>
    <n v="57"/>
    <n v="323"/>
    <n v="150"/>
    <n v="23"/>
    <n v="7.1207430340557279E-2"/>
    <x v="3"/>
    <x v="1"/>
    <x v="2"/>
    <x v="8"/>
    <s v="CUST1026"/>
    <x v="2"/>
  </r>
  <r>
    <n v="313"/>
    <x v="312"/>
    <x v="2"/>
    <x v="3"/>
    <x v="5"/>
    <n v="2"/>
    <n v="190"/>
    <n v="380"/>
    <n v="0"/>
    <n v="0"/>
    <n v="380"/>
    <n v="120"/>
    <n v="140"/>
    <n v="0.36842105263157893"/>
    <x v="4"/>
    <x v="1"/>
    <x v="2"/>
    <x v="4"/>
    <s v="CUST1179"/>
    <x v="2"/>
  </r>
  <r>
    <n v="314"/>
    <x v="313"/>
    <x v="3"/>
    <x v="3"/>
    <x v="5"/>
    <n v="2"/>
    <n v="190"/>
    <n v="380"/>
    <n v="0.15"/>
    <n v="57"/>
    <n v="323"/>
    <n v="110"/>
    <n v="103"/>
    <n v="0.31888544891640869"/>
    <x v="1"/>
    <x v="1"/>
    <x v="3"/>
    <x v="2"/>
    <s v="CUST1127"/>
    <x v="1"/>
  </r>
  <r>
    <n v="315"/>
    <x v="314"/>
    <x v="4"/>
    <x v="3"/>
    <x v="5"/>
    <n v="2"/>
    <n v="190"/>
    <n v="380"/>
    <n v="0"/>
    <n v="0"/>
    <n v="380"/>
    <n v="110"/>
    <n v="160"/>
    <n v="0.42105263157894735"/>
    <x v="0"/>
    <x v="1"/>
    <x v="2"/>
    <x v="6"/>
    <s v="CUST1245"/>
    <x v="2"/>
  </r>
  <r>
    <n v="316"/>
    <x v="315"/>
    <x v="5"/>
    <x v="3"/>
    <x v="5"/>
    <n v="2"/>
    <n v="190"/>
    <n v="380"/>
    <n v="0.15"/>
    <n v="57"/>
    <n v="323"/>
    <n v="130"/>
    <n v="63"/>
    <n v="0.19504643962848298"/>
    <x v="0"/>
    <x v="1"/>
    <x v="1"/>
    <x v="5"/>
    <s v="CUST1074"/>
    <x v="2"/>
  </r>
  <r>
    <n v="317"/>
    <x v="316"/>
    <x v="5"/>
    <x v="0"/>
    <x v="5"/>
    <n v="2"/>
    <n v="190"/>
    <n v="380"/>
    <n v="0"/>
    <n v="0"/>
    <n v="380"/>
    <n v="150"/>
    <n v="80"/>
    <n v="0.21052631578947367"/>
    <x v="4"/>
    <x v="1"/>
    <x v="0"/>
    <x v="3"/>
    <s v="CUST1281"/>
    <x v="1"/>
  </r>
  <r>
    <n v="318"/>
    <x v="317"/>
    <x v="5"/>
    <x v="1"/>
    <x v="5"/>
    <n v="3"/>
    <n v="190"/>
    <n v="570"/>
    <n v="0.02"/>
    <n v="11.4"/>
    <n v="558.6"/>
    <n v="120"/>
    <n v="198.60000000000002"/>
    <n v="0.35553168635875404"/>
    <x v="2"/>
    <x v="1"/>
    <x v="1"/>
    <x v="8"/>
    <s v="CUST1165"/>
    <x v="0"/>
  </r>
  <r>
    <n v="319"/>
    <x v="318"/>
    <x v="5"/>
    <x v="2"/>
    <x v="0"/>
    <n v="2"/>
    <n v="210"/>
    <n v="420"/>
    <n v="0"/>
    <n v="0"/>
    <n v="420"/>
    <n v="130"/>
    <n v="160"/>
    <n v="0.38095238095238093"/>
    <x v="4"/>
    <x v="1"/>
    <x v="0"/>
    <x v="3"/>
    <s v="CUST1083"/>
    <x v="1"/>
  </r>
  <r>
    <n v="320"/>
    <x v="319"/>
    <x v="5"/>
    <x v="3"/>
    <x v="0"/>
    <n v="2"/>
    <n v="210"/>
    <n v="420"/>
    <n v="0.15"/>
    <n v="63"/>
    <n v="357"/>
    <n v="150"/>
    <n v="57"/>
    <n v="0.15966386554621848"/>
    <x v="4"/>
    <x v="1"/>
    <x v="3"/>
    <x v="1"/>
    <s v="CUST1238"/>
    <x v="3"/>
  </r>
  <r>
    <n v="321"/>
    <x v="320"/>
    <x v="5"/>
    <x v="0"/>
    <x v="0"/>
    <n v="2"/>
    <n v="210"/>
    <n v="420"/>
    <n v="0.1"/>
    <n v="42"/>
    <n v="378"/>
    <n v="140"/>
    <n v="98"/>
    <n v="0.25925925925925924"/>
    <x v="0"/>
    <x v="1"/>
    <x v="3"/>
    <x v="6"/>
    <s v="CUST1110"/>
    <x v="2"/>
  </r>
  <r>
    <n v="322"/>
    <x v="321"/>
    <x v="5"/>
    <x v="1"/>
    <x v="0"/>
    <n v="2"/>
    <n v="210"/>
    <n v="420"/>
    <n v="0"/>
    <n v="0"/>
    <n v="420"/>
    <n v="130"/>
    <n v="160"/>
    <n v="0.38095238095238093"/>
    <x v="0"/>
    <x v="1"/>
    <x v="0"/>
    <x v="7"/>
    <s v="CUST1296"/>
    <x v="0"/>
  </r>
  <r>
    <n v="323"/>
    <x v="322"/>
    <x v="5"/>
    <x v="2"/>
    <x v="0"/>
    <n v="2"/>
    <n v="210"/>
    <n v="420"/>
    <n v="0.02"/>
    <n v="8.4"/>
    <n v="411.6"/>
    <n v="150"/>
    <n v="111.60000000000002"/>
    <n v="0.2711370262390671"/>
    <x v="1"/>
    <x v="1"/>
    <x v="1"/>
    <x v="4"/>
    <s v="CUST1103"/>
    <x v="1"/>
  </r>
  <r>
    <n v="324"/>
    <x v="323"/>
    <x v="5"/>
    <x v="3"/>
    <x v="0"/>
    <n v="2"/>
    <n v="210"/>
    <n v="420"/>
    <n v="0"/>
    <n v="0"/>
    <n v="420"/>
    <n v="160"/>
    <n v="100"/>
    <n v="0.23809523809523808"/>
    <x v="2"/>
    <x v="1"/>
    <x v="1"/>
    <x v="8"/>
    <s v="CUST1017"/>
    <x v="1"/>
  </r>
  <r>
    <n v="325"/>
    <x v="324"/>
    <x v="0"/>
    <x v="0"/>
    <x v="0"/>
    <n v="2"/>
    <n v="210"/>
    <n v="420"/>
    <n v="0.05"/>
    <n v="21"/>
    <n v="399"/>
    <n v="130"/>
    <n v="139"/>
    <n v="0.34837092731829572"/>
    <x v="3"/>
    <x v="1"/>
    <x v="3"/>
    <x v="8"/>
    <s v="CUST1007"/>
    <x v="3"/>
  </r>
  <r>
    <n v="326"/>
    <x v="325"/>
    <x v="1"/>
    <x v="1"/>
    <x v="0"/>
    <n v="2"/>
    <n v="210"/>
    <n v="420"/>
    <n v="0"/>
    <n v="0"/>
    <n v="420"/>
    <n v="170"/>
    <n v="80"/>
    <n v="0.19047619047619047"/>
    <x v="2"/>
    <x v="1"/>
    <x v="0"/>
    <x v="3"/>
    <s v="CUST1199"/>
    <x v="0"/>
  </r>
  <r>
    <n v="327"/>
    <x v="326"/>
    <x v="2"/>
    <x v="0"/>
    <x v="0"/>
    <n v="2"/>
    <n v="210"/>
    <n v="420"/>
    <n v="0.05"/>
    <n v="21"/>
    <n v="399"/>
    <n v="120"/>
    <n v="159"/>
    <n v="0.39849624060150374"/>
    <x v="1"/>
    <x v="1"/>
    <x v="3"/>
    <x v="9"/>
    <s v="CUST1195"/>
    <x v="2"/>
  </r>
  <r>
    <n v="328"/>
    <x v="327"/>
    <x v="3"/>
    <x v="1"/>
    <x v="0"/>
    <n v="2"/>
    <n v="210"/>
    <n v="420"/>
    <n v="0.02"/>
    <n v="8.4"/>
    <n v="411.6"/>
    <n v="170"/>
    <n v="71.600000000000023"/>
    <n v="0.17395529640427604"/>
    <x v="3"/>
    <x v="1"/>
    <x v="1"/>
    <x v="0"/>
    <s v="CUST1030"/>
    <x v="0"/>
  </r>
  <r>
    <n v="329"/>
    <x v="328"/>
    <x v="4"/>
    <x v="0"/>
    <x v="0"/>
    <n v="2"/>
    <n v="210"/>
    <n v="420"/>
    <n v="0"/>
    <n v="0"/>
    <n v="420"/>
    <n v="150"/>
    <n v="120"/>
    <n v="0.2857142857142857"/>
    <x v="4"/>
    <x v="1"/>
    <x v="1"/>
    <x v="4"/>
    <s v="CUST1053"/>
    <x v="1"/>
  </r>
  <r>
    <n v="330"/>
    <x v="329"/>
    <x v="5"/>
    <x v="0"/>
    <x v="0"/>
    <n v="2"/>
    <n v="210"/>
    <n v="420"/>
    <n v="0"/>
    <n v="0"/>
    <n v="420"/>
    <n v="160"/>
    <n v="100"/>
    <n v="0.23809523809523808"/>
    <x v="1"/>
    <x v="1"/>
    <x v="0"/>
    <x v="0"/>
    <s v="CUST1272"/>
    <x v="1"/>
  </r>
  <r>
    <n v="331"/>
    <x v="330"/>
    <x v="0"/>
    <x v="0"/>
    <x v="5"/>
    <n v="2"/>
    <n v="190"/>
    <n v="380"/>
    <n v="0.05"/>
    <n v="19"/>
    <n v="361"/>
    <n v="150"/>
    <n v="61"/>
    <n v="0.16897506925207756"/>
    <x v="0"/>
    <x v="1"/>
    <x v="3"/>
    <x v="2"/>
    <s v="CUST1121"/>
    <x v="2"/>
  </r>
  <r>
    <n v="332"/>
    <x v="331"/>
    <x v="1"/>
    <x v="1"/>
    <x v="0"/>
    <n v="7"/>
    <n v="210"/>
    <n v="1470"/>
    <n v="0"/>
    <n v="0"/>
    <n v="1470"/>
    <n v="140"/>
    <n v="490"/>
    <n v="0.33333333333333331"/>
    <x v="0"/>
    <x v="1"/>
    <x v="1"/>
    <x v="7"/>
    <s v="CUST1091"/>
    <x v="1"/>
  </r>
  <r>
    <n v="333"/>
    <x v="332"/>
    <x v="2"/>
    <x v="1"/>
    <x v="1"/>
    <n v="6"/>
    <n v="2100"/>
    <n v="12600"/>
    <n v="0"/>
    <n v="0"/>
    <n v="12600"/>
    <n v="1300"/>
    <n v="4800"/>
    <n v="0.38095238095238093"/>
    <x v="1"/>
    <x v="0"/>
    <x v="2"/>
    <x v="5"/>
    <s v="CUST1149"/>
    <x v="2"/>
  </r>
  <r>
    <n v="334"/>
    <x v="333"/>
    <x v="3"/>
    <x v="0"/>
    <x v="2"/>
    <n v="5"/>
    <n v="1200"/>
    <n v="6000"/>
    <n v="0.05"/>
    <n v="300"/>
    <n v="5700"/>
    <n v="960"/>
    <n v="900"/>
    <n v="0.15789473684210525"/>
    <x v="0"/>
    <x v="1"/>
    <x v="1"/>
    <x v="6"/>
    <s v="CUST1080"/>
    <x v="0"/>
  </r>
  <r>
    <n v="335"/>
    <x v="334"/>
    <x v="4"/>
    <x v="0"/>
    <x v="3"/>
    <n v="4"/>
    <n v="1500"/>
    <n v="6000"/>
    <n v="0"/>
    <n v="0"/>
    <n v="6000"/>
    <n v="1050"/>
    <n v="1800"/>
    <n v="0.3"/>
    <x v="4"/>
    <x v="1"/>
    <x v="2"/>
    <x v="4"/>
    <s v="CUST1152"/>
    <x v="1"/>
  </r>
  <r>
    <n v="336"/>
    <x v="335"/>
    <x v="5"/>
    <x v="1"/>
    <x v="3"/>
    <n v="4"/>
    <n v="1500"/>
    <n v="6000"/>
    <n v="0"/>
    <n v="0"/>
    <n v="6000"/>
    <n v="1080"/>
    <n v="1680"/>
    <n v="0.28000000000000003"/>
    <x v="0"/>
    <x v="1"/>
    <x v="3"/>
    <x v="0"/>
    <s v="CUST1263"/>
    <x v="0"/>
  </r>
  <r>
    <n v="337"/>
    <x v="336"/>
    <x v="5"/>
    <x v="0"/>
    <x v="3"/>
    <n v="4"/>
    <n v="1500"/>
    <n v="6000"/>
    <n v="0"/>
    <n v="0"/>
    <n v="6000"/>
    <n v="1070"/>
    <n v="1720"/>
    <n v="0.28666666666666668"/>
    <x v="0"/>
    <x v="1"/>
    <x v="3"/>
    <x v="8"/>
    <s v="CUST1096"/>
    <x v="2"/>
  </r>
  <r>
    <n v="338"/>
    <x v="337"/>
    <x v="0"/>
    <x v="0"/>
    <x v="3"/>
    <n v="4"/>
    <n v="1500"/>
    <n v="6000"/>
    <n v="0"/>
    <n v="0"/>
    <n v="6000"/>
    <n v="1030"/>
    <n v="1880"/>
    <n v="0.31333333333333335"/>
    <x v="4"/>
    <x v="1"/>
    <x v="3"/>
    <x v="8"/>
    <s v="CUST1203"/>
    <x v="1"/>
  </r>
  <r>
    <n v="339"/>
    <x v="338"/>
    <x v="1"/>
    <x v="0"/>
    <x v="3"/>
    <n v="4"/>
    <n v="1500"/>
    <n v="6000"/>
    <n v="0.05"/>
    <n v="300"/>
    <n v="5700"/>
    <n v="1200"/>
    <n v="900"/>
    <n v="0.15789473684210525"/>
    <x v="4"/>
    <x v="1"/>
    <x v="1"/>
    <x v="2"/>
    <s v="CUST1214"/>
    <x v="0"/>
  </r>
  <r>
    <n v="340"/>
    <x v="339"/>
    <x v="2"/>
    <x v="0"/>
    <x v="3"/>
    <n v="4"/>
    <n v="1500"/>
    <n v="6000"/>
    <n v="0"/>
    <n v="0"/>
    <n v="6000"/>
    <n v="1180"/>
    <n v="1280"/>
    <n v="0.21333333333333335"/>
    <x v="1"/>
    <x v="1"/>
    <x v="0"/>
    <x v="2"/>
    <s v="CUST1119"/>
    <x v="3"/>
  </r>
  <r>
    <n v="341"/>
    <x v="340"/>
    <x v="3"/>
    <x v="0"/>
    <x v="3"/>
    <n v="4"/>
    <n v="1500"/>
    <n v="6000"/>
    <n v="0"/>
    <n v="0"/>
    <n v="6000"/>
    <n v="1180"/>
    <n v="1280"/>
    <n v="0.21333333333333335"/>
    <x v="1"/>
    <x v="1"/>
    <x v="1"/>
    <x v="1"/>
    <s v="CUST1112"/>
    <x v="2"/>
  </r>
  <r>
    <n v="342"/>
    <x v="341"/>
    <x v="4"/>
    <x v="0"/>
    <x v="3"/>
    <n v="4"/>
    <n v="1500"/>
    <n v="6000"/>
    <n v="0.15"/>
    <n v="900"/>
    <n v="5100"/>
    <n v="960"/>
    <n v="1260"/>
    <n v="0.24705882352941178"/>
    <x v="3"/>
    <x v="1"/>
    <x v="0"/>
    <x v="8"/>
    <s v="CUST1266"/>
    <x v="0"/>
  </r>
  <r>
    <n v="343"/>
    <x v="342"/>
    <x v="5"/>
    <x v="0"/>
    <x v="3"/>
    <n v="4"/>
    <n v="1500"/>
    <n v="6000"/>
    <n v="0.05"/>
    <n v="300"/>
    <n v="5700"/>
    <n v="960"/>
    <n v="1860"/>
    <n v="0.32631578947368423"/>
    <x v="1"/>
    <x v="1"/>
    <x v="1"/>
    <x v="5"/>
    <s v="CUST1034"/>
    <x v="3"/>
  </r>
  <r>
    <n v="344"/>
    <x v="343"/>
    <x v="0"/>
    <x v="0"/>
    <x v="0"/>
    <n v="2"/>
    <n v="210"/>
    <n v="420"/>
    <n v="0.05"/>
    <n v="21"/>
    <n v="399"/>
    <n v="140"/>
    <n v="119"/>
    <n v="0.2982456140350877"/>
    <x v="0"/>
    <x v="1"/>
    <x v="2"/>
    <x v="3"/>
    <s v="CUST1168"/>
    <x v="3"/>
  </r>
  <r>
    <n v="345"/>
    <x v="344"/>
    <x v="1"/>
    <x v="1"/>
    <x v="2"/>
    <n v="7"/>
    <n v="2100"/>
    <n v="14700"/>
    <n v="0"/>
    <n v="0"/>
    <n v="14700"/>
    <n v="1320"/>
    <n v="5460"/>
    <n v="0.37142857142857144"/>
    <x v="4"/>
    <x v="1"/>
    <x v="2"/>
    <x v="0"/>
    <s v="CUST1109"/>
    <x v="1"/>
  </r>
  <r>
    <n v="346"/>
    <x v="345"/>
    <x v="2"/>
    <x v="0"/>
    <x v="3"/>
    <n v="6"/>
    <n v="1200"/>
    <n v="7200"/>
    <n v="0.15"/>
    <n v="1080"/>
    <n v="6120"/>
    <n v="800"/>
    <n v="1320"/>
    <n v="0.21568627450980393"/>
    <x v="4"/>
    <x v="1"/>
    <x v="2"/>
    <x v="5"/>
    <s v="CUST1053"/>
    <x v="0"/>
  </r>
  <r>
    <n v="347"/>
    <x v="346"/>
    <x v="3"/>
    <x v="1"/>
    <x v="4"/>
    <n v="5"/>
    <n v="300"/>
    <n v="1500"/>
    <n v="0.15"/>
    <n v="225"/>
    <n v="1275"/>
    <n v="200"/>
    <n v="275"/>
    <n v="0.21568627450980393"/>
    <x v="2"/>
    <x v="1"/>
    <x v="2"/>
    <x v="7"/>
    <s v="CUST1188"/>
    <x v="0"/>
  </r>
  <r>
    <n v="348"/>
    <x v="347"/>
    <x v="4"/>
    <x v="0"/>
    <x v="5"/>
    <n v="4"/>
    <n v="200"/>
    <n v="800"/>
    <n v="0"/>
    <n v="0"/>
    <n v="800"/>
    <n v="120"/>
    <n v="320"/>
    <n v="0.4"/>
    <x v="4"/>
    <x v="1"/>
    <x v="3"/>
    <x v="9"/>
    <s v="CUST1239"/>
    <x v="2"/>
  </r>
  <r>
    <n v="349"/>
    <x v="348"/>
    <x v="5"/>
    <x v="0"/>
    <x v="0"/>
    <n v="3"/>
    <n v="190"/>
    <n v="570"/>
    <n v="0"/>
    <n v="0"/>
    <n v="570"/>
    <n v="150"/>
    <n v="120"/>
    <n v="0.21052631578947367"/>
    <x v="4"/>
    <x v="1"/>
    <x v="0"/>
    <x v="6"/>
    <s v="CUST1118"/>
    <x v="2"/>
  </r>
  <r>
    <n v="350"/>
    <x v="349"/>
    <x v="5"/>
    <x v="0"/>
    <x v="1"/>
    <n v="2"/>
    <n v="2100"/>
    <n v="4200"/>
    <n v="0"/>
    <n v="0"/>
    <n v="4200"/>
    <n v="1310"/>
    <n v="1580"/>
    <n v="0.37619047619047619"/>
    <x v="3"/>
    <x v="1"/>
    <x v="3"/>
    <x v="5"/>
    <s v="CUST1225"/>
    <x v="1"/>
  </r>
  <r>
    <n v="351"/>
    <x v="350"/>
    <x v="0"/>
    <x v="0"/>
    <x v="0"/>
    <n v="7"/>
    <n v="210"/>
    <n v="1470"/>
    <n v="0.15"/>
    <n v="220.5"/>
    <n v="1249.5"/>
    <n v="150"/>
    <n v="199.5"/>
    <n v="0.15966386554621848"/>
    <x v="1"/>
    <x v="1"/>
    <x v="3"/>
    <x v="2"/>
    <s v="CUST1209"/>
    <x v="2"/>
  </r>
  <r>
    <n v="352"/>
    <x v="351"/>
    <x v="0"/>
    <x v="1"/>
    <x v="1"/>
    <n v="6"/>
    <n v="2100"/>
    <n v="12600"/>
    <n v="0.02"/>
    <n v="252"/>
    <n v="12348"/>
    <n v="1400"/>
    <n v="3948"/>
    <n v="0.31972789115646261"/>
    <x v="3"/>
    <x v="1"/>
    <x v="1"/>
    <x v="7"/>
    <s v="CUST1278"/>
    <x v="1"/>
  </r>
  <r>
    <n v="353"/>
    <x v="352"/>
    <x v="0"/>
    <x v="2"/>
    <x v="2"/>
    <n v="5"/>
    <n v="1200"/>
    <n v="6000"/>
    <n v="0.05"/>
    <n v="300"/>
    <n v="5700"/>
    <n v="700"/>
    <n v="2200"/>
    <n v="0.38596491228070173"/>
    <x v="2"/>
    <x v="3"/>
    <x v="0"/>
    <x v="8"/>
    <s v="CUST1036"/>
    <x v="2"/>
  </r>
  <r>
    <n v="354"/>
    <x v="353"/>
    <x v="0"/>
    <x v="3"/>
    <x v="3"/>
    <n v="4"/>
    <n v="1500"/>
    <n v="6000"/>
    <n v="0"/>
    <n v="0"/>
    <n v="6000"/>
    <n v="1070"/>
    <n v="1720"/>
    <n v="0.28666666666666668"/>
    <x v="1"/>
    <x v="1"/>
    <x v="3"/>
    <x v="3"/>
    <s v="CUST1289"/>
    <x v="0"/>
  </r>
  <r>
    <n v="355"/>
    <x v="354"/>
    <x v="0"/>
    <x v="0"/>
    <x v="4"/>
    <n v="3"/>
    <n v="300"/>
    <n v="900"/>
    <n v="0"/>
    <n v="0"/>
    <n v="900"/>
    <n v="190"/>
    <n v="330"/>
    <n v="0.36666666666666664"/>
    <x v="2"/>
    <x v="1"/>
    <x v="0"/>
    <x v="5"/>
    <s v="CUST1116"/>
    <x v="2"/>
  </r>
  <r>
    <n v="356"/>
    <x v="355"/>
    <x v="0"/>
    <x v="1"/>
    <x v="5"/>
    <n v="2"/>
    <n v="190"/>
    <n v="380"/>
    <n v="0"/>
    <n v="0"/>
    <n v="380"/>
    <n v="150"/>
    <n v="80"/>
    <n v="0.21052631578947367"/>
    <x v="1"/>
    <x v="1"/>
    <x v="1"/>
    <x v="4"/>
    <s v="CUST1220"/>
    <x v="1"/>
  </r>
  <r>
    <n v="357"/>
    <x v="356"/>
    <x v="0"/>
    <x v="2"/>
    <x v="0"/>
    <n v="7"/>
    <n v="210"/>
    <n v="1470"/>
    <n v="0"/>
    <n v="0"/>
    <n v="1470"/>
    <n v="170"/>
    <n v="280"/>
    <n v="0.19047619047619047"/>
    <x v="1"/>
    <x v="1"/>
    <x v="2"/>
    <x v="2"/>
    <s v="CUST1135"/>
    <x v="3"/>
  </r>
  <r>
    <n v="358"/>
    <x v="357"/>
    <x v="0"/>
    <x v="3"/>
    <x v="1"/>
    <n v="6"/>
    <n v="2100"/>
    <n v="12600"/>
    <n v="0"/>
    <n v="0"/>
    <n v="12600"/>
    <n v="1430"/>
    <n v="4020"/>
    <n v="0.31904761904761902"/>
    <x v="4"/>
    <x v="1"/>
    <x v="0"/>
    <x v="1"/>
    <s v="CUST1027"/>
    <x v="1"/>
  </r>
  <r>
    <n v="359"/>
    <x v="358"/>
    <x v="1"/>
    <x v="1"/>
    <x v="1"/>
    <n v="6"/>
    <n v="2100"/>
    <n v="12600"/>
    <n v="0"/>
    <n v="0"/>
    <n v="12600"/>
    <n v="1630"/>
    <n v="2820"/>
    <n v="0.22380952380952382"/>
    <x v="4"/>
    <x v="1"/>
    <x v="0"/>
    <x v="5"/>
    <s v="CUST1119"/>
    <x v="3"/>
  </r>
  <r>
    <n v="360"/>
    <x v="359"/>
    <x v="1"/>
    <x v="0"/>
    <x v="1"/>
    <n v="6"/>
    <n v="2100"/>
    <n v="12600"/>
    <n v="0.02"/>
    <n v="252"/>
    <n v="12348"/>
    <n v="1480"/>
    <n v="3468"/>
    <n v="0.28085519922254615"/>
    <x v="4"/>
    <x v="1"/>
    <x v="3"/>
    <x v="0"/>
    <s v="CUST1188"/>
    <x v="3"/>
  </r>
  <r>
    <n v="361"/>
    <x v="360"/>
    <x v="1"/>
    <x v="2"/>
    <x v="1"/>
    <n v="6"/>
    <n v="2100"/>
    <n v="12600"/>
    <n v="0"/>
    <n v="0"/>
    <n v="12600"/>
    <n v="1650"/>
    <n v="2700"/>
    <n v="0.21428571428571427"/>
    <x v="2"/>
    <x v="2"/>
    <x v="3"/>
    <x v="2"/>
    <s v="CUST1031"/>
    <x v="1"/>
  </r>
  <r>
    <n v="362"/>
    <x v="361"/>
    <x v="1"/>
    <x v="3"/>
    <x v="1"/>
    <n v="6"/>
    <n v="2100"/>
    <n v="12600"/>
    <n v="0.1"/>
    <n v="1260"/>
    <n v="11340"/>
    <n v="1490"/>
    <n v="2400"/>
    <n v="0.21164021164021163"/>
    <x v="3"/>
    <x v="1"/>
    <x v="3"/>
    <x v="6"/>
    <s v="CUST1143"/>
    <x v="1"/>
  </r>
  <r>
    <n v="363"/>
    <x v="362"/>
    <x v="1"/>
    <x v="1"/>
    <x v="1"/>
    <n v="6"/>
    <n v="2100"/>
    <n v="12600"/>
    <n v="0"/>
    <n v="0"/>
    <n v="12600"/>
    <n v="1470"/>
    <n v="3780"/>
    <n v="0.3"/>
    <x v="4"/>
    <x v="1"/>
    <x v="3"/>
    <x v="2"/>
    <s v="CUST1253"/>
    <x v="1"/>
  </r>
  <r>
    <n v="364"/>
    <x v="363"/>
    <x v="1"/>
    <x v="0"/>
    <x v="1"/>
    <n v="6"/>
    <n v="2100"/>
    <n v="12600"/>
    <n v="0.05"/>
    <n v="630"/>
    <n v="11970"/>
    <n v="1660"/>
    <n v="2010"/>
    <n v="0.16791979949874686"/>
    <x v="2"/>
    <x v="1"/>
    <x v="3"/>
    <x v="2"/>
    <s v="CUST1290"/>
    <x v="2"/>
  </r>
  <r>
    <n v="365"/>
    <x v="364"/>
    <x v="1"/>
    <x v="2"/>
    <x v="2"/>
    <n v="6"/>
    <n v="1200"/>
    <n v="7200"/>
    <n v="0.05"/>
    <n v="360"/>
    <n v="6840"/>
    <n v="890"/>
    <n v="1500"/>
    <n v="0.21929824561403508"/>
    <x v="2"/>
    <x v="1"/>
    <x v="1"/>
    <x v="8"/>
    <s v="CUST1135"/>
    <x v="3"/>
  </r>
  <r>
    <n v="366"/>
    <x v="365"/>
    <x v="1"/>
    <x v="3"/>
    <x v="3"/>
    <n v="5"/>
    <n v="1500"/>
    <n v="7500"/>
    <n v="0.15"/>
    <n v="1125"/>
    <n v="6375"/>
    <n v="1030"/>
    <n v="1225"/>
    <n v="0.19215686274509805"/>
    <x v="2"/>
    <x v="1"/>
    <x v="1"/>
    <x v="7"/>
    <s v="CUST1250"/>
    <x v="3"/>
  </r>
  <r>
    <n v="367"/>
    <x v="16"/>
    <x v="3"/>
    <x v="0"/>
    <x v="0"/>
    <n v="7"/>
    <n v="220"/>
    <n v="1540"/>
    <n v="0.15"/>
    <n v="231"/>
    <n v="1309"/>
    <n v="130"/>
    <n v="399"/>
    <n v="0.30481283422459893"/>
    <x v="3"/>
    <x v="1"/>
    <x v="0"/>
    <x v="6"/>
    <s v="CUST1220"/>
    <x v="1"/>
  </r>
  <r>
    <n v="368"/>
    <x v="170"/>
    <x v="2"/>
    <x v="3"/>
    <x v="1"/>
    <n v="2"/>
    <n v="2150"/>
    <n v="4300"/>
    <n v="0.05"/>
    <n v="215"/>
    <n v="4085"/>
    <n v="1350"/>
    <n v="1385"/>
    <n v="0.33904528763769892"/>
    <x v="4"/>
    <x v="1"/>
    <x v="1"/>
    <x v="6"/>
    <s v="CUST1252"/>
    <x v="3"/>
  </r>
  <r>
    <n v="369"/>
    <x v="244"/>
    <x v="0"/>
    <x v="0"/>
    <x v="2"/>
    <n v="12"/>
    <n v="1250"/>
    <n v="15000"/>
    <n v="0.02"/>
    <n v="300"/>
    <n v="14700"/>
    <n v="760"/>
    <n v="5580"/>
    <n v="0.37959183673469388"/>
    <x v="3"/>
    <x v="1"/>
    <x v="1"/>
    <x v="4"/>
    <s v="CUST1411"/>
    <x v="0"/>
  </r>
  <r>
    <n v="370"/>
    <x v="324"/>
    <x v="5"/>
    <x v="2"/>
    <x v="5"/>
    <n v="2"/>
    <n v="210"/>
    <n v="420"/>
    <n v="0.05"/>
    <n v="21"/>
    <n v="399"/>
    <n v="150"/>
    <n v="99"/>
    <n v="0.24812030075187969"/>
    <x v="0"/>
    <x v="1"/>
    <x v="1"/>
    <x v="2"/>
    <s v="CUST1314"/>
    <x v="2"/>
  </r>
  <r>
    <n v="371"/>
    <x v="212"/>
    <x v="5"/>
    <x v="0"/>
    <x v="0"/>
    <n v="12"/>
    <n v="200"/>
    <n v="2400"/>
    <n v="0.15"/>
    <n v="360"/>
    <n v="2040"/>
    <n v="140"/>
    <n v="360"/>
    <n v="0.17647058823529413"/>
    <x v="0"/>
    <x v="1"/>
    <x v="1"/>
    <x v="1"/>
    <s v="CUST1028"/>
    <x v="3"/>
  </r>
  <r>
    <n v="372"/>
    <x v="235"/>
    <x v="1"/>
    <x v="3"/>
    <x v="0"/>
    <n v="5"/>
    <n v="210"/>
    <n v="1050"/>
    <n v="0"/>
    <n v="0"/>
    <n v="1050"/>
    <n v="150"/>
    <n v="300"/>
    <n v="0.2857142857142857"/>
    <x v="1"/>
    <x v="1"/>
    <x v="1"/>
    <x v="0"/>
    <s v="CUST1250"/>
    <x v="1"/>
  </r>
  <r>
    <n v="373"/>
    <x v="291"/>
    <x v="5"/>
    <x v="0"/>
    <x v="4"/>
    <n v="12"/>
    <n v="320"/>
    <n v="3840"/>
    <n v="0.15"/>
    <n v="576"/>
    <n v="3264"/>
    <n v="250"/>
    <n v="264"/>
    <n v="8.0882352941176475E-2"/>
    <x v="1"/>
    <x v="1"/>
    <x v="2"/>
    <x v="0"/>
    <s v="CUST1405"/>
    <x v="3"/>
  </r>
  <r>
    <n v="374"/>
    <x v="280"/>
    <x v="0"/>
    <x v="1"/>
    <x v="3"/>
    <n v="9"/>
    <n v="1400"/>
    <n v="12600"/>
    <n v="0.1"/>
    <n v="1260"/>
    <n v="11340"/>
    <n v="1070"/>
    <n v="1710"/>
    <n v="0.15079365079365079"/>
    <x v="2"/>
    <x v="1"/>
    <x v="0"/>
    <x v="6"/>
    <s v="CUST1104"/>
    <x v="0"/>
  </r>
  <r>
    <n v="375"/>
    <x v="212"/>
    <x v="5"/>
    <x v="1"/>
    <x v="2"/>
    <n v="6"/>
    <n v="1170"/>
    <n v="7020"/>
    <n v="0"/>
    <n v="0"/>
    <n v="7020"/>
    <n v="700"/>
    <n v="2820"/>
    <n v="0.40170940170940173"/>
    <x v="3"/>
    <x v="1"/>
    <x v="1"/>
    <x v="0"/>
    <s v="CUST1425"/>
    <x v="0"/>
  </r>
  <r>
    <n v="376"/>
    <x v="246"/>
    <x v="5"/>
    <x v="0"/>
    <x v="1"/>
    <n v="9"/>
    <n v="2090"/>
    <n v="18810"/>
    <n v="0"/>
    <n v="0"/>
    <n v="18810"/>
    <n v="1630"/>
    <n v="4140"/>
    <n v="0.22009569377990432"/>
    <x v="3"/>
    <x v="2"/>
    <x v="1"/>
    <x v="8"/>
    <s v="CUST1397"/>
    <x v="1"/>
  </r>
  <r>
    <n v="377"/>
    <x v="292"/>
    <x v="3"/>
    <x v="0"/>
    <x v="4"/>
    <n v="5"/>
    <n v="330"/>
    <n v="1650"/>
    <n v="0"/>
    <n v="0"/>
    <n v="1650"/>
    <n v="200"/>
    <n v="650"/>
    <n v="0.39393939393939392"/>
    <x v="2"/>
    <x v="1"/>
    <x v="0"/>
    <x v="1"/>
    <s v="CUST1259"/>
    <x v="3"/>
  </r>
  <r>
    <n v="378"/>
    <x v="323"/>
    <x v="0"/>
    <x v="3"/>
    <x v="2"/>
    <n v="8"/>
    <n v="1350"/>
    <n v="10800"/>
    <n v="0.05"/>
    <n v="540"/>
    <n v="10260"/>
    <n v="820"/>
    <n v="3700"/>
    <n v="0.36062378167641324"/>
    <x v="4"/>
    <x v="1"/>
    <x v="3"/>
    <x v="3"/>
    <s v="CUST1449"/>
    <x v="1"/>
  </r>
  <r>
    <n v="379"/>
    <x v="358"/>
    <x v="5"/>
    <x v="3"/>
    <x v="0"/>
    <n v="1"/>
    <n v="200"/>
    <n v="200"/>
    <n v="0.1"/>
    <n v="20"/>
    <n v="180"/>
    <n v="120"/>
    <n v="60"/>
    <n v="0.33333333333333331"/>
    <x v="1"/>
    <x v="1"/>
    <x v="0"/>
    <x v="7"/>
    <s v="CUST1165"/>
    <x v="0"/>
  </r>
  <r>
    <n v="380"/>
    <x v="138"/>
    <x v="4"/>
    <x v="1"/>
    <x v="0"/>
    <n v="3"/>
    <n v="200"/>
    <n v="600"/>
    <n v="0"/>
    <n v="0"/>
    <n v="600"/>
    <n v="140"/>
    <n v="180"/>
    <n v="0.3"/>
    <x v="4"/>
    <x v="1"/>
    <x v="3"/>
    <x v="3"/>
    <s v="CUST1116"/>
    <x v="0"/>
  </r>
  <r>
    <n v="381"/>
    <x v="291"/>
    <x v="1"/>
    <x v="3"/>
    <x v="2"/>
    <n v="9"/>
    <n v="1110"/>
    <n v="9990"/>
    <n v="0"/>
    <n v="0"/>
    <n v="9990"/>
    <n v="670"/>
    <n v="3960"/>
    <n v="0.3963963963963964"/>
    <x v="3"/>
    <x v="2"/>
    <x v="0"/>
    <x v="8"/>
    <s v="CUST1354"/>
    <x v="2"/>
  </r>
  <r>
    <n v="382"/>
    <x v="25"/>
    <x v="5"/>
    <x v="0"/>
    <x v="0"/>
    <n v="9"/>
    <n v="180"/>
    <n v="1620"/>
    <n v="0.15"/>
    <n v="243"/>
    <n v="1377"/>
    <n v="140"/>
    <n v="117"/>
    <n v="8.4967320261437912E-2"/>
    <x v="0"/>
    <x v="1"/>
    <x v="2"/>
    <x v="0"/>
    <s v="CUST1006"/>
    <x v="2"/>
  </r>
  <r>
    <n v="383"/>
    <x v="329"/>
    <x v="0"/>
    <x v="1"/>
    <x v="5"/>
    <n v="11"/>
    <n v="210"/>
    <n v="2310"/>
    <n v="0"/>
    <n v="0"/>
    <n v="2310"/>
    <n v="160"/>
    <n v="550"/>
    <n v="0.23809523809523808"/>
    <x v="0"/>
    <x v="1"/>
    <x v="3"/>
    <x v="0"/>
    <s v="CUST1224"/>
    <x v="3"/>
  </r>
  <r>
    <n v="384"/>
    <x v="169"/>
    <x v="5"/>
    <x v="3"/>
    <x v="4"/>
    <n v="9"/>
    <n v="280"/>
    <n v="2520"/>
    <n v="0.05"/>
    <n v="126"/>
    <n v="2394"/>
    <n v="180"/>
    <n v="774"/>
    <n v="0.32330827067669171"/>
    <x v="2"/>
    <x v="1"/>
    <x v="2"/>
    <x v="0"/>
    <s v="CUST1414"/>
    <x v="1"/>
  </r>
  <r>
    <n v="385"/>
    <x v="289"/>
    <x v="1"/>
    <x v="1"/>
    <x v="3"/>
    <n v="5"/>
    <n v="1690"/>
    <n v="8450"/>
    <n v="0"/>
    <n v="0"/>
    <n v="8450"/>
    <n v="1290"/>
    <n v="2000"/>
    <n v="0.23668639053254437"/>
    <x v="3"/>
    <x v="1"/>
    <x v="3"/>
    <x v="9"/>
    <s v="CUST1112"/>
    <x v="1"/>
  </r>
  <r>
    <n v="386"/>
    <x v="274"/>
    <x v="1"/>
    <x v="3"/>
    <x v="4"/>
    <n v="4"/>
    <n v="330"/>
    <n v="1320"/>
    <n v="0.05"/>
    <n v="66"/>
    <n v="1254"/>
    <n v="230"/>
    <n v="334"/>
    <n v="0.266347687400319"/>
    <x v="1"/>
    <x v="1"/>
    <x v="3"/>
    <x v="0"/>
    <s v="CUST1476"/>
    <x v="2"/>
  </r>
  <r>
    <n v="387"/>
    <x v="330"/>
    <x v="5"/>
    <x v="0"/>
    <x v="3"/>
    <n v="12"/>
    <n v="1450"/>
    <n v="17400"/>
    <n v="0"/>
    <n v="0"/>
    <n v="17400"/>
    <n v="1190"/>
    <n v="3120"/>
    <n v="0.1793103448275862"/>
    <x v="0"/>
    <x v="1"/>
    <x v="2"/>
    <x v="2"/>
    <s v="CUST1080"/>
    <x v="1"/>
  </r>
  <r>
    <n v="388"/>
    <x v="324"/>
    <x v="5"/>
    <x v="0"/>
    <x v="4"/>
    <n v="11"/>
    <n v="310"/>
    <n v="3410"/>
    <n v="0"/>
    <n v="0"/>
    <n v="3410"/>
    <n v="250"/>
    <n v="660"/>
    <n v="0.19354838709677419"/>
    <x v="1"/>
    <x v="1"/>
    <x v="3"/>
    <x v="0"/>
    <s v="CUST1170"/>
    <x v="1"/>
  </r>
  <r>
    <n v="389"/>
    <x v="73"/>
    <x v="4"/>
    <x v="3"/>
    <x v="3"/>
    <n v="5"/>
    <n v="1640"/>
    <n v="8200"/>
    <n v="0.05"/>
    <n v="410"/>
    <n v="7790"/>
    <n v="1050"/>
    <n v="2540"/>
    <n v="0.32605905006418484"/>
    <x v="2"/>
    <x v="1"/>
    <x v="2"/>
    <x v="6"/>
    <s v="CUST1049"/>
    <x v="2"/>
  </r>
  <r>
    <n v="390"/>
    <x v="105"/>
    <x v="2"/>
    <x v="0"/>
    <x v="4"/>
    <n v="10"/>
    <n v="330"/>
    <n v="3300"/>
    <n v="0.05"/>
    <n v="165"/>
    <n v="3135"/>
    <n v="220"/>
    <n v="935"/>
    <n v="0.2982456140350877"/>
    <x v="0"/>
    <x v="1"/>
    <x v="1"/>
    <x v="1"/>
    <s v="CUST1089"/>
    <x v="2"/>
  </r>
  <r>
    <n v="391"/>
    <x v="293"/>
    <x v="4"/>
    <x v="3"/>
    <x v="5"/>
    <n v="9"/>
    <n v="180"/>
    <n v="1620"/>
    <n v="0.15"/>
    <n v="243"/>
    <n v="1377"/>
    <n v="130"/>
    <n v="207"/>
    <n v="0.15032679738562091"/>
    <x v="2"/>
    <x v="1"/>
    <x v="2"/>
    <x v="7"/>
    <s v="CUST1439"/>
    <x v="2"/>
  </r>
  <r>
    <n v="392"/>
    <x v="315"/>
    <x v="0"/>
    <x v="3"/>
    <x v="0"/>
    <n v="5"/>
    <n v="190"/>
    <n v="950"/>
    <n v="0.15"/>
    <n v="142.5"/>
    <n v="807.5"/>
    <n v="150"/>
    <n v="57.5"/>
    <n v="7.1207430340557279E-2"/>
    <x v="4"/>
    <x v="1"/>
    <x v="1"/>
    <x v="7"/>
    <s v="CUST1338"/>
    <x v="0"/>
  </r>
  <r>
    <n v="393"/>
    <x v="340"/>
    <x v="4"/>
    <x v="1"/>
    <x v="5"/>
    <n v="4"/>
    <n v="190"/>
    <n v="760"/>
    <n v="0"/>
    <n v="0"/>
    <n v="760"/>
    <n v="150"/>
    <n v="160"/>
    <n v="0.21052631578947367"/>
    <x v="4"/>
    <x v="1"/>
    <x v="1"/>
    <x v="2"/>
    <s v="CUST1418"/>
    <x v="2"/>
  </r>
  <r>
    <n v="394"/>
    <x v="156"/>
    <x v="0"/>
    <x v="0"/>
    <x v="1"/>
    <n v="4"/>
    <n v="2400"/>
    <n v="9600"/>
    <n v="0"/>
    <n v="0"/>
    <n v="9600"/>
    <n v="1410"/>
    <n v="3960"/>
    <n v="0.41249999999999998"/>
    <x v="4"/>
    <x v="1"/>
    <x v="0"/>
    <x v="3"/>
    <s v="CUST1343"/>
    <x v="1"/>
  </r>
  <r>
    <n v="395"/>
    <x v="153"/>
    <x v="0"/>
    <x v="0"/>
    <x v="0"/>
    <n v="2"/>
    <n v="230"/>
    <n v="460"/>
    <n v="0.1"/>
    <n v="46"/>
    <n v="414"/>
    <n v="180"/>
    <n v="54"/>
    <n v="0.13043478260869565"/>
    <x v="1"/>
    <x v="1"/>
    <x v="2"/>
    <x v="3"/>
    <s v="CUST1349"/>
    <x v="0"/>
  </r>
  <r>
    <n v="396"/>
    <x v="93"/>
    <x v="1"/>
    <x v="0"/>
    <x v="1"/>
    <n v="2"/>
    <n v="2190"/>
    <n v="4380"/>
    <n v="0.1"/>
    <n v="438"/>
    <n v="3942"/>
    <n v="1780"/>
    <n v="382"/>
    <n v="9.6905124302384571E-2"/>
    <x v="4"/>
    <x v="1"/>
    <x v="3"/>
    <x v="9"/>
    <s v="CUST1370"/>
    <x v="0"/>
  </r>
  <r>
    <n v="397"/>
    <x v="215"/>
    <x v="0"/>
    <x v="0"/>
    <x v="0"/>
    <n v="3"/>
    <n v="210"/>
    <n v="630"/>
    <n v="0.02"/>
    <n v="12.6"/>
    <n v="617.4"/>
    <n v="160"/>
    <n v="137.39999999999998"/>
    <n v="0.22254616132167149"/>
    <x v="1"/>
    <x v="1"/>
    <x v="1"/>
    <x v="9"/>
    <s v="CUST1359"/>
    <x v="3"/>
  </r>
  <r>
    <n v="398"/>
    <x v="60"/>
    <x v="0"/>
    <x v="3"/>
    <x v="0"/>
    <n v="8"/>
    <n v="220"/>
    <n v="1760"/>
    <n v="0"/>
    <n v="0"/>
    <n v="1760"/>
    <n v="140"/>
    <n v="640"/>
    <n v="0.36363636363636365"/>
    <x v="3"/>
    <x v="1"/>
    <x v="0"/>
    <x v="4"/>
    <s v="CUST1157"/>
    <x v="2"/>
  </r>
  <r>
    <n v="399"/>
    <x v="74"/>
    <x v="3"/>
    <x v="0"/>
    <x v="0"/>
    <n v="11"/>
    <n v="200"/>
    <n v="2200"/>
    <n v="0"/>
    <n v="0"/>
    <n v="2200"/>
    <n v="140"/>
    <n v="660"/>
    <n v="0.3"/>
    <x v="3"/>
    <x v="1"/>
    <x v="2"/>
    <x v="2"/>
    <s v="CUST1479"/>
    <x v="2"/>
  </r>
  <r>
    <n v="400"/>
    <x v="331"/>
    <x v="0"/>
    <x v="0"/>
    <x v="2"/>
    <n v="3"/>
    <n v="1110"/>
    <n v="3330"/>
    <n v="0"/>
    <n v="0"/>
    <n v="3330"/>
    <n v="810"/>
    <n v="900"/>
    <n v="0.27027027027027029"/>
    <x v="1"/>
    <x v="1"/>
    <x v="0"/>
    <x v="3"/>
    <s v="CUST1363"/>
    <x v="1"/>
  </r>
  <r>
    <n v="401"/>
    <x v="138"/>
    <x v="1"/>
    <x v="0"/>
    <x v="2"/>
    <n v="7"/>
    <n v="1290"/>
    <n v="9030"/>
    <n v="0"/>
    <n v="0"/>
    <n v="9030"/>
    <n v="940"/>
    <n v="2450"/>
    <n v="0.27131782945736432"/>
    <x v="3"/>
    <x v="1"/>
    <x v="0"/>
    <x v="8"/>
    <s v="CUST1166"/>
    <x v="1"/>
  </r>
  <r>
    <n v="402"/>
    <x v="216"/>
    <x v="5"/>
    <x v="3"/>
    <x v="3"/>
    <n v="2"/>
    <n v="1680"/>
    <n v="3360"/>
    <n v="0.05"/>
    <n v="168"/>
    <n v="3192"/>
    <n v="1060"/>
    <n v="1072"/>
    <n v="0.33583959899749372"/>
    <x v="2"/>
    <x v="1"/>
    <x v="2"/>
    <x v="7"/>
    <s v="CUST1257"/>
    <x v="0"/>
  </r>
  <r>
    <n v="403"/>
    <x v="265"/>
    <x v="5"/>
    <x v="0"/>
    <x v="1"/>
    <n v="10"/>
    <n v="2080"/>
    <n v="20800"/>
    <n v="0.1"/>
    <n v="2080"/>
    <n v="18720"/>
    <n v="1510"/>
    <n v="3620"/>
    <n v="0.19337606837606838"/>
    <x v="2"/>
    <x v="1"/>
    <x v="0"/>
    <x v="7"/>
    <s v="CUST1121"/>
    <x v="1"/>
  </r>
  <r>
    <n v="404"/>
    <x v="162"/>
    <x v="3"/>
    <x v="3"/>
    <x v="3"/>
    <n v="1"/>
    <n v="1630"/>
    <n v="1630"/>
    <n v="0.05"/>
    <n v="81.5"/>
    <n v="1548.5"/>
    <n v="1060"/>
    <n v="488.5"/>
    <n v="0.31546658056183402"/>
    <x v="1"/>
    <x v="1"/>
    <x v="0"/>
    <x v="1"/>
    <s v="CUST1430"/>
    <x v="0"/>
  </r>
  <r>
    <n v="405"/>
    <x v="196"/>
    <x v="0"/>
    <x v="3"/>
    <x v="0"/>
    <n v="2"/>
    <n v="220"/>
    <n v="440"/>
    <n v="0.1"/>
    <n v="44"/>
    <n v="396"/>
    <n v="150"/>
    <n v="96"/>
    <n v="0.24242424242424243"/>
    <x v="4"/>
    <x v="1"/>
    <x v="2"/>
    <x v="0"/>
    <s v="CUST1475"/>
    <x v="0"/>
  </r>
  <r>
    <n v="406"/>
    <x v="211"/>
    <x v="4"/>
    <x v="0"/>
    <x v="4"/>
    <n v="12"/>
    <n v="310"/>
    <n v="3720"/>
    <n v="0.1"/>
    <n v="372"/>
    <n v="3348"/>
    <n v="210"/>
    <n v="828"/>
    <n v="0.24731182795698925"/>
    <x v="4"/>
    <x v="1"/>
    <x v="2"/>
    <x v="0"/>
    <s v="CUST1258"/>
    <x v="2"/>
  </r>
  <r>
    <n v="407"/>
    <x v="28"/>
    <x v="0"/>
    <x v="0"/>
    <x v="3"/>
    <n v="8"/>
    <n v="1400"/>
    <n v="11200"/>
    <n v="0"/>
    <n v="0"/>
    <n v="11200"/>
    <n v="930"/>
    <n v="3760"/>
    <n v="0.33571428571428569"/>
    <x v="2"/>
    <x v="0"/>
    <x v="2"/>
    <x v="1"/>
    <s v="CUST1039"/>
    <x v="0"/>
  </r>
  <r>
    <n v="408"/>
    <x v="362"/>
    <x v="1"/>
    <x v="1"/>
    <x v="0"/>
    <n v="8"/>
    <n v="230"/>
    <n v="1840"/>
    <n v="0"/>
    <n v="0"/>
    <n v="1840"/>
    <n v="180"/>
    <n v="400"/>
    <n v="0.21739130434782608"/>
    <x v="4"/>
    <x v="0"/>
    <x v="0"/>
    <x v="3"/>
    <s v="CUST1438"/>
    <x v="3"/>
  </r>
  <r>
    <n v="409"/>
    <x v="297"/>
    <x v="2"/>
    <x v="1"/>
    <x v="1"/>
    <n v="2"/>
    <n v="2010"/>
    <n v="4020"/>
    <n v="0.1"/>
    <n v="402"/>
    <n v="3618"/>
    <n v="1570"/>
    <n v="478"/>
    <n v="0.13211719181868437"/>
    <x v="4"/>
    <x v="0"/>
    <x v="3"/>
    <x v="1"/>
    <s v="CUST1292"/>
    <x v="0"/>
  </r>
  <r>
    <n v="410"/>
    <x v="293"/>
    <x v="0"/>
    <x v="2"/>
    <x v="0"/>
    <n v="6"/>
    <n v="220"/>
    <n v="1320"/>
    <n v="0"/>
    <n v="0"/>
    <n v="1320"/>
    <n v="170"/>
    <n v="300"/>
    <n v="0.22727272727272727"/>
    <x v="0"/>
    <x v="2"/>
    <x v="0"/>
    <x v="0"/>
    <s v="CUST1100"/>
    <x v="2"/>
  </r>
  <r>
    <n v="411"/>
    <x v="64"/>
    <x v="1"/>
    <x v="3"/>
    <x v="1"/>
    <n v="10"/>
    <n v="2310"/>
    <n v="23100"/>
    <n v="0"/>
    <n v="0"/>
    <n v="23100"/>
    <n v="1450"/>
    <n v="8600"/>
    <n v="0.37229437229437229"/>
    <x v="1"/>
    <x v="1"/>
    <x v="3"/>
    <x v="8"/>
    <s v="CUST1090"/>
    <x v="0"/>
  </r>
  <r>
    <n v="412"/>
    <x v="122"/>
    <x v="5"/>
    <x v="2"/>
    <x v="5"/>
    <n v="7"/>
    <n v="190"/>
    <n v="1330"/>
    <n v="0"/>
    <n v="0"/>
    <n v="1330"/>
    <n v="120"/>
    <n v="490"/>
    <n v="0.36842105263157893"/>
    <x v="3"/>
    <x v="1"/>
    <x v="1"/>
    <x v="7"/>
    <s v="CUST1242"/>
    <x v="0"/>
  </r>
  <r>
    <n v="413"/>
    <x v="330"/>
    <x v="5"/>
    <x v="1"/>
    <x v="4"/>
    <n v="4"/>
    <n v="290"/>
    <n v="1160"/>
    <n v="0"/>
    <n v="0"/>
    <n v="1160"/>
    <n v="230"/>
    <n v="240"/>
    <n v="0.20689655172413793"/>
    <x v="4"/>
    <x v="1"/>
    <x v="3"/>
    <x v="0"/>
    <s v="CUST1418"/>
    <x v="3"/>
  </r>
  <r>
    <n v="414"/>
    <x v="177"/>
    <x v="0"/>
    <x v="3"/>
    <x v="5"/>
    <n v="8"/>
    <n v="180"/>
    <n v="1440"/>
    <n v="0.1"/>
    <n v="144"/>
    <n v="1296"/>
    <n v="110"/>
    <n v="416"/>
    <n v="0.32098765432098764"/>
    <x v="0"/>
    <x v="1"/>
    <x v="0"/>
    <x v="5"/>
    <s v="CUST1273"/>
    <x v="0"/>
  </r>
  <r>
    <n v="415"/>
    <x v="6"/>
    <x v="1"/>
    <x v="0"/>
    <x v="5"/>
    <n v="1"/>
    <n v="200"/>
    <n v="200"/>
    <n v="0"/>
    <n v="0"/>
    <n v="200"/>
    <n v="160"/>
    <n v="40"/>
    <n v="0.2"/>
    <x v="4"/>
    <x v="1"/>
    <x v="2"/>
    <x v="7"/>
    <s v="CUST1177"/>
    <x v="3"/>
  </r>
  <r>
    <n v="416"/>
    <x v="244"/>
    <x v="3"/>
    <x v="0"/>
    <x v="4"/>
    <n v="6"/>
    <n v="340"/>
    <n v="2040"/>
    <n v="0.02"/>
    <n v="40.800000000000004"/>
    <n v="1999.2"/>
    <n v="230"/>
    <n v="619.20000000000005"/>
    <n v="0.30972388955582236"/>
    <x v="1"/>
    <x v="1"/>
    <x v="1"/>
    <x v="0"/>
    <s v="CUST1037"/>
    <x v="1"/>
  </r>
  <r>
    <n v="417"/>
    <x v="31"/>
    <x v="5"/>
    <x v="0"/>
    <x v="1"/>
    <n v="2"/>
    <n v="2190"/>
    <n v="4380"/>
    <n v="0.02"/>
    <n v="87.600000000000009"/>
    <n v="4292.3999999999996"/>
    <n v="1420"/>
    <n v="1452.3999999999996"/>
    <n v="0.33836548317957316"/>
    <x v="4"/>
    <x v="1"/>
    <x v="1"/>
    <x v="4"/>
    <s v="CUST1195"/>
    <x v="2"/>
  </r>
  <r>
    <n v="418"/>
    <x v="246"/>
    <x v="3"/>
    <x v="0"/>
    <x v="2"/>
    <n v="3"/>
    <n v="1930"/>
    <n v="5790"/>
    <n v="0"/>
    <n v="0"/>
    <n v="5790"/>
    <n v="1290"/>
    <n v="1920"/>
    <n v="0.33160621761658032"/>
    <x v="2"/>
    <x v="1"/>
    <x v="3"/>
    <x v="1"/>
    <s v="CUST1249"/>
    <x v="0"/>
  </r>
  <r>
    <n v="419"/>
    <x v="81"/>
    <x v="1"/>
    <x v="3"/>
    <x v="3"/>
    <n v="1"/>
    <n v="1130"/>
    <n v="1130"/>
    <n v="0"/>
    <n v="0"/>
    <n v="1130"/>
    <n v="860"/>
    <n v="270"/>
    <n v="0.23893805309734514"/>
    <x v="2"/>
    <x v="1"/>
    <x v="0"/>
    <x v="0"/>
    <s v="CUST1471"/>
    <x v="3"/>
  </r>
  <r>
    <n v="420"/>
    <x v="31"/>
    <x v="3"/>
    <x v="0"/>
    <x v="1"/>
    <n v="1"/>
    <n v="2020"/>
    <n v="2020"/>
    <n v="0.05"/>
    <n v="101"/>
    <n v="1919"/>
    <n v="1240"/>
    <n v="679"/>
    <n v="0.35383011985409069"/>
    <x v="3"/>
    <x v="1"/>
    <x v="0"/>
    <x v="5"/>
    <s v="CUST1439"/>
    <x v="2"/>
  </r>
  <r>
    <n v="421"/>
    <x v="173"/>
    <x v="1"/>
    <x v="1"/>
    <x v="4"/>
    <n v="2"/>
    <n v="320"/>
    <n v="640"/>
    <n v="0"/>
    <n v="0"/>
    <n v="640"/>
    <n v="200"/>
    <n v="240"/>
    <n v="0.375"/>
    <x v="0"/>
    <x v="1"/>
    <x v="2"/>
    <x v="1"/>
    <s v="CUST1496"/>
    <x v="0"/>
  </r>
  <r>
    <n v="422"/>
    <x v="229"/>
    <x v="5"/>
    <x v="0"/>
    <x v="2"/>
    <n v="10"/>
    <n v="1100"/>
    <n v="11000"/>
    <n v="0"/>
    <n v="0"/>
    <n v="11000"/>
    <n v="670"/>
    <n v="4300"/>
    <n v="0.39090909090909093"/>
    <x v="0"/>
    <x v="1"/>
    <x v="3"/>
    <x v="6"/>
    <s v="CUST1426"/>
    <x v="0"/>
  </r>
  <r>
    <n v="423"/>
    <x v="164"/>
    <x v="2"/>
    <x v="0"/>
    <x v="4"/>
    <n v="8"/>
    <n v="280"/>
    <n v="2240"/>
    <n v="0.15"/>
    <n v="336"/>
    <n v="1904"/>
    <n v="210"/>
    <n v="224"/>
    <n v="0.11764705882352941"/>
    <x v="4"/>
    <x v="1"/>
    <x v="0"/>
    <x v="9"/>
    <s v="CUST1358"/>
    <x v="3"/>
  </r>
  <r>
    <n v="424"/>
    <x v="195"/>
    <x v="5"/>
    <x v="3"/>
    <x v="0"/>
    <n v="7"/>
    <n v="200"/>
    <n v="1400"/>
    <n v="0"/>
    <n v="0"/>
    <n v="1400"/>
    <n v="150"/>
    <n v="350"/>
    <n v="0.25"/>
    <x v="3"/>
    <x v="1"/>
    <x v="0"/>
    <x v="2"/>
    <s v="CUST1150"/>
    <x v="3"/>
  </r>
  <r>
    <n v="425"/>
    <x v="190"/>
    <x v="0"/>
    <x v="1"/>
    <x v="2"/>
    <n v="12"/>
    <n v="1110"/>
    <n v="13320"/>
    <n v="0.1"/>
    <n v="1332"/>
    <n v="11988"/>
    <n v="830"/>
    <n v="2028"/>
    <n v="0.16916916916916916"/>
    <x v="3"/>
    <x v="1"/>
    <x v="1"/>
    <x v="5"/>
    <s v="CUST1101"/>
    <x v="3"/>
  </r>
  <r>
    <n v="426"/>
    <x v="169"/>
    <x v="1"/>
    <x v="0"/>
    <x v="4"/>
    <n v="4"/>
    <n v="280"/>
    <n v="1120"/>
    <n v="0.1"/>
    <n v="112"/>
    <n v="1008"/>
    <n v="200"/>
    <n v="208"/>
    <n v="0.20634920634920634"/>
    <x v="3"/>
    <x v="1"/>
    <x v="0"/>
    <x v="2"/>
    <s v="CUST1101"/>
    <x v="0"/>
  </r>
  <r>
    <n v="427"/>
    <x v="44"/>
    <x v="3"/>
    <x v="0"/>
    <x v="1"/>
    <n v="4"/>
    <n v="1910"/>
    <n v="7640"/>
    <n v="0"/>
    <n v="0"/>
    <n v="7640"/>
    <n v="1460"/>
    <n v="1800"/>
    <n v="0.2356020942408377"/>
    <x v="1"/>
    <x v="1"/>
    <x v="2"/>
    <x v="7"/>
    <s v="CUST1042"/>
    <x v="0"/>
  </r>
  <r>
    <n v="428"/>
    <x v="45"/>
    <x v="5"/>
    <x v="3"/>
    <x v="1"/>
    <n v="1"/>
    <n v="2310"/>
    <n v="2310"/>
    <n v="0"/>
    <n v="0"/>
    <n v="2310"/>
    <n v="1560"/>
    <n v="750"/>
    <n v="0.32467532467532467"/>
    <x v="4"/>
    <x v="1"/>
    <x v="3"/>
    <x v="9"/>
    <s v="CUST1030"/>
    <x v="1"/>
  </r>
  <r>
    <n v="429"/>
    <x v="193"/>
    <x v="0"/>
    <x v="1"/>
    <x v="0"/>
    <n v="3"/>
    <n v="190"/>
    <n v="570"/>
    <n v="0.05"/>
    <n v="28.5"/>
    <n v="541.5"/>
    <n v="160"/>
    <n v="61.5"/>
    <n v="0.11357340720221606"/>
    <x v="3"/>
    <x v="1"/>
    <x v="1"/>
    <x v="7"/>
    <s v="CUST1256"/>
    <x v="1"/>
  </r>
  <r>
    <n v="430"/>
    <x v="268"/>
    <x v="0"/>
    <x v="1"/>
    <x v="0"/>
    <n v="3"/>
    <n v="210"/>
    <n v="630"/>
    <n v="0.1"/>
    <n v="63"/>
    <n v="567"/>
    <n v="170"/>
    <n v="57"/>
    <n v="0.10052910052910052"/>
    <x v="4"/>
    <x v="1"/>
    <x v="1"/>
    <x v="6"/>
    <s v="CUST1345"/>
    <x v="3"/>
  </r>
  <r>
    <n v="431"/>
    <x v="13"/>
    <x v="1"/>
    <x v="1"/>
    <x v="2"/>
    <n v="2"/>
    <n v="1270"/>
    <n v="2540"/>
    <n v="0.05"/>
    <n v="127"/>
    <n v="2413"/>
    <n v="800"/>
    <n v="813"/>
    <n v="0.33692498963945294"/>
    <x v="2"/>
    <x v="1"/>
    <x v="2"/>
    <x v="4"/>
    <s v="CUST1177"/>
    <x v="1"/>
  </r>
  <r>
    <n v="432"/>
    <x v="12"/>
    <x v="0"/>
    <x v="0"/>
    <x v="1"/>
    <n v="9"/>
    <n v="1900"/>
    <n v="17100"/>
    <n v="0.05"/>
    <n v="855"/>
    <n v="16245"/>
    <n v="1120"/>
    <n v="6165"/>
    <n v="0.37950138504155123"/>
    <x v="1"/>
    <x v="1"/>
    <x v="2"/>
    <x v="1"/>
    <s v="CUST1097"/>
    <x v="1"/>
  </r>
  <r>
    <n v="433"/>
    <x v="252"/>
    <x v="0"/>
    <x v="2"/>
    <x v="4"/>
    <n v="11"/>
    <n v="290"/>
    <n v="3190"/>
    <n v="0.15"/>
    <n v="478.5"/>
    <n v="2711.5"/>
    <n v="220"/>
    <n v="291.5"/>
    <n v="0.10750507099391481"/>
    <x v="0"/>
    <x v="1"/>
    <x v="3"/>
    <x v="8"/>
    <s v="CUST1320"/>
    <x v="1"/>
  </r>
  <r>
    <n v="434"/>
    <x v="180"/>
    <x v="3"/>
    <x v="3"/>
    <x v="1"/>
    <n v="11"/>
    <n v="2050"/>
    <n v="22550"/>
    <n v="0.1"/>
    <n v="2255"/>
    <n v="20295"/>
    <n v="1630"/>
    <n v="2365"/>
    <n v="0.11653116531165311"/>
    <x v="4"/>
    <x v="1"/>
    <x v="3"/>
    <x v="7"/>
    <s v="CUST1362"/>
    <x v="1"/>
  </r>
  <r>
    <n v="435"/>
    <x v="321"/>
    <x v="0"/>
    <x v="0"/>
    <x v="2"/>
    <n v="10"/>
    <n v="1230"/>
    <n v="12300"/>
    <n v="0.05"/>
    <n v="615"/>
    <n v="11685"/>
    <n v="920"/>
    <n v="2485"/>
    <n v="0.21266581086863501"/>
    <x v="1"/>
    <x v="1"/>
    <x v="1"/>
    <x v="8"/>
    <s v="CUST1369"/>
    <x v="0"/>
  </r>
  <r>
    <n v="436"/>
    <x v="38"/>
    <x v="2"/>
    <x v="0"/>
    <x v="3"/>
    <n v="9"/>
    <n v="1400"/>
    <n v="12600"/>
    <n v="0"/>
    <n v="0"/>
    <n v="12600"/>
    <n v="890"/>
    <n v="4590"/>
    <n v="0.36428571428571427"/>
    <x v="2"/>
    <x v="1"/>
    <x v="3"/>
    <x v="4"/>
    <s v="CUST1359"/>
    <x v="0"/>
  </r>
  <r>
    <n v="437"/>
    <x v="48"/>
    <x v="4"/>
    <x v="0"/>
    <x v="1"/>
    <n v="4"/>
    <n v="2010"/>
    <n v="8040"/>
    <n v="0"/>
    <n v="0"/>
    <n v="8040"/>
    <n v="1180"/>
    <n v="3320"/>
    <n v="0.41293532338308458"/>
    <x v="0"/>
    <x v="1"/>
    <x v="1"/>
    <x v="8"/>
    <s v="CUST1116"/>
    <x v="2"/>
  </r>
  <r>
    <n v="438"/>
    <x v="100"/>
    <x v="1"/>
    <x v="3"/>
    <x v="3"/>
    <n v="1"/>
    <n v="1360"/>
    <n v="1360"/>
    <n v="0.02"/>
    <n v="27.2"/>
    <n v="1332.8"/>
    <n v="1100"/>
    <n v="232.79999999999995"/>
    <n v="0.17466986794717884"/>
    <x v="3"/>
    <x v="1"/>
    <x v="0"/>
    <x v="4"/>
    <s v="CUST1403"/>
    <x v="2"/>
  </r>
  <r>
    <n v="439"/>
    <x v="248"/>
    <x v="5"/>
    <x v="2"/>
    <x v="5"/>
    <n v="12"/>
    <n v="200"/>
    <n v="2400"/>
    <n v="0.1"/>
    <n v="240"/>
    <n v="2160"/>
    <n v="150"/>
    <n v="360"/>
    <n v="0.16666666666666666"/>
    <x v="1"/>
    <x v="1"/>
    <x v="2"/>
    <x v="7"/>
    <s v="CUST1207"/>
    <x v="0"/>
  </r>
  <r>
    <n v="440"/>
    <x v="133"/>
    <x v="0"/>
    <x v="0"/>
    <x v="3"/>
    <n v="6"/>
    <n v="1470"/>
    <n v="8820"/>
    <n v="0.05"/>
    <n v="441"/>
    <n v="8379"/>
    <n v="880"/>
    <n v="3099"/>
    <n v="0.36985320443967062"/>
    <x v="1"/>
    <x v="1"/>
    <x v="0"/>
    <x v="5"/>
    <s v="CUST1305"/>
    <x v="1"/>
  </r>
  <r>
    <n v="441"/>
    <x v="107"/>
    <x v="0"/>
    <x v="0"/>
    <x v="1"/>
    <n v="10"/>
    <n v="2380"/>
    <n v="23800"/>
    <n v="0"/>
    <n v="0"/>
    <n v="23800"/>
    <n v="1490"/>
    <n v="8900"/>
    <n v="0.37394957983193278"/>
    <x v="3"/>
    <x v="1"/>
    <x v="0"/>
    <x v="3"/>
    <s v="CUST1473"/>
    <x v="2"/>
  </r>
  <r>
    <n v="442"/>
    <x v="124"/>
    <x v="5"/>
    <x v="0"/>
    <x v="3"/>
    <n v="10"/>
    <n v="1510"/>
    <n v="15100"/>
    <n v="0.15"/>
    <n v="2265"/>
    <n v="12835"/>
    <n v="970"/>
    <n v="3135"/>
    <n v="0.24425399298792363"/>
    <x v="1"/>
    <x v="1"/>
    <x v="3"/>
    <x v="6"/>
    <s v="CUST1169"/>
    <x v="1"/>
  </r>
  <r>
    <n v="443"/>
    <x v="145"/>
    <x v="3"/>
    <x v="0"/>
    <x v="5"/>
    <n v="8"/>
    <n v="210"/>
    <n v="1680"/>
    <n v="0.15"/>
    <n v="252"/>
    <n v="1428"/>
    <n v="150"/>
    <n v="228"/>
    <n v="0.15966386554621848"/>
    <x v="1"/>
    <x v="2"/>
    <x v="3"/>
    <x v="9"/>
    <s v="CUST1477"/>
    <x v="2"/>
  </r>
  <r>
    <n v="444"/>
    <x v="221"/>
    <x v="3"/>
    <x v="0"/>
    <x v="3"/>
    <n v="1"/>
    <n v="1390"/>
    <n v="1390"/>
    <n v="0.05"/>
    <n v="69.5"/>
    <n v="1320.5"/>
    <n v="980"/>
    <n v="340.5"/>
    <n v="0.25785687239681937"/>
    <x v="4"/>
    <x v="1"/>
    <x v="1"/>
    <x v="2"/>
    <s v="CUST1224"/>
    <x v="1"/>
  </r>
  <r>
    <n v="445"/>
    <x v="130"/>
    <x v="5"/>
    <x v="0"/>
    <x v="2"/>
    <n v="9"/>
    <n v="1120"/>
    <n v="10080"/>
    <n v="0"/>
    <n v="0"/>
    <n v="10080"/>
    <n v="900"/>
    <n v="1980"/>
    <n v="0.19642857142857142"/>
    <x v="4"/>
    <x v="1"/>
    <x v="2"/>
    <x v="0"/>
    <s v="CUST1090"/>
    <x v="1"/>
  </r>
  <r>
    <n v="446"/>
    <x v="195"/>
    <x v="0"/>
    <x v="0"/>
    <x v="5"/>
    <n v="6"/>
    <n v="170"/>
    <n v="1020"/>
    <n v="0"/>
    <n v="0"/>
    <n v="1020"/>
    <n v="120"/>
    <n v="300"/>
    <n v="0.29411764705882354"/>
    <x v="3"/>
    <x v="1"/>
    <x v="0"/>
    <x v="6"/>
    <s v="CUST1246"/>
    <x v="2"/>
  </r>
  <r>
    <n v="447"/>
    <x v="165"/>
    <x v="0"/>
    <x v="0"/>
    <x v="4"/>
    <n v="12"/>
    <n v="320"/>
    <n v="3840"/>
    <n v="0.05"/>
    <n v="192"/>
    <n v="3648"/>
    <n v="190"/>
    <n v="1368"/>
    <n v="0.375"/>
    <x v="3"/>
    <x v="1"/>
    <x v="1"/>
    <x v="1"/>
    <s v="CUST1095"/>
    <x v="0"/>
  </r>
  <r>
    <n v="448"/>
    <x v="215"/>
    <x v="5"/>
    <x v="1"/>
    <x v="0"/>
    <n v="10"/>
    <n v="240"/>
    <n v="2400"/>
    <n v="0.05"/>
    <n v="120"/>
    <n v="2280"/>
    <n v="160"/>
    <n v="680"/>
    <n v="0.2982456140350877"/>
    <x v="3"/>
    <x v="1"/>
    <x v="1"/>
    <x v="0"/>
    <s v="CUST1373"/>
    <x v="1"/>
  </r>
  <r>
    <n v="449"/>
    <x v="12"/>
    <x v="1"/>
    <x v="0"/>
    <x v="1"/>
    <n v="5"/>
    <n v="2100"/>
    <n v="10500"/>
    <n v="0.05"/>
    <n v="525"/>
    <n v="9975"/>
    <n v="1530"/>
    <n v="2325"/>
    <n v="0.23308270676691728"/>
    <x v="1"/>
    <x v="1"/>
    <x v="2"/>
    <x v="7"/>
    <s v="CUST1380"/>
    <x v="1"/>
  </r>
  <r>
    <n v="450"/>
    <x v="146"/>
    <x v="5"/>
    <x v="0"/>
    <x v="5"/>
    <n v="7"/>
    <n v="200"/>
    <n v="1400"/>
    <n v="0.1"/>
    <n v="140"/>
    <n v="1260"/>
    <n v="150"/>
    <n v="210"/>
    <n v="0.16666666666666666"/>
    <x v="4"/>
    <x v="1"/>
    <x v="2"/>
    <x v="6"/>
    <s v="CUST1130"/>
    <x v="0"/>
  </r>
  <r>
    <n v="451"/>
    <x v="256"/>
    <x v="3"/>
    <x v="1"/>
    <x v="1"/>
    <n v="3"/>
    <n v="2170"/>
    <n v="6510"/>
    <n v="0.02"/>
    <n v="130.19999999999999"/>
    <n v="6379.8"/>
    <n v="1540"/>
    <n v="1759.8000000000002"/>
    <n v="0.27583936800526665"/>
    <x v="2"/>
    <x v="1"/>
    <x v="0"/>
    <x v="2"/>
    <s v="CUST1315"/>
    <x v="3"/>
  </r>
  <r>
    <n v="452"/>
    <x v="198"/>
    <x v="5"/>
    <x v="0"/>
    <x v="1"/>
    <n v="5"/>
    <n v="2330"/>
    <n v="11650"/>
    <n v="0.02"/>
    <n v="233"/>
    <n v="11417"/>
    <n v="1410"/>
    <n v="4367"/>
    <n v="0.38249978102829113"/>
    <x v="4"/>
    <x v="1"/>
    <x v="0"/>
    <x v="1"/>
    <s v="CUST1266"/>
    <x v="3"/>
  </r>
  <r>
    <n v="453"/>
    <x v="280"/>
    <x v="0"/>
    <x v="0"/>
    <x v="0"/>
    <n v="9"/>
    <n v="210"/>
    <n v="1890"/>
    <n v="0.02"/>
    <n v="37.800000000000004"/>
    <n v="1852.2"/>
    <n v="160"/>
    <n v="412.20000000000005"/>
    <n v="0.22254616132167154"/>
    <x v="4"/>
    <x v="3"/>
    <x v="1"/>
    <x v="9"/>
    <s v="CUST1188"/>
    <x v="1"/>
  </r>
  <r>
    <n v="454"/>
    <x v="269"/>
    <x v="3"/>
    <x v="0"/>
    <x v="1"/>
    <n v="6"/>
    <n v="2040"/>
    <n v="12240"/>
    <n v="0"/>
    <n v="0"/>
    <n v="12240"/>
    <n v="1570"/>
    <n v="2820"/>
    <n v="0.23039215686274508"/>
    <x v="3"/>
    <x v="1"/>
    <x v="3"/>
    <x v="7"/>
    <s v="CUST1277"/>
    <x v="3"/>
  </r>
  <r>
    <n v="455"/>
    <x v="130"/>
    <x v="1"/>
    <x v="3"/>
    <x v="2"/>
    <n v="5"/>
    <n v="1300"/>
    <n v="6500"/>
    <n v="0"/>
    <n v="0"/>
    <n v="6500"/>
    <n v="830"/>
    <n v="2350"/>
    <n v="0.36153846153846153"/>
    <x v="4"/>
    <x v="1"/>
    <x v="1"/>
    <x v="7"/>
    <s v="CUST1316"/>
    <x v="1"/>
  </r>
  <r>
    <n v="456"/>
    <x v="232"/>
    <x v="1"/>
    <x v="3"/>
    <x v="3"/>
    <n v="7"/>
    <n v="1430"/>
    <n v="10010"/>
    <n v="0"/>
    <n v="0"/>
    <n v="10010"/>
    <n v="930"/>
    <n v="3500"/>
    <n v="0.34965034965034963"/>
    <x v="0"/>
    <x v="1"/>
    <x v="1"/>
    <x v="3"/>
    <s v="CUST1307"/>
    <x v="0"/>
  </r>
  <r>
    <n v="457"/>
    <x v="356"/>
    <x v="5"/>
    <x v="1"/>
    <x v="2"/>
    <n v="7"/>
    <n v="2040"/>
    <n v="14280"/>
    <n v="0.02"/>
    <n v="285.60000000000002"/>
    <n v="13994.4"/>
    <n v="1400"/>
    <n v="4194.3999999999996"/>
    <n v="0.29971988795518206"/>
    <x v="3"/>
    <x v="1"/>
    <x v="0"/>
    <x v="5"/>
    <s v="CUST1399"/>
    <x v="0"/>
  </r>
  <r>
    <n v="458"/>
    <x v="177"/>
    <x v="0"/>
    <x v="0"/>
    <x v="5"/>
    <n v="3"/>
    <n v="180"/>
    <n v="540"/>
    <n v="0"/>
    <n v="0"/>
    <n v="540"/>
    <n v="130"/>
    <n v="150"/>
    <n v="0.27777777777777779"/>
    <x v="1"/>
    <x v="1"/>
    <x v="1"/>
    <x v="3"/>
    <s v="CUST1104"/>
    <x v="2"/>
  </r>
  <r>
    <n v="459"/>
    <x v="1"/>
    <x v="0"/>
    <x v="0"/>
    <x v="4"/>
    <n v="5"/>
    <n v="300"/>
    <n v="1500"/>
    <n v="0.05"/>
    <n v="75"/>
    <n v="1425"/>
    <n v="240"/>
    <n v="225"/>
    <n v="0.15789473684210525"/>
    <x v="0"/>
    <x v="1"/>
    <x v="1"/>
    <x v="7"/>
    <s v="CUST1076"/>
    <x v="2"/>
  </r>
  <r>
    <n v="460"/>
    <x v="270"/>
    <x v="1"/>
    <x v="0"/>
    <x v="3"/>
    <n v="9"/>
    <n v="1610"/>
    <n v="14490"/>
    <n v="0.02"/>
    <n v="289.8"/>
    <n v="14200.2"/>
    <n v="1160"/>
    <n v="3760.2000000000007"/>
    <n v="0.26479908733679813"/>
    <x v="3"/>
    <x v="1"/>
    <x v="0"/>
    <x v="9"/>
    <s v="CUST1279"/>
    <x v="0"/>
  </r>
  <r>
    <n v="461"/>
    <x v="306"/>
    <x v="1"/>
    <x v="0"/>
    <x v="1"/>
    <n v="5"/>
    <n v="2070"/>
    <n v="10350"/>
    <n v="0.05"/>
    <n v="517.5"/>
    <n v="9832.5"/>
    <n v="1600"/>
    <n v="1832.5"/>
    <n v="0.186371726417493"/>
    <x v="1"/>
    <x v="0"/>
    <x v="3"/>
    <x v="6"/>
    <s v="CUST1157"/>
    <x v="0"/>
  </r>
  <r>
    <n v="462"/>
    <x v="13"/>
    <x v="0"/>
    <x v="0"/>
    <x v="5"/>
    <n v="5"/>
    <n v="180"/>
    <n v="900"/>
    <n v="0.05"/>
    <n v="45"/>
    <n v="855"/>
    <n v="130"/>
    <n v="205"/>
    <n v="0.23976608187134502"/>
    <x v="2"/>
    <x v="0"/>
    <x v="3"/>
    <x v="6"/>
    <s v="CUST1331"/>
    <x v="2"/>
  </r>
  <r>
    <n v="463"/>
    <x v="239"/>
    <x v="0"/>
    <x v="0"/>
    <x v="5"/>
    <n v="6"/>
    <n v="180"/>
    <n v="1080"/>
    <n v="0.05"/>
    <n v="54"/>
    <n v="1026"/>
    <n v="120"/>
    <n v="306"/>
    <n v="0.2982456140350877"/>
    <x v="0"/>
    <x v="1"/>
    <x v="1"/>
    <x v="4"/>
    <s v="CUST1144"/>
    <x v="1"/>
  </r>
  <r>
    <n v="464"/>
    <x v="109"/>
    <x v="1"/>
    <x v="2"/>
    <x v="0"/>
    <n v="8"/>
    <n v="230"/>
    <n v="1840"/>
    <n v="0.15"/>
    <n v="276"/>
    <n v="1564"/>
    <n v="180"/>
    <n v="124"/>
    <n v="7.9283887468030695E-2"/>
    <x v="4"/>
    <x v="0"/>
    <x v="3"/>
    <x v="4"/>
    <s v="CUST1198"/>
    <x v="0"/>
  </r>
  <r>
    <n v="465"/>
    <x v="6"/>
    <x v="5"/>
    <x v="1"/>
    <x v="3"/>
    <n v="1"/>
    <n v="1370"/>
    <n v="1370"/>
    <n v="0.05"/>
    <n v="68.5"/>
    <n v="1301.5"/>
    <n v="900"/>
    <n v="401.5"/>
    <n v="0.30849020361121782"/>
    <x v="0"/>
    <x v="3"/>
    <x v="0"/>
    <x v="2"/>
    <s v="CUST1348"/>
    <x v="1"/>
  </r>
  <r>
    <n v="466"/>
    <x v="40"/>
    <x v="0"/>
    <x v="2"/>
    <x v="1"/>
    <n v="9"/>
    <n v="2370"/>
    <n v="21330"/>
    <n v="0"/>
    <n v="0"/>
    <n v="21330"/>
    <n v="1710"/>
    <n v="5940"/>
    <n v="0.27848101265822783"/>
    <x v="4"/>
    <x v="3"/>
    <x v="2"/>
    <x v="8"/>
    <s v="CUST1421"/>
    <x v="2"/>
  </r>
  <r>
    <n v="467"/>
    <x v="292"/>
    <x v="3"/>
    <x v="2"/>
    <x v="5"/>
    <n v="7"/>
    <n v="190"/>
    <n v="1330"/>
    <n v="0.1"/>
    <n v="133"/>
    <n v="1197"/>
    <n v="150"/>
    <n v="147"/>
    <n v="0.12280701754385964"/>
    <x v="1"/>
    <x v="1"/>
    <x v="3"/>
    <x v="4"/>
    <s v="CUST1312"/>
    <x v="0"/>
  </r>
  <r>
    <n v="468"/>
    <x v="199"/>
    <x v="1"/>
    <x v="2"/>
    <x v="4"/>
    <n v="1"/>
    <n v="290"/>
    <n v="290"/>
    <n v="0.05"/>
    <n v="14.5"/>
    <n v="275.5"/>
    <n v="190"/>
    <n v="85.5"/>
    <n v="0.31034482758620691"/>
    <x v="1"/>
    <x v="1"/>
    <x v="1"/>
    <x v="9"/>
    <s v="CUST1331"/>
    <x v="0"/>
  </r>
  <r>
    <n v="469"/>
    <x v="130"/>
    <x v="3"/>
    <x v="1"/>
    <x v="4"/>
    <n v="6"/>
    <n v="330"/>
    <n v="1980"/>
    <n v="0.05"/>
    <n v="99"/>
    <n v="1881"/>
    <n v="260"/>
    <n v="321"/>
    <n v="0.17065390749601275"/>
    <x v="1"/>
    <x v="1"/>
    <x v="2"/>
    <x v="1"/>
    <s v="CUST1295"/>
    <x v="2"/>
  </r>
  <r>
    <n v="470"/>
    <x v="135"/>
    <x v="5"/>
    <x v="2"/>
    <x v="0"/>
    <n v="6"/>
    <n v="210"/>
    <n v="1260"/>
    <n v="0.02"/>
    <n v="25.2"/>
    <n v="1234.8"/>
    <n v="160"/>
    <n v="274.79999999999995"/>
    <n v="0.22254616132167149"/>
    <x v="1"/>
    <x v="1"/>
    <x v="2"/>
    <x v="9"/>
    <s v="CUST1042"/>
    <x v="2"/>
  </r>
  <r>
    <n v="471"/>
    <x v="237"/>
    <x v="5"/>
    <x v="0"/>
    <x v="1"/>
    <n v="9"/>
    <n v="2270"/>
    <n v="20430"/>
    <n v="0.05"/>
    <n v="1021.5"/>
    <n v="19408.5"/>
    <n v="1450"/>
    <n v="6358.5"/>
    <n v="0.32761418965916994"/>
    <x v="1"/>
    <x v="0"/>
    <x v="1"/>
    <x v="5"/>
    <s v="CUST1085"/>
    <x v="2"/>
  </r>
  <r>
    <n v="472"/>
    <x v="166"/>
    <x v="1"/>
    <x v="1"/>
    <x v="0"/>
    <n v="5"/>
    <n v="240"/>
    <n v="1200"/>
    <n v="0.1"/>
    <n v="120"/>
    <n v="1080"/>
    <n v="160"/>
    <n v="280"/>
    <n v="0.25925925925925924"/>
    <x v="0"/>
    <x v="1"/>
    <x v="3"/>
    <x v="8"/>
    <s v="CUST1498"/>
    <x v="2"/>
  </r>
  <r>
    <n v="473"/>
    <x v="328"/>
    <x v="5"/>
    <x v="3"/>
    <x v="3"/>
    <n v="2"/>
    <n v="1720"/>
    <n v="3440"/>
    <n v="0.02"/>
    <n v="68.8"/>
    <n v="3371.2"/>
    <n v="1380"/>
    <n v="611.19999999999982"/>
    <n v="0.18130042714760319"/>
    <x v="3"/>
    <x v="1"/>
    <x v="3"/>
    <x v="0"/>
    <s v="CUST1456"/>
    <x v="3"/>
  </r>
  <r>
    <n v="474"/>
    <x v="36"/>
    <x v="0"/>
    <x v="0"/>
    <x v="0"/>
    <n v="2"/>
    <n v="230"/>
    <n v="460"/>
    <n v="0"/>
    <n v="0"/>
    <n v="460"/>
    <n v="140"/>
    <n v="180"/>
    <n v="0.39130434782608697"/>
    <x v="0"/>
    <x v="1"/>
    <x v="1"/>
    <x v="6"/>
    <s v="CUST1187"/>
    <x v="3"/>
  </r>
  <r>
    <n v="475"/>
    <x v="118"/>
    <x v="1"/>
    <x v="1"/>
    <x v="0"/>
    <n v="7"/>
    <n v="230"/>
    <n v="1610"/>
    <n v="0"/>
    <n v="0"/>
    <n v="1610"/>
    <n v="160"/>
    <n v="490"/>
    <n v="0.30434782608695654"/>
    <x v="2"/>
    <x v="1"/>
    <x v="0"/>
    <x v="2"/>
    <s v="CUST1341"/>
    <x v="3"/>
  </r>
  <r>
    <n v="476"/>
    <x v="165"/>
    <x v="4"/>
    <x v="1"/>
    <x v="0"/>
    <n v="3"/>
    <n v="220"/>
    <n v="660"/>
    <n v="0.05"/>
    <n v="33"/>
    <n v="627"/>
    <n v="170"/>
    <n v="117"/>
    <n v="0.18660287081339713"/>
    <x v="0"/>
    <x v="1"/>
    <x v="1"/>
    <x v="6"/>
    <s v="CUST1001"/>
    <x v="0"/>
  </r>
  <r>
    <n v="477"/>
    <x v="223"/>
    <x v="3"/>
    <x v="0"/>
    <x v="1"/>
    <n v="8"/>
    <n v="2190"/>
    <n v="17520"/>
    <n v="0.1"/>
    <n v="1752"/>
    <n v="15768"/>
    <n v="1320"/>
    <n v="5208"/>
    <n v="0.33028919330289191"/>
    <x v="4"/>
    <x v="1"/>
    <x v="0"/>
    <x v="4"/>
    <s v="CUST1351"/>
    <x v="3"/>
  </r>
  <r>
    <n v="478"/>
    <x v="363"/>
    <x v="0"/>
    <x v="1"/>
    <x v="4"/>
    <n v="7"/>
    <n v="340"/>
    <n v="2380"/>
    <n v="0.05"/>
    <n v="119"/>
    <n v="2261"/>
    <n v="220"/>
    <n v="721"/>
    <n v="0.31888544891640869"/>
    <x v="1"/>
    <x v="1"/>
    <x v="3"/>
    <x v="9"/>
    <s v="CUST1343"/>
    <x v="2"/>
  </r>
  <r>
    <n v="479"/>
    <x v="262"/>
    <x v="1"/>
    <x v="1"/>
    <x v="0"/>
    <n v="9"/>
    <n v="190"/>
    <n v="1710"/>
    <n v="0.05"/>
    <n v="85.5"/>
    <n v="1624.5"/>
    <n v="130"/>
    <n v="454.5"/>
    <n v="0.27977839335180055"/>
    <x v="3"/>
    <x v="1"/>
    <x v="0"/>
    <x v="0"/>
    <s v="CUST1460"/>
    <x v="1"/>
  </r>
  <r>
    <n v="480"/>
    <x v="94"/>
    <x v="1"/>
    <x v="1"/>
    <x v="0"/>
    <n v="4"/>
    <n v="240"/>
    <n v="960"/>
    <n v="0.02"/>
    <n v="19.2"/>
    <n v="940.8"/>
    <n v="190"/>
    <n v="180.79999999999995"/>
    <n v="0.19217687074829928"/>
    <x v="0"/>
    <x v="1"/>
    <x v="1"/>
    <x v="1"/>
    <s v="CUST1254"/>
    <x v="1"/>
  </r>
  <r>
    <n v="481"/>
    <x v="93"/>
    <x v="5"/>
    <x v="0"/>
    <x v="2"/>
    <n v="6"/>
    <n v="1340"/>
    <n v="8040"/>
    <n v="0.05"/>
    <n v="402"/>
    <n v="7638"/>
    <n v="870"/>
    <n v="2418"/>
    <n v="0.31657501963864887"/>
    <x v="4"/>
    <x v="1"/>
    <x v="3"/>
    <x v="9"/>
    <s v="CUST1213"/>
    <x v="0"/>
  </r>
  <r>
    <n v="482"/>
    <x v="200"/>
    <x v="1"/>
    <x v="0"/>
    <x v="0"/>
    <n v="4"/>
    <n v="230"/>
    <n v="920"/>
    <n v="0"/>
    <n v="0"/>
    <n v="920"/>
    <n v="180"/>
    <n v="200"/>
    <n v="0.21739130434782608"/>
    <x v="4"/>
    <x v="1"/>
    <x v="1"/>
    <x v="4"/>
    <s v="CUST1055"/>
    <x v="0"/>
  </r>
  <r>
    <n v="483"/>
    <x v="171"/>
    <x v="2"/>
    <x v="3"/>
    <x v="1"/>
    <n v="11"/>
    <n v="2060"/>
    <n v="22660"/>
    <n v="0"/>
    <n v="0"/>
    <n v="22660"/>
    <n v="1270"/>
    <n v="8690"/>
    <n v="0.38349514563106796"/>
    <x v="2"/>
    <x v="1"/>
    <x v="3"/>
    <x v="8"/>
    <s v="CUST1086"/>
    <x v="0"/>
  </r>
  <r>
    <n v="484"/>
    <x v="195"/>
    <x v="1"/>
    <x v="0"/>
    <x v="1"/>
    <n v="9"/>
    <n v="2140"/>
    <n v="19260"/>
    <n v="0.1"/>
    <n v="1926"/>
    <n v="17334"/>
    <n v="1450"/>
    <n v="4284"/>
    <n v="0.24714434060228452"/>
    <x v="1"/>
    <x v="1"/>
    <x v="1"/>
    <x v="7"/>
    <s v="CUST1300"/>
    <x v="2"/>
  </r>
  <r>
    <n v="485"/>
    <x v="106"/>
    <x v="0"/>
    <x v="2"/>
    <x v="3"/>
    <n v="9"/>
    <n v="1610"/>
    <n v="14490"/>
    <n v="0.1"/>
    <n v="1449"/>
    <n v="13041"/>
    <n v="990"/>
    <n v="4131"/>
    <n v="0.31677018633540371"/>
    <x v="4"/>
    <x v="1"/>
    <x v="0"/>
    <x v="1"/>
    <s v="CUST1071"/>
    <x v="2"/>
  </r>
  <r>
    <n v="486"/>
    <x v="336"/>
    <x v="0"/>
    <x v="3"/>
    <x v="3"/>
    <n v="7"/>
    <n v="1370"/>
    <n v="9590"/>
    <n v="0.15"/>
    <n v="1438.5"/>
    <n v="8151.5"/>
    <n v="980"/>
    <n v="1291.5"/>
    <n v="0.15843709746672391"/>
    <x v="2"/>
    <x v="1"/>
    <x v="3"/>
    <x v="6"/>
    <s v="CUST1213"/>
    <x v="3"/>
  </r>
  <r>
    <n v="487"/>
    <x v="363"/>
    <x v="5"/>
    <x v="0"/>
    <x v="1"/>
    <n v="5"/>
    <n v="2250"/>
    <n v="11250"/>
    <n v="0.05"/>
    <n v="562.5"/>
    <n v="10687.5"/>
    <n v="1670"/>
    <n v="2337.5"/>
    <n v="0.21871345029239767"/>
    <x v="3"/>
    <x v="1"/>
    <x v="2"/>
    <x v="7"/>
    <s v="CUST1069"/>
    <x v="0"/>
  </r>
  <r>
    <n v="488"/>
    <x v="57"/>
    <x v="1"/>
    <x v="2"/>
    <x v="0"/>
    <n v="1"/>
    <n v="230"/>
    <n v="230"/>
    <n v="0.05"/>
    <n v="11.5"/>
    <n v="218.5"/>
    <n v="170"/>
    <n v="48.5"/>
    <n v="0.2219679633867277"/>
    <x v="2"/>
    <x v="1"/>
    <x v="2"/>
    <x v="6"/>
    <s v="CUST1429"/>
    <x v="0"/>
  </r>
  <r>
    <n v="489"/>
    <x v="71"/>
    <x v="5"/>
    <x v="0"/>
    <x v="2"/>
    <n v="6"/>
    <n v="1110"/>
    <n v="6660"/>
    <n v="0.05"/>
    <n v="333"/>
    <n v="6327"/>
    <n v="710"/>
    <n v="2067"/>
    <n v="0.32669511616880037"/>
    <x v="3"/>
    <x v="1"/>
    <x v="0"/>
    <x v="5"/>
    <s v="CUST1336"/>
    <x v="0"/>
  </r>
  <r>
    <n v="490"/>
    <x v="140"/>
    <x v="2"/>
    <x v="0"/>
    <x v="0"/>
    <n v="12"/>
    <n v="230"/>
    <n v="2760"/>
    <n v="0.1"/>
    <n v="276"/>
    <n v="2484"/>
    <n v="140"/>
    <n v="804"/>
    <n v="0.32367149758454106"/>
    <x v="1"/>
    <x v="1"/>
    <x v="1"/>
    <x v="4"/>
    <s v="CUST1193"/>
    <x v="1"/>
  </r>
  <r>
    <n v="491"/>
    <x v="174"/>
    <x v="1"/>
    <x v="3"/>
    <x v="4"/>
    <n v="11"/>
    <n v="310"/>
    <n v="3410"/>
    <n v="0"/>
    <n v="0"/>
    <n v="3410"/>
    <n v="230"/>
    <n v="880"/>
    <n v="0.25806451612903225"/>
    <x v="3"/>
    <x v="1"/>
    <x v="0"/>
    <x v="2"/>
    <s v="CUST1339"/>
    <x v="0"/>
  </r>
  <r>
    <n v="492"/>
    <x v="190"/>
    <x v="1"/>
    <x v="0"/>
    <x v="5"/>
    <n v="10"/>
    <n v="210"/>
    <n v="2100"/>
    <n v="0.02"/>
    <n v="42"/>
    <n v="2058"/>
    <n v="120"/>
    <n v="858"/>
    <n v="0.41690962099125367"/>
    <x v="3"/>
    <x v="1"/>
    <x v="0"/>
    <x v="8"/>
    <s v="CUST1183"/>
    <x v="2"/>
  </r>
  <r>
    <n v="493"/>
    <x v="150"/>
    <x v="1"/>
    <x v="3"/>
    <x v="3"/>
    <n v="4"/>
    <n v="1560"/>
    <n v="6240"/>
    <n v="0.1"/>
    <n v="624"/>
    <n v="5616"/>
    <n v="1210"/>
    <n v="776"/>
    <n v="0.13817663817663817"/>
    <x v="2"/>
    <x v="1"/>
    <x v="3"/>
    <x v="0"/>
    <s v="CUST1003"/>
    <x v="2"/>
  </r>
  <r>
    <n v="494"/>
    <x v="112"/>
    <x v="5"/>
    <x v="3"/>
    <x v="4"/>
    <n v="2"/>
    <n v="290"/>
    <n v="580"/>
    <n v="0"/>
    <n v="0"/>
    <n v="580"/>
    <n v="170"/>
    <n v="240"/>
    <n v="0.41379310344827586"/>
    <x v="1"/>
    <x v="1"/>
    <x v="0"/>
    <x v="5"/>
    <s v="CUST1389"/>
    <x v="2"/>
  </r>
  <r>
    <n v="495"/>
    <x v="57"/>
    <x v="0"/>
    <x v="0"/>
    <x v="1"/>
    <n v="5"/>
    <n v="2310"/>
    <n v="11550"/>
    <n v="0.05"/>
    <n v="577.5"/>
    <n v="10972.5"/>
    <n v="1550"/>
    <n v="3222.5"/>
    <n v="0.29368876737297789"/>
    <x v="1"/>
    <x v="1"/>
    <x v="2"/>
    <x v="0"/>
    <s v="CUST1291"/>
    <x v="3"/>
  </r>
  <r>
    <n v="496"/>
    <x v="251"/>
    <x v="1"/>
    <x v="1"/>
    <x v="1"/>
    <n v="7"/>
    <n v="2340"/>
    <n v="16380"/>
    <n v="0.1"/>
    <n v="1638"/>
    <n v="14742"/>
    <n v="1460"/>
    <n v="4522"/>
    <n v="0.30674264007597341"/>
    <x v="3"/>
    <x v="1"/>
    <x v="0"/>
    <x v="1"/>
    <s v="CUST1101"/>
    <x v="1"/>
  </r>
  <r>
    <n v="497"/>
    <x v="42"/>
    <x v="5"/>
    <x v="0"/>
    <x v="4"/>
    <n v="12"/>
    <n v="330"/>
    <n v="3960"/>
    <n v="0"/>
    <n v="0"/>
    <n v="3960"/>
    <n v="260"/>
    <n v="840"/>
    <n v="0.21212121212121213"/>
    <x v="0"/>
    <x v="1"/>
    <x v="0"/>
    <x v="8"/>
    <s v="CUST1383"/>
    <x v="1"/>
  </r>
  <r>
    <n v="498"/>
    <x v="321"/>
    <x v="0"/>
    <x v="1"/>
    <x v="4"/>
    <n v="11"/>
    <n v="340"/>
    <n v="3740"/>
    <n v="0.1"/>
    <n v="374"/>
    <n v="3366"/>
    <n v="200"/>
    <n v="1166"/>
    <n v="0.34640522875816993"/>
    <x v="3"/>
    <x v="1"/>
    <x v="3"/>
    <x v="4"/>
    <s v="CUST1388"/>
    <x v="0"/>
  </r>
  <r>
    <n v="499"/>
    <x v="264"/>
    <x v="0"/>
    <x v="0"/>
    <x v="1"/>
    <n v="2"/>
    <n v="2110"/>
    <n v="4220"/>
    <n v="0"/>
    <n v="0"/>
    <n v="4220"/>
    <n v="1430"/>
    <n v="1360"/>
    <n v="0.32227488151658767"/>
    <x v="1"/>
    <x v="1"/>
    <x v="1"/>
    <x v="4"/>
    <s v="CUST1433"/>
    <x v="1"/>
  </r>
  <r>
    <n v="500"/>
    <x v="2"/>
    <x v="0"/>
    <x v="1"/>
    <x v="2"/>
    <n v="9"/>
    <n v="1140"/>
    <n v="10260"/>
    <n v="0.15"/>
    <n v="1539"/>
    <n v="8721"/>
    <n v="680"/>
    <n v="2601"/>
    <n v="0.2982456140350877"/>
    <x v="2"/>
    <x v="1"/>
    <x v="2"/>
    <x v="2"/>
    <s v="CUST1498"/>
    <x v="1"/>
  </r>
  <r>
    <n v="501"/>
    <x v="246"/>
    <x v="2"/>
    <x v="1"/>
    <x v="1"/>
    <n v="3"/>
    <n v="2150"/>
    <n v="6450"/>
    <n v="0"/>
    <n v="0"/>
    <n v="6450"/>
    <n v="1690"/>
    <n v="1380"/>
    <n v="0.21395348837209302"/>
    <x v="1"/>
    <x v="0"/>
    <x v="3"/>
    <x v="9"/>
    <s v="CUST1077"/>
    <x v="2"/>
  </r>
  <r>
    <n v="502"/>
    <x v="241"/>
    <x v="1"/>
    <x v="0"/>
    <x v="2"/>
    <n v="8"/>
    <n v="1320"/>
    <n v="10560"/>
    <n v="0.1"/>
    <n v="1056"/>
    <n v="9504"/>
    <n v="800"/>
    <n v="3104"/>
    <n v="0.32659932659932661"/>
    <x v="1"/>
    <x v="1"/>
    <x v="0"/>
    <x v="9"/>
    <s v="CUST1411"/>
    <x v="2"/>
  </r>
  <r>
    <n v="503"/>
    <x v="219"/>
    <x v="2"/>
    <x v="0"/>
    <x v="1"/>
    <n v="1"/>
    <n v="2170"/>
    <n v="2170"/>
    <n v="0"/>
    <n v="0"/>
    <n v="2170"/>
    <n v="1520"/>
    <n v="650"/>
    <n v="0.29953917050691242"/>
    <x v="3"/>
    <x v="1"/>
    <x v="3"/>
    <x v="3"/>
    <s v="CUST1236"/>
    <x v="3"/>
  </r>
  <r>
    <n v="504"/>
    <x v="249"/>
    <x v="5"/>
    <x v="0"/>
    <x v="2"/>
    <n v="7"/>
    <n v="1180"/>
    <n v="8260"/>
    <n v="0.05"/>
    <n v="413"/>
    <n v="7847"/>
    <n v="820"/>
    <n v="2107"/>
    <n v="0.26851025869759143"/>
    <x v="1"/>
    <x v="3"/>
    <x v="2"/>
    <x v="1"/>
    <s v="CUST1409"/>
    <x v="3"/>
  </r>
  <r>
    <n v="505"/>
    <x v="5"/>
    <x v="5"/>
    <x v="3"/>
    <x v="4"/>
    <n v="9"/>
    <n v="310"/>
    <n v="2790"/>
    <n v="0.02"/>
    <n v="55.800000000000004"/>
    <n v="2734.2"/>
    <n v="250"/>
    <n v="484.19999999999982"/>
    <n v="0.17709019091507566"/>
    <x v="4"/>
    <x v="1"/>
    <x v="0"/>
    <x v="5"/>
    <s v="CUST1110"/>
    <x v="0"/>
  </r>
  <r>
    <n v="506"/>
    <x v="291"/>
    <x v="5"/>
    <x v="1"/>
    <x v="0"/>
    <n v="8"/>
    <n v="230"/>
    <n v="1840"/>
    <n v="0.15"/>
    <n v="276"/>
    <n v="1564"/>
    <n v="150"/>
    <n v="364"/>
    <n v="0.23273657289002558"/>
    <x v="0"/>
    <x v="1"/>
    <x v="2"/>
    <x v="1"/>
    <s v="CUST1072"/>
    <x v="0"/>
  </r>
  <r>
    <n v="507"/>
    <x v="148"/>
    <x v="0"/>
    <x v="1"/>
    <x v="4"/>
    <n v="7"/>
    <n v="330"/>
    <n v="2310"/>
    <n v="0.15"/>
    <n v="346.5"/>
    <n v="1963.5"/>
    <n v="210"/>
    <n v="493.5"/>
    <n v="0.25133689839572193"/>
    <x v="3"/>
    <x v="1"/>
    <x v="1"/>
    <x v="9"/>
    <s v="CUST1492"/>
    <x v="1"/>
  </r>
  <r>
    <n v="508"/>
    <x v="361"/>
    <x v="5"/>
    <x v="1"/>
    <x v="4"/>
    <n v="6"/>
    <n v="320"/>
    <n v="1920"/>
    <n v="0"/>
    <n v="0"/>
    <n v="1920"/>
    <n v="240"/>
    <n v="480"/>
    <n v="0.25"/>
    <x v="2"/>
    <x v="1"/>
    <x v="3"/>
    <x v="9"/>
    <s v="CUST1027"/>
    <x v="2"/>
  </r>
  <r>
    <n v="509"/>
    <x v="118"/>
    <x v="0"/>
    <x v="1"/>
    <x v="0"/>
    <n v="6"/>
    <n v="200"/>
    <n v="1200"/>
    <n v="0"/>
    <n v="0"/>
    <n v="1200"/>
    <n v="140"/>
    <n v="360"/>
    <n v="0.3"/>
    <x v="3"/>
    <x v="1"/>
    <x v="0"/>
    <x v="3"/>
    <s v="CUST1376"/>
    <x v="1"/>
  </r>
  <r>
    <n v="510"/>
    <x v="330"/>
    <x v="1"/>
    <x v="0"/>
    <x v="3"/>
    <n v="5"/>
    <n v="1360"/>
    <n v="6800"/>
    <n v="0.02"/>
    <n v="136"/>
    <n v="6664"/>
    <n v="840"/>
    <n v="2464"/>
    <n v="0.36974789915966388"/>
    <x v="4"/>
    <x v="1"/>
    <x v="1"/>
    <x v="4"/>
    <s v="CUST1420"/>
    <x v="0"/>
  </r>
  <r>
    <n v="511"/>
    <x v="205"/>
    <x v="5"/>
    <x v="0"/>
    <x v="5"/>
    <n v="1"/>
    <n v="210"/>
    <n v="210"/>
    <n v="0.05"/>
    <n v="10.5"/>
    <n v="199.5"/>
    <n v="150"/>
    <n v="49.5"/>
    <n v="0.24812030075187969"/>
    <x v="4"/>
    <x v="1"/>
    <x v="0"/>
    <x v="4"/>
    <s v="CUST1411"/>
    <x v="1"/>
  </r>
  <r>
    <n v="512"/>
    <x v="331"/>
    <x v="5"/>
    <x v="0"/>
    <x v="1"/>
    <n v="5"/>
    <n v="2270"/>
    <n v="11350"/>
    <n v="0"/>
    <n v="0"/>
    <n v="11350"/>
    <n v="1430"/>
    <n v="4200"/>
    <n v="0.37004405286343611"/>
    <x v="0"/>
    <x v="1"/>
    <x v="0"/>
    <x v="5"/>
    <s v="CUST1433"/>
    <x v="3"/>
  </r>
  <r>
    <n v="513"/>
    <x v="331"/>
    <x v="4"/>
    <x v="0"/>
    <x v="0"/>
    <n v="11"/>
    <n v="220"/>
    <n v="2420"/>
    <n v="0"/>
    <n v="0"/>
    <n v="2420"/>
    <n v="150"/>
    <n v="770"/>
    <n v="0.31818181818181818"/>
    <x v="4"/>
    <x v="3"/>
    <x v="3"/>
    <x v="3"/>
    <s v="CUST1140"/>
    <x v="0"/>
  </r>
  <r>
    <n v="514"/>
    <x v="334"/>
    <x v="2"/>
    <x v="1"/>
    <x v="3"/>
    <n v="12"/>
    <n v="1380"/>
    <n v="16560"/>
    <n v="0.02"/>
    <n v="331.2"/>
    <n v="16228.8"/>
    <n v="940"/>
    <n v="4948.7999999999993"/>
    <n v="0.30493936705116825"/>
    <x v="3"/>
    <x v="1"/>
    <x v="1"/>
    <x v="6"/>
    <s v="CUST1348"/>
    <x v="1"/>
  </r>
  <r>
    <n v="515"/>
    <x v="239"/>
    <x v="1"/>
    <x v="1"/>
    <x v="4"/>
    <n v="7"/>
    <n v="300"/>
    <n v="2100"/>
    <n v="0.1"/>
    <n v="210"/>
    <n v="1890"/>
    <n v="190"/>
    <n v="560"/>
    <n v="0.29629629629629628"/>
    <x v="4"/>
    <x v="1"/>
    <x v="2"/>
    <x v="0"/>
    <s v="CUST1275"/>
    <x v="0"/>
  </r>
  <r>
    <n v="516"/>
    <x v="59"/>
    <x v="3"/>
    <x v="1"/>
    <x v="4"/>
    <n v="2"/>
    <n v="330"/>
    <n v="660"/>
    <n v="0.05"/>
    <n v="33"/>
    <n v="627"/>
    <n v="260"/>
    <n v="107"/>
    <n v="0.17065390749601275"/>
    <x v="0"/>
    <x v="1"/>
    <x v="2"/>
    <x v="3"/>
    <s v="CUST1299"/>
    <x v="2"/>
  </r>
  <r>
    <n v="517"/>
    <x v="259"/>
    <x v="5"/>
    <x v="1"/>
    <x v="0"/>
    <n v="12"/>
    <n v="190"/>
    <n v="2280"/>
    <n v="0.15"/>
    <n v="342"/>
    <n v="1938"/>
    <n v="110"/>
    <n v="618"/>
    <n v="0.31888544891640869"/>
    <x v="1"/>
    <x v="1"/>
    <x v="2"/>
    <x v="4"/>
    <s v="CUST1298"/>
    <x v="3"/>
  </r>
  <r>
    <n v="518"/>
    <x v="290"/>
    <x v="0"/>
    <x v="1"/>
    <x v="5"/>
    <n v="9"/>
    <n v="210"/>
    <n v="1890"/>
    <n v="0"/>
    <n v="0"/>
    <n v="1890"/>
    <n v="160"/>
    <n v="450"/>
    <n v="0.23809523809523808"/>
    <x v="0"/>
    <x v="1"/>
    <x v="2"/>
    <x v="4"/>
    <s v="CUST1329"/>
    <x v="1"/>
  </r>
  <r>
    <n v="519"/>
    <x v="56"/>
    <x v="5"/>
    <x v="0"/>
    <x v="1"/>
    <n v="12"/>
    <n v="2370"/>
    <n v="28440"/>
    <n v="0"/>
    <n v="0"/>
    <n v="28440"/>
    <n v="1680"/>
    <n v="8280"/>
    <n v="0.29113924050632911"/>
    <x v="2"/>
    <x v="1"/>
    <x v="2"/>
    <x v="7"/>
    <s v="CUST1414"/>
    <x v="0"/>
  </r>
  <r>
    <n v="520"/>
    <x v="126"/>
    <x v="1"/>
    <x v="1"/>
    <x v="5"/>
    <n v="10"/>
    <n v="220"/>
    <n v="2200"/>
    <n v="0.02"/>
    <n v="44"/>
    <n v="2156"/>
    <n v="150"/>
    <n v="656"/>
    <n v="0.30426716141001853"/>
    <x v="4"/>
    <x v="1"/>
    <x v="3"/>
    <x v="4"/>
    <s v="CUST1267"/>
    <x v="0"/>
  </r>
  <r>
    <n v="521"/>
    <x v="128"/>
    <x v="1"/>
    <x v="0"/>
    <x v="1"/>
    <n v="10"/>
    <n v="2090"/>
    <n v="20900"/>
    <n v="0.02"/>
    <n v="418"/>
    <n v="20482"/>
    <n v="1390"/>
    <n v="6582"/>
    <n v="0.3213553363929304"/>
    <x v="4"/>
    <x v="1"/>
    <x v="2"/>
    <x v="5"/>
    <s v="CUST1449"/>
    <x v="1"/>
  </r>
  <r>
    <n v="522"/>
    <x v="268"/>
    <x v="2"/>
    <x v="3"/>
    <x v="0"/>
    <n v="4"/>
    <n v="230"/>
    <n v="920"/>
    <n v="0"/>
    <n v="0"/>
    <n v="920"/>
    <n v="160"/>
    <n v="280"/>
    <n v="0.30434782608695654"/>
    <x v="4"/>
    <x v="1"/>
    <x v="2"/>
    <x v="4"/>
    <s v="CUST1441"/>
    <x v="2"/>
  </r>
  <r>
    <n v="523"/>
    <x v="344"/>
    <x v="5"/>
    <x v="3"/>
    <x v="1"/>
    <n v="1"/>
    <n v="2330"/>
    <n v="2330"/>
    <n v="0"/>
    <n v="0"/>
    <n v="2330"/>
    <n v="1840"/>
    <n v="490"/>
    <n v="0.21030042918454936"/>
    <x v="4"/>
    <x v="1"/>
    <x v="3"/>
    <x v="8"/>
    <s v="CUST1488"/>
    <x v="1"/>
  </r>
  <r>
    <n v="524"/>
    <x v="130"/>
    <x v="1"/>
    <x v="0"/>
    <x v="2"/>
    <n v="3"/>
    <n v="1300"/>
    <n v="3900"/>
    <n v="0"/>
    <n v="0"/>
    <n v="3900"/>
    <n v="970"/>
    <n v="990"/>
    <n v="0.25384615384615383"/>
    <x v="4"/>
    <x v="1"/>
    <x v="1"/>
    <x v="3"/>
    <s v="CUST1004"/>
    <x v="0"/>
  </r>
  <r>
    <n v="525"/>
    <x v="311"/>
    <x v="5"/>
    <x v="1"/>
    <x v="5"/>
    <n v="2"/>
    <n v="230"/>
    <n v="460"/>
    <n v="0"/>
    <n v="0"/>
    <n v="460"/>
    <n v="180"/>
    <n v="100"/>
    <n v="0.21739130434782608"/>
    <x v="2"/>
    <x v="1"/>
    <x v="1"/>
    <x v="3"/>
    <s v="CUST1314"/>
    <x v="2"/>
  </r>
  <r>
    <n v="526"/>
    <x v="10"/>
    <x v="5"/>
    <x v="2"/>
    <x v="0"/>
    <n v="4"/>
    <n v="200"/>
    <n v="800"/>
    <n v="0.02"/>
    <n v="16"/>
    <n v="784"/>
    <n v="120"/>
    <n v="304"/>
    <n v="0.38775510204081631"/>
    <x v="2"/>
    <x v="3"/>
    <x v="0"/>
    <x v="5"/>
    <s v="CUST1342"/>
    <x v="2"/>
  </r>
  <r>
    <n v="527"/>
    <x v="73"/>
    <x v="1"/>
    <x v="0"/>
    <x v="0"/>
    <n v="3"/>
    <n v="210"/>
    <n v="630"/>
    <n v="0.1"/>
    <n v="63"/>
    <n v="567"/>
    <n v="170"/>
    <n v="57"/>
    <n v="0.10052910052910052"/>
    <x v="3"/>
    <x v="1"/>
    <x v="0"/>
    <x v="2"/>
    <s v="CUST1109"/>
    <x v="2"/>
  </r>
  <r>
    <n v="528"/>
    <x v="103"/>
    <x v="5"/>
    <x v="2"/>
    <x v="5"/>
    <n v="11"/>
    <n v="180"/>
    <n v="1980"/>
    <n v="0"/>
    <n v="0"/>
    <n v="1980"/>
    <n v="130"/>
    <n v="550"/>
    <n v="0.27777777777777779"/>
    <x v="0"/>
    <x v="1"/>
    <x v="2"/>
    <x v="1"/>
    <s v="CUST1191"/>
    <x v="3"/>
  </r>
  <r>
    <n v="529"/>
    <x v="227"/>
    <x v="3"/>
    <x v="2"/>
    <x v="2"/>
    <n v="11"/>
    <n v="1150"/>
    <n v="12650"/>
    <n v="0"/>
    <n v="0"/>
    <n v="12650"/>
    <n v="900"/>
    <n v="2750"/>
    <n v="0.21739130434782608"/>
    <x v="0"/>
    <x v="1"/>
    <x v="3"/>
    <x v="6"/>
    <s v="CUST1214"/>
    <x v="2"/>
  </r>
  <r>
    <n v="530"/>
    <x v="50"/>
    <x v="1"/>
    <x v="1"/>
    <x v="3"/>
    <n v="3"/>
    <n v="1580"/>
    <n v="4740"/>
    <n v="0"/>
    <n v="0"/>
    <n v="4740"/>
    <n v="1110"/>
    <n v="1410"/>
    <n v="0.29746835443037972"/>
    <x v="2"/>
    <x v="1"/>
    <x v="0"/>
    <x v="5"/>
    <s v="CUST1299"/>
    <x v="0"/>
  </r>
  <r>
    <n v="531"/>
    <x v="27"/>
    <x v="1"/>
    <x v="0"/>
    <x v="2"/>
    <n v="10"/>
    <n v="1290"/>
    <n v="12900"/>
    <n v="0.1"/>
    <n v="1290"/>
    <n v="11610"/>
    <n v="800"/>
    <n v="3610"/>
    <n v="0.31093884582256676"/>
    <x v="1"/>
    <x v="1"/>
    <x v="2"/>
    <x v="4"/>
    <s v="CUST1484"/>
    <x v="0"/>
  </r>
  <r>
    <n v="532"/>
    <x v="327"/>
    <x v="5"/>
    <x v="0"/>
    <x v="1"/>
    <n v="6"/>
    <n v="2240"/>
    <n v="13440"/>
    <n v="0"/>
    <n v="0"/>
    <n v="13440"/>
    <n v="1440"/>
    <n v="4800"/>
    <n v="0.35714285714285715"/>
    <x v="3"/>
    <x v="1"/>
    <x v="3"/>
    <x v="8"/>
    <s v="CUST1172"/>
    <x v="1"/>
  </r>
  <r>
    <n v="533"/>
    <x v="327"/>
    <x v="5"/>
    <x v="0"/>
    <x v="4"/>
    <n v="8"/>
    <n v="270"/>
    <n v="2160"/>
    <n v="0.05"/>
    <n v="108"/>
    <n v="2052"/>
    <n v="190"/>
    <n v="532"/>
    <n v="0.25925925925925924"/>
    <x v="4"/>
    <x v="1"/>
    <x v="2"/>
    <x v="8"/>
    <s v="CUST1120"/>
    <x v="3"/>
  </r>
  <r>
    <n v="534"/>
    <x v="61"/>
    <x v="1"/>
    <x v="2"/>
    <x v="1"/>
    <n v="6"/>
    <n v="2260"/>
    <n v="13560"/>
    <n v="0.02"/>
    <n v="271.2"/>
    <n v="13288.8"/>
    <n v="1640"/>
    <n v="3448.7999999999993"/>
    <n v="0.25952681957738843"/>
    <x v="1"/>
    <x v="1"/>
    <x v="1"/>
    <x v="6"/>
    <s v="CUST1364"/>
    <x v="2"/>
  </r>
  <r>
    <n v="535"/>
    <x v="77"/>
    <x v="5"/>
    <x v="2"/>
    <x v="0"/>
    <n v="10"/>
    <n v="220"/>
    <n v="2200"/>
    <n v="0.05"/>
    <n v="110"/>
    <n v="2090"/>
    <n v="160"/>
    <n v="490"/>
    <n v="0.23444976076555024"/>
    <x v="0"/>
    <x v="1"/>
    <x v="0"/>
    <x v="2"/>
    <s v="CUST1339"/>
    <x v="3"/>
  </r>
  <r>
    <n v="536"/>
    <x v="218"/>
    <x v="1"/>
    <x v="0"/>
    <x v="1"/>
    <n v="7"/>
    <n v="2170"/>
    <n v="15190"/>
    <n v="0.02"/>
    <n v="303.8"/>
    <n v="14886.2"/>
    <n v="1300"/>
    <n v="5786.2000000000007"/>
    <n v="0.38869557039405628"/>
    <x v="1"/>
    <x v="1"/>
    <x v="1"/>
    <x v="4"/>
    <s v="CUST1341"/>
    <x v="2"/>
  </r>
  <r>
    <n v="537"/>
    <x v="271"/>
    <x v="0"/>
    <x v="0"/>
    <x v="0"/>
    <n v="3"/>
    <n v="210"/>
    <n v="630"/>
    <n v="0.05"/>
    <n v="31.5"/>
    <n v="598.5"/>
    <n v="150"/>
    <n v="148.5"/>
    <n v="0.24812030075187969"/>
    <x v="3"/>
    <x v="1"/>
    <x v="0"/>
    <x v="3"/>
    <s v="CUST1066"/>
    <x v="1"/>
  </r>
  <r>
    <n v="538"/>
    <x v="123"/>
    <x v="1"/>
    <x v="1"/>
    <x v="3"/>
    <n v="8"/>
    <n v="1720"/>
    <n v="13760"/>
    <n v="0.1"/>
    <n v="1376"/>
    <n v="12384"/>
    <n v="1280"/>
    <n v="2144"/>
    <n v="0.1731266149870801"/>
    <x v="1"/>
    <x v="3"/>
    <x v="1"/>
    <x v="5"/>
    <s v="CUST1140"/>
    <x v="2"/>
  </r>
  <r>
    <n v="539"/>
    <x v="150"/>
    <x v="0"/>
    <x v="0"/>
    <x v="1"/>
    <n v="12"/>
    <n v="2210"/>
    <n v="26520"/>
    <n v="0.02"/>
    <n v="530.4"/>
    <n v="25989.599999999999"/>
    <n v="1330"/>
    <n v="10029.599999999999"/>
    <n v="0.38590820943762116"/>
    <x v="4"/>
    <x v="1"/>
    <x v="3"/>
    <x v="7"/>
    <s v="CUST1330"/>
    <x v="3"/>
  </r>
  <r>
    <n v="540"/>
    <x v="106"/>
    <x v="2"/>
    <x v="3"/>
    <x v="4"/>
    <n v="8"/>
    <n v="280"/>
    <n v="2240"/>
    <n v="0"/>
    <n v="0"/>
    <n v="2240"/>
    <n v="210"/>
    <n v="560"/>
    <n v="0.25"/>
    <x v="0"/>
    <x v="1"/>
    <x v="2"/>
    <x v="1"/>
    <s v="CUST1051"/>
    <x v="1"/>
  </r>
  <r>
    <n v="541"/>
    <x v="104"/>
    <x v="0"/>
    <x v="0"/>
    <x v="2"/>
    <n v="5"/>
    <n v="1220"/>
    <n v="6100"/>
    <n v="0.15"/>
    <n v="915"/>
    <n v="5185"/>
    <n v="1000"/>
    <n v="185"/>
    <n v="3.5679845708775311E-2"/>
    <x v="0"/>
    <x v="1"/>
    <x v="1"/>
    <x v="5"/>
    <s v="CUST1420"/>
    <x v="2"/>
  </r>
  <r>
    <n v="542"/>
    <x v="114"/>
    <x v="1"/>
    <x v="1"/>
    <x v="2"/>
    <n v="4"/>
    <n v="1320"/>
    <n v="5280"/>
    <n v="0.05"/>
    <n v="264"/>
    <n v="5016"/>
    <n v="850"/>
    <n v="1616"/>
    <n v="0.32216905901116427"/>
    <x v="3"/>
    <x v="1"/>
    <x v="2"/>
    <x v="8"/>
    <s v="CUST1366"/>
    <x v="2"/>
  </r>
  <r>
    <n v="543"/>
    <x v="212"/>
    <x v="3"/>
    <x v="1"/>
    <x v="4"/>
    <n v="6"/>
    <n v="310"/>
    <n v="1860"/>
    <n v="0.1"/>
    <n v="186"/>
    <n v="1674"/>
    <n v="190"/>
    <n v="534"/>
    <n v="0.31899641577060933"/>
    <x v="0"/>
    <x v="1"/>
    <x v="1"/>
    <x v="8"/>
    <s v="CUST1107"/>
    <x v="1"/>
  </r>
  <r>
    <n v="544"/>
    <x v="286"/>
    <x v="2"/>
    <x v="3"/>
    <x v="0"/>
    <n v="7"/>
    <n v="180"/>
    <n v="1260"/>
    <n v="0.15"/>
    <n v="189"/>
    <n v="1071"/>
    <n v="120"/>
    <n v="231"/>
    <n v="0.21568627450980393"/>
    <x v="0"/>
    <x v="1"/>
    <x v="2"/>
    <x v="3"/>
    <s v="CUST1174"/>
    <x v="2"/>
  </r>
  <r>
    <n v="545"/>
    <x v="95"/>
    <x v="5"/>
    <x v="0"/>
    <x v="1"/>
    <n v="8"/>
    <n v="2340"/>
    <n v="18720"/>
    <n v="0.15"/>
    <n v="2808"/>
    <n v="15912"/>
    <n v="1610"/>
    <n v="3032"/>
    <n v="0.19054801407742583"/>
    <x v="0"/>
    <x v="1"/>
    <x v="0"/>
    <x v="8"/>
    <s v="CUST1145"/>
    <x v="0"/>
  </r>
  <r>
    <n v="546"/>
    <x v="104"/>
    <x v="5"/>
    <x v="0"/>
    <x v="1"/>
    <n v="7"/>
    <n v="2400"/>
    <n v="16800"/>
    <n v="0.05"/>
    <n v="840"/>
    <n v="15960"/>
    <n v="1740"/>
    <n v="3780"/>
    <n v="0.23684210526315788"/>
    <x v="2"/>
    <x v="1"/>
    <x v="1"/>
    <x v="5"/>
    <s v="CUST1107"/>
    <x v="2"/>
  </r>
  <r>
    <n v="547"/>
    <x v="84"/>
    <x v="5"/>
    <x v="3"/>
    <x v="3"/>
    <n v="2"/>
    <n v="1600"/>
    <n v="3200"/>
    <n v="0.15"/>
    <n v="480"/>
    <n v="2720"/>
    <n v="1020"/>
    <n v="680"/>
    <n v="0.25"/>
    <x v="2"/>
    <x v="1"/>
    <x v="2"/>
    <x v="6"/>
    <s v="CUST1497"/>
    <x v="2"/>
  </r>
  <r>
    <n v="548"/>
    <x v="284"/>
    <x v="2"/>
    <x v="2"/>
    <x v="4"/>
    <n v="4"/>
    <n v="330"/>
    <n v="1320"/>
    <n v="0.15"/>
    <n v="198"/>
    <n v="1122"/>
    <n v="250"/>
    <n v="122"/>
    <n v="0.10873440285204991"/>
    <x v="2"/>
    <x v="1"/>
    <x v="3"/>
    <x v="9"/>
    <s v="CUST1475"/>
    <x v="0"/>
  </r>
  <r>
    <n v="549"/>
    <x v="263"/>
    <x v="0"/>
    <x v="0"/>
    <x v="4"/>
    <n v="2"/>
    <n v="280"/>
    <n v="560"/>
    <n v="0"/>
    <n v="0"/>
    <n v="560"/>
    <n v="230"/>
    <n v="100"/>
    <n v="0.17857142857142858"/>
    <x v="0"/>
    <x v="1"/>
    <x v="2"/>
    <x v="5"/>
    <s v="CUST1396"/>
    <x v="3"/>
  </r>
  <r>
    <n v="550"/>
    <x v="33"/>
    <x v="1"/>
    <x v="0"/>
    <x v="2"/>
    <n v="12"/>
    <n v="1230"/>
    <n v="14760"/>
    <n v="0"/>
    <n v="0"/>
    <n v="14760"/>
    <n v="900"/>
    <n v="3960"/>
    <n v="0.26829268292682928"/>
    <x v="0"/>
    <x v="0"/>
    <x v="2"/>
    <x v="0"/>
    <s v="CUST1053"/>
    <x v="3"/>
  </r>
  <r>
    <n v="551"/>
    <x v="12"/>
    <x v="5"/>
    <x v="1"/>
    <x v="2"/>
    <n v="10"/>
    <n v="1290"/>
    <n v="12900"/>
    <n v="0.1"/>
    <n v="1290"/>
    <n v="11610"/>
    <n v="1010"/>
    <n v="1510"/>
    <n v="0.13006029285099052"/>
    <x v="4"/>
    <x v="1"/>
    <x v="1"/>
    <x v="1"/>
    <s v="CUST1491"/>
    <x v="0"/>
  </r>
  <r>
    <n v="552"/>
    <x v="282"/>
    <x v="1"/>
    <x v="0"/>
    <x v="4"/>
    <n v="11"/>
    <n v="340"/>
    <n v="3740"/>
    <n v="0.05"/>
    <n v="187"/>
    <n v="3553"/>
    <n v="220"/>
    <n v="1133"/>
    <n v="0.31888544891640869"/>
    <x v="3"/>
    <x v="1"/>
    <x v="3"/>
    <x v="7"/>
    <s v="CUST1281"/>
    <x v="3"/>
  </r>
  <r>
    <n v="553"/>
    <x v="167"/>
    <x v="5"/>
    <x v="0"/>
    <x v="0"/>
    <n v="3"/>
    <n v="210"/>
    <n v="630"/>
    <n v="0.1"/>
    <n v="63"/>
    <n v="567"/>
    <n v="140"/>
    <n v="147"/>
    <n v="0.25925925925925924"/>
    <x v="1"/>
    <x v="1"/>
    <x v="1"/>
    <x v="9"/>
    <s v="CUST1183"/>
    <x v="3"/>
  </r>
  <r>
    <n v="554"/>
    <x v="179"/>
    <x v="2"/>
    <x v="3"/>
    <x v="2"/>
    <n v="7"/>
    <n v="1350"/>
    <n v="9450"/>
    <n v="0"/>
    <n v="0"/>
    <n v="9450"/>
    <n v="1070"/>
    <n v="1960"/>
    <n v="0.2074074074074074"/>
    <x v="1"/>
    <x v="1"/>
    <x v="3"/>
    <x v="5"/>
    <s v="CUST1412"/>
    <x v="1"/>
  </r>
  <r>
    <n v="555"/>
    <x v="125"/>
    <x v="5"/>
    <x v="1"/>
    <x v="2"/>
    <n v="2"/>
    <n v="1350"/>
    <n v="2700"/>
    <n v="0"/>
    <n v="0"/>
    <n v="2700"/>
    <n v="990"/>
    <n v="720"/>
    <n v="0.26666666666666666"/>
    <x v="2"/>
    <x v="1"/>
    <x v="1"/>
    <x v="7"/>
    <s v="CUST1475"/>
    <x v="3"/>
  </r>
  <r>
    <n v="556"/>
    <x v="337"/>
    <x v="0"/>
    <x v="0"/>
    <x v="5"/>
    <n v="6"/>
    <n v="180"/>
    <n v="1080"/>
    <n v="0"/>
    <n v="0"/>
    <n v="1080"/>
    <n v="110"/>
    <n v="420"/>
    <n v="0.3888888888888889"/>
    <x v="4"/>
    <x v="1"/>
    <x v="3"/>
    <x v="0"/>
    <s v="CUST1123"/>
    <x v="2"/>
  </r>
  <r>
    <n v="557"/>
    <x v="91"/>
    <x v="1"/>
    <x v="1"/>
    <x v="4"/>
    <n v="11"/>
    <n v="280"/>
    <n v="3080"/>
    <n v="0"/>
    <n v="0"/>
    <n v="3080"/>
    <n v="210"/>
    <n v="770"/>
    <n v="0.25"/>
    <x v="2"/>
    <x v="1"/>
    <x v="1"/>
    <x v="1"/>
    <s v="CUST1468"/>
    <x v="1"/>
  </r>
  <r>
    <n v="558"/>
    <x v="149"/>
    <x v="2"/>
    <x v="3"/>
    <x v="3"/>
    <n v="9"/>
    <n v="1580"/>
    <n v="14220"/>
    <n v="0"/>
    <n v="0"/>
    <n v="14220"/>
    <n v="940"/>
    <n v="5760"/>
    <n v="0.4050632911392405"/>
    <x v="3"/>
    <x v="1"/>
    <x v="2"/>
    <x v="7"/>
    <s v="CUST1147"/>
    <x v="3"/>
  </r>
  <r>
    <n v="559"/>
    <x v="264"/>
    <x v="2"/>
    <x v="0"/>
    <x v="4"/>
    <n v="8"/>
    <n v="270"/>
    <n v="2160"/>
    <n v="0"/>
    <n v="0"/>
    <n v="2160"/>
    <n v="210"/>
    <n v="480"/>
    <n v="0.22222222222222221"/>
    <x v="1"/>
    <x v="1"/>
    <x v="1"/>
    <x v="8"/>
    <s v="CUST1162"/>
    <x v="3"/>
  </r>
  <r>
    <n v="560"/>
    <x v="187"/>
    <x v="0"/>
    <x v="2"/>
    <x v="0"/>
    <n v="10"/>
    <n v="180"/>
    <n v="1800"/>
    <n v="0"/>
    <n v="0"/>
    <n v="1800"/>
    <n v="150"/>
    <n v="300"/>
    <n v="0.16666666666666666"/>
    <x v="1"/>
    <x v="1"/>
    <x v="2"/>
    <x v="4"/>
    <s v="CUST1327"/>
    <x v="2"/>
  </r>
  <r>
    <n v="561"/>
    <x v="326"/>
    <x v="0"/>
    <x v="0"/>
    <x v="2"/>
    <n v="4"/>
    <n v="1260"/>
    <n v="5040"/>
    <n v="0"/>
    <n v="0"/>
    <n v="5040"/>
    <n v="840"/>
    <n v="1680"/>
    <n v="0.33333333333333331"/>
    <x v="2"/>
    <x v="1"/>
    <x v="2"/>
    <x v="5"/>
    <s v="CUST1130"/>
    <x v="2"/>
  </r>
  <r>
    <n v="562"/>
    <x v="105"/>
    <x v="1"/>
    <x v="1"/>
    <x v="2"/>
    <n v="4"/>
    <n v="1130"/>
    <n v="4520"/>
    <n v="0.02"/>
    <n v="90.4"/>
    <n v="4429.6000000000004"/>
    <n v="660"/>
    <n v="1789.6000000000004"/>
    <n v="0.4040093913671664"/>
    <x v="4"/>
    <x v="1"/>
    <x v="2"/>
    <x v="3"/>
    <s v="CUST1038"/>
    <x v="0"/>
  </r>
  <r>
    <n v="563"/>
    <x v="240"/>
    <x v="5"/>
    <x v="1"/>
    <x v="2"/>
    <n v="7"/>
    <n v="2270"/>
    <n v="15890"/>
    <n v="0.1"/>
    <n v="1589"/>
    <n v="14301"/>
    <n v="1800"/>
    <n v="1701"/>
    <n v="0.11894273127753303"/>
    <x v="2"/>
    <x v="1"/>
    <x v="0"/>
    <x v="2"/>
    <s v="CUST1469"/>
    <x v="0"/>
  </r>
  <r>
    <n v="564"/>
    <x v="100"/>
    <x v="5"/>
    <x v="0"/>
    <x v="5"/>
    <n v="6"/>
    <n v="200"/>
    <n v="1200"/>
    <n v="0.15"/>
    <n v="180"/>
    <n v="1020"/>
    <n v="150"/>
    <n v="120"/>
    <n v="0.11764705882352941"/>
    <x v="1"/>
    <x v="1"/>
    <x v="3"/>
    <x v="0"/>
    <s v="CUST1420"/>
    <x v="0"/>
  </r>
  <r>
    <n v="565"/>
    <x v="176"/>
    <x v="0"/>
    <x v="1"/>
    <x v="1"/>
    <n v="10"/>
    <n v="2240"/>
    <n v="22400"/>
    <n v="0.1"/>
    <n v="2240"/>
    <n v="20160"/>
    <n v="1690"/>
    <n v="3260"/>
    <n v="0.16170634920634921"/>
    <x v="1"/>
    <x v="1"/>
    <x v="2"/>
    <x v="0"/>
    <s v="CUST1132"/>
    <x v="2"/>
  </r>
  <r>
    <n v="566"/>
    <x v="74"/>
    <x v="1"/>
    <x v="3"/>
    <x v="3"/>
    <n v="11"/>
    <n v="1530"/>
    <n v="16830"/>
    <n v="0"/>
    <n v="0"/>
    <n v="16830"/>
    <n v="1080"/>
    <n v="4950"/>
    <n v="0.29411764705882354"/>
    <x v="1"/>
    <x v="2"/>
    <x v="1"/>
    <x v="2"/>
    <s v="CUST1377"/>
    <x v="3"/>
  </r>
  <r>
    <n v="567"/>
    <x v="246"/>
    <x v="5"/>
    <x v="2"/>
    <x v="5"/>
    <n v="8"/>
    <n v="210"/>
    <n v="1680"/>
    <n v="0.1"/>
    <n v="168"/>
    <n v="1512"/>
    <n v="130"/>
    <n v="472"/>
    <n v="0.31216931216931215"/>
    <x v="2"/>
    <x v="1"/>
    <x v="0"/>
    <x v="0"/>
    <s v="CUST1080"/>
    <x v="2"/>
  </r>
  <r>
    <n v="568"/>
    <x v="284"/>
    <x v="1"/>
    <x v="3"/>
    <x v="0"/>
    <n v="2"/>
    <n v="200"/>
    <n v="400"/>
    <n v="0"/>
    <n v="0"/>
    <n v="400"/>
    <n v="140"/>
    <n v="120"/>
    <n v="0.3"/>
    <x v="4"/>
    <x v="1"/>
    <x v="3"/>
    <x v="8"/>
    <s v="CUST1232"/>
    <x v="3"/>
  </r>
  <r>
    <n v="569"/>
    <x v="4"/>
    <x v="4"/>
    <x v="1"/>
    <x v="0"/>
    <n v="8"/>
    <n v="190"/>
    <n v="1520"/>
    <n v="0.02"/>
    <n v="30.400000000000002"/>
    <n v="1489.6"/>
    <n v="130"/>
    <n v="449.59999999999991"/>
    <n v="0.30182599355531681"/>
    <x v="1"/>
    <x v="1"/>
    <x v="0"/>
    <x v="8"/>
    <s v="CUST1015"/>
    <x v="0"/>
  </r>
  <r>
    <n v="570"/>
    <x v="75"/>
    <x v="0"/>
    <x v="0"/>
    <x v="3"/>
    <n v="1"/>
    <n v="1240"/>
    <n v="1240"/>
    <n v="0.15"/>
    <n v="186"/>
    <n v="1054"/>
    <n v="940"/>
    <n v="114"/>
    <n v="0.10815939278937381"/>
    <x v="1"/>
    <x v="1"/>
    <x v="1"/>
    <x v="5"/>
    <s v="CUST1420"/>
    <x v="1"/>
  </r>
  <r>
    <n v="571"/>
    <x v="36"/>
    <x v="0"/>
    <x v="0"/>
    <x v="3"/>
    <n v="1"/>
    <n v="1420"/>
    <n v="1420"/>
    <n v="0.02"/>
    <n v="28.400000000000002"/>
    <n v="1391.6"/>
    <n v="1130"/>
    <n v="261.59999999999991"/>
    <n v="0.18798505317620001"/>
    <x v="1"/>
    <x v="3"/>
    <x v="1"/>
    <x v="7"/>
    <s v="CUST1087"/>
    <x v="0"/>
  </r>
  <r>
    <n v="572"/>
    <x v="108"/>
    <x v="5"/>
    <x v="1"/>
    <x v="1"/>
    <n v="7"/>
    <n v="2020"/>
    <n v="14140"/>
    <n v="0"/>
    <n v="0"/>
    <n v="14140"/>
    <n v="1250"/>
    <n v="5390"/>
    <n v="0.38118811881188119"/>
    <x v="4"/>
    <x v="1"/>
    <x v="0"/>
    <x v="2"/>
    <s v="CUST1079"/>
    <x v="3"/>
  </r>
  <r>
    <n v="573"/>
    <x v="106"/>
    <x v="5"/>
    <x v="0"/>
    <x v="5"/>
    <n v="9"/>
    <n v="170"/>
    <n v="1530"/>
    <n v="0"/>
    <n v="0"/>
    <n v="1530"/>
    <n v="100"/>
    <n v="630"/>
    <n v="0.41176470588235292"/>
    <x v="2"/>
    <x v="1"/>
    <x v="1"/>
    <x v="8"/>
    <s v="CUST1415"/>
    <x v="3"/>
  </r>
  <r>
    <n v="574"/>
    <x v="25"/>
    <x v="0"/>
    <x v="0"/>
    <x v="4"/>
    <n v="12"/>
    <n v="320"/>
    <n v="3840"/>
    <n v="0.1"/>
    <n v="384"/>
    <n v="3456"/>
    <n v="190"/>
    <n v="1176"/>
    <n v="0.34027777777777779"/>
    <x v="1"/>
    <x v="1"/>
    <x v="0"/>
    <x v="6"/>
    <s v="CUST1359"/>
    <x v="0"/>
  </r>
  <r>
    <n v="575"/>
    <x v="110"/>
    <x v="4"/>
    <x v="1"/>
    <x v="3"/>
    <n v="1"/>
    <n v="1510"/>
    <n v="1510"/>
    <n v="0.05"/>
    <n v="75.5"/>
    <n v="1434.5"/>
    <n v="960"/>
    <n v="474.5"/>
    <n v="0.33077727431160681"/>
    <x v="3"/>
    <x v="1"/>
    <x v="2"/>
    <x v="7"/>
    <s v="CUST1479"/>
    <x v="1"/>
  </r>
  <r>
    <n v="576"/>
    <x v="278"/>
    <x v="2"/>
    <x v="1"/>
    <x v="3"/>
    <n v="3"/>
    <n v="1470"/>
    <n v="4410"/>
    <n v="0.05"/>
    <n v="220.5"/>
    <n v="4189.5"/>
    <n v="1100"/>
    <n v="889.5"/>
    <n v="0.21231650554958825"/>
    <x v="0"/>
    <x v="1"/>
    <x v="3"/>
    <x v="9"/>
    <s v="CUST1401"/>
    <x v="1"/>
  </r>
  <r>
    <n v="577"/>
    <x v="345"/>
    <x v="2"/>
    <x v="0"/>
    <x v="0"/>
    <n v="7"/>
    <n v="240"/>
    <n v="1680"/>
    <n v="0.05"/>
    <n v="84"/>
    <n v="1596"/>
    <n v="170"/>
    <n v="406"/>
    <n v="0.25438596491228072"/>
    <x v="3"/>
    <x v="1"/>
    <x v="3"/>
    <x v="0"/>
    <s v="CUST1468"/>
    <x v="1"/>
  </r>
  <r>
    <n v="578"/>
    <x v="14"/>
    <x v="1"/>
    <x v="1"/>
    <x v="0"/>
    <n v="1"/>
    <n v="200"/>
    <n v="200"/>
    <n v="0"/>
    <n v="0"/>
    <n v="200"/>
    <n v="140"/>
    <n v="60"/>
    <n v="0.3"/>
    <x v="2"/>
    <x v="1"/>
    <x v="2"/>
    <x v="5"/>
    <s v="CUST1211"/>
    <x v="1"/>
  </r>
  <r>
    <n v="579"/>
    <x v="105"/>
    <x v="0"/>
    <x v="0"/>
    <x v="5"/>
    <n v="1"/>
    <n v="190"/>
    <n v="190"/>
    <n v="0"/>
    <n v="0"/>
    <n v="190"/>
    <n v="140"/>
    <n v="50"/>
    <n v="0.26315789473684209"/>
    <x v="3"/>
    <x v="1"/>
    <x v="0"/>
    <x v="6"/>
    <s v="CUST1142"/>
    <x v="1"/>
  </r>
  <r>
    <n v="580"/>
    <x v="6"/>
    <x v="5"/>
    <x v="0"/>
    <x v="4"/>
    <n v="3"/>
    <n v="270"/>
    <n v="810"/>
    <n v="0"/>
    <n v="0"/>
    <n v="810"/>
    <n v="180"/>
    <n v="270"/>
    <n v="0.33333333333333331"/>
    <x v="4"/>
    <x v="1"/>
    <x v="0"/>
    <x v="3"/>
    <s v="CUST1427"/>
    <x v="0"/>
  </r>
  <r>
    <n v="581"/>
    <x v="324"/>
    <x v="2"/>
    <x v="0"/>
    <x v="3"/>
    <n v="8"/>
    <n v="1080"/>
    <n v="8640"/>
    <n v="0.05"/>
    <n v="432"/>
    <n v="8208"/>
    <n v="640"/>
    <n v="3088"/>
    <n v="0.37621832358674462"/>
    <x v="2"/>
    <x v="1"/>
    <x v="1"/>
    <x v="1"/>
    <s v="CUST1295"/>
    <x v="0"/>
  </r>
  <r>
    <n v="582"/>
    <x v="154"/>
    <x v="1"/>
    <x v="0"/>
    <x v="5"/>
    <n v="12"/>
    <n v="210"/>
    <n v="2520"/>
    <n v="0.15"/>
    <n v="378"/>
    <n v="2142"/>
    <n v="140"/>
    <n v="462"/>
    <n v="0.21568627450980393"/>
    <x v="4"/>
    <x v="1"/>
    <x v="2"/>
    <x v="5"/>
    <s v="CUST1320"/>
    <x v="0"/>
  </r>
  <r>
    <n v="583"/>
    <x v="80"/>
    <x v="1"/>
    <x v="3"/>
    <x v="2"/>
    <n v="11"/>
    <n v="1280"/>
    <n v="14080"/>
    <n v="0.02"/>
    <n v="281.60000000000002"/>
    <n v="13798.4"/>
    <n v="900"/>
    <n v="3898.3999999999996"/>
    <n v="0.28252551020408162"/>
    <x v="0"/>
    <x v="1"/>
    <x v="1"/>
    <x v="2"/>
    <s v="CUST1471"/>
    <x v="3"/>
  </r>
  <r>
    <n v="584"/>
    <x v="346"/>
    <x v="4"/>
    <x v="0"/>
    <x v="0"/>
    <n v="10"/>
    <n v="190"/>
    <n v="1900"/>
    <n v="0.02"/>
    <n v="38"/>
    <n v="1862"/>
    <n v="120"/>
    <n v="662"/>
    <n v="0.35553168635875404"/>
    <x v="2"/>
    <x v="1"/>
    <x v="3"/>
    <x v="7"/>
    <s v="CUST1476"/>
    <x v="0"/>
  </r>
  <r>
    <n v="585"/>
    <x v="54"/>
    <x v="4"/>
    <x v="3"/>
    <x v="0"/>
    <n v="12"/>
    <n v="180"/>
    <n v="2160"/>
    <n v="0"/>
    <n v="0"/>
    <n v="2160"/>
    <n v="130"/>
    <n v="600"/>
    <n v="0.27777777777777779"/>
    <x v="3"/>
    <x v="1"/>
    <x v="1"/>
    <x v="1"/>
    <s v="CUST1041"/>
    <x v="1"/>
  </r>
  <r>
    <n v="586"/>
    <x v="126"/>
    <x v="4"/>
    <x v="1"/>
    <x v="3"/>
    <n v="9"/>
    <n v="1660"/>
    <n v="14940"/>
    <n v="0"/>
    <n v="0"/>
    <n v="14940"/>
    <n v="980"/>
    <n v="6120"/>
    <n v="0.40963855421686746"/>
    <x v="0"/>
    <x v="1"/>
    <x v="3"/>
    <x v="1"/>
    <s v="CUST1002"/>
    <x v="3"/>
  </r>
  <r>
    <n v="587"/>
    <x v="187"/>
    <x v="2"/>
    <x v="3"/>
    <x v="1"/>
    <n v="2"/>
    <n v="2280"/>
    <n v="4560"/>
    <n v="0.05"/>
    <n v="228"/>
    <n v="4332"/>
    <n v="1590"/>
    <n v="1152"/>
    <n v="0.26592797783933519"/>
    <x v="3"/>
    <x v="1"/>
    <x v="3"/>
    <x v="7"/>
    <s v="CUST1274"/>
    <x v="0"/>
  </r>
  <r>
    <n v="588"/>
    <x v="155"/>
    <x v="0"/>
    <x v="0"/>
    <x v="1"/>
    <n v="11"/>
    <n v="2210"/>
    <n v="24310"/>
    <n v="0.15"/>
    <n v="3646.5"/>
    <n v="20663.5"/>
    <n v="1380"/>
    <n v="5483.5"/>
    <n v="0.26537130689379823"/>
    <x v="0"/>
    <x v="1"/>
    <x v="1"/>
    <x v="2"/>
    <s v="CUST1310"/>
    <x v="1"/>
  </r>
  <r>
    <n v="589"/>
    <x v="70"/>
    <x v="1"/>
    <x v="2"/>
    <x v="2"/>
    <n v="3"/>
    <n v="1160"/>
    <n v="3480"/>
    <n v="0.05"/>
    <n v="174"/>
    <n v="3306"/>
    <n v="900"/>
    <n v="606"/>
    <n v="0.18330308529945555"/>
    <x v="4"/>
    <x v="1"/>
    <x v="3"/>
    <x v="5"/>
    <s v="CUST1328"/>
    <x v="1"/>
  </r>
  <r>
    <n v="590"/>
    <x v="336"/>
    <x v="1"/>
    <x v="0"/>
    <x v="2"/>
    <n v="2"/>
    <n v="2290"/>
    <n v="4580"/>
    <n v="0"/>
    <n v="0"/>
    <n v="4580"/>
    <n v="1580"/>
    <n v="1420"/>
    <n v="0.31004366812227074"/>
    <x v="0"/>
    <x v="0"/>
    <x v="3"/>
    <x v="5"/>
    <s v="CUST1306"/>
    <x v="2"/>
  </r>
  <r>
    <n v="591"/>
    <x v="22"/>
    <x v="1"/>
    <x v="3"/>
    <x v="3"/>
    <n v="7"/>
    <n v="1460"/>
    <n v="10220"/>
    <n v="0"/>
    <n v="0"/>
    <n v="10220"/>
    <n v="1130"/>
    <n v="2310"/>
    <n v="0.22602739726027396"/>
    <x v="2"/>
    <x v="1"/>
    <x v="1"/>
    <x v="7"/>
    <s v="CUST1272"/>
    <x v="2"/>
  </r>
  <r>
    <n v="592"/>
    <x v="205"/>
    <x v="0"/>
    <x v="3"/>
    <x v="1"/>
    <n v="12"/>
    <n v="2360"/>
    <n v="28320"/>
    <n v="0"/>
    <n v="0"/>
    <n v="28320"/>
    <n v="1760"/>
    <n v="7200"/>
    <n v="0.25423728813559321"/>
    <x v="4"/>
    <x v="1"/>
    <x v="0"/>
    <x v="2"/>
    <s v="CUST1084"/>
    <x v="3"/>
  </r>
  <r>
    <n v="593"/>
    <x v="79"/>
    <x v="1"/>
    <x v="1"/>
    <x v="3"/>
    <n v="8"/>
    <n v="1610"/>
    <n v="12880"/>
    <n v="0.1"/>
    <n v="1288"/>
    <n v="11592"/>
    <n v="1030"/>
    <n v="3352"/>
    <n v="0.2891649413388544"/>
    <x v="1"/>
    <x v="1"/>
    <x v="0"/>
    <x v="3"/>
    <s v="CUST1234"/>
    <x v="3"/>
  </r>
  <r>
    <n v="594"/>
    <x v="355"/>
    <x v="4"/>
    <x v="3"/>
    <x v="5"/>
    <n v="8"/>
    <n v="170"/>
    <n v="1360"/>
    <n v="0.1"/>
    <n v="136"/>
    <n v="1224"/>
    <n v="130"/>
    <n v="184"/>
    <n v="0.15032679738562091"/>
    <x v="2"/>
    <x v="1"/>
    <x v="1"/>
    <x v="5"/>
    <s v="CUST1395"/>
    <x v="0"/>
  </r>
  <r>
    <n v="595"/>
    <x v="125"/>
    <x v="4"/>
    <x v="2"/>
    <x v="4"/>
    <n v="8"/>
    <n v="280"/>
    <n v="2240"/>
    <n v="0.15"/>
    <n v="336"/>
    <n v="1904"/>
    <n v="190"/>
    <n v="384"/>
    <n v="0.20168067226890757"/>
    <x v="2"/>
    <x v="1"/>
    <x v="3"/>
    <x v="8"/>
    <s v="CUST1196"/>
    <x v="3"/>
  </r>
  <r>
    <n v="596"/>
    <x v="325"/>
    <x v="5"/>
    <x v="3"/>
    <x v="0"/>
    <n v="2"/>
    <n v="190"/>
    <n v="380"/>
    <n v="0.1"/>
    <n v="38"/>
    <n v="342"/>
    <n v="110"/>
    <n v="122"/>
    <n v="0.35672514619883039"/>
    <x v="0"/>
    <x v="1"/>
    <x v="3"/>
    <x v="0"/>
    <s v="CUST1024"/>
    <x v="1"/>
  </r>
  <r>
    <n v="597"/>
    <x v="71"/>
    <x v="4"/>
    <x v="0"/>
    <x v="0"/>
    <n v="8"/>
    <n v="200"/>
    <n v="1600"/>
    <n v="0.02"/>
    <n v="32"/>
    <n v="1568"/>
    <n v="130"/>
    <n v="528"/>
    <n v="0.33673469387755101"/>
    <x v="4"/>
    <x v="1"/>
    <x v="3"/>
    <x v="4"/>
    <s v="CUST1496"/>
    <x v="0"/>
  </r>
  <r>
    <n v="598"/>
    <x v="47"/>
    <x v="1"/>
    <x v="0"/>
    <x v="0"/>
    <n v="6"/>
    <n v="230"/>
    <n v="1380"/>
    <n v="0"/>
    <n v="0"/>
    <n v="1380"/>
    <n v="150"/>
    <n v="480"/>
    <n v="0.34782608695652173"/>
    <x v="3"/>
    <x v="1"/>
    <x v="0"/>
    <x v="9"/>
    <s v="CUST1014"/>
    <x v="1"/>
  </r>
  <r>
    <n v="599"/>
    <x v="44"/>
    <x v="2"/>
    <x v="0"/>
    <x v="1"/>
    <n v="12"/>
    <n v="2240"/>
    <n v="26880"/>
    <n v="0.05"/>
    <n v="1344"/>
    <n v="25536"/>
    <n v="1770"/>
    <n v="4296"/>
    <n v="0.16823308270676693"/>
    <x v="2"/>
    <x v="1"/>
    <x v="0"/>
    <x v="6"/>
    <s v="CUST1465"/>
    <x v="2"/>
  </r>
  <r>
    <n v="600"/>
    <x v="24"/>
    <x v="5"/>
    <x v="0"/>
    <x v="1"/>
    <n v="3"/>
    <n v="2000"/>
    <n v="6000"/>
    <n v="0.15"/>
    <n v="900"/>
    <n v="5100"/>
    <n v="1360"/>
    <n v="1020"/>
    <n v="0.2"/>
    <x v="1"/>
    <x v="1"/>
    <x v="0"/>
    <x v="2"/>
    <s v="CUST1059"/>
    <x v="0"/>
  </r>
  <r>
    <n v="601"/>
    <x v="275"/>
    <x v="1"/>
    <x v="3"/>
    <x v="3"/>
    <n v="8"/>
    <n v="1170"/>
    <n v="9360"/>
    <n v="0.15"/>
    <n v="1404"/>
    <n v="7956"/>
    <n v="690"/>
    <n v="2436"/>
    <n v="0.30618401206636503"/>
    <x v="2"/>
    <x v="1"/>
    <x v="1"/>
    <x v="1"/>
    <s v="CUST1140"/>
    <x v="2"/>
  </r>
  <r>
    <n v="602"/>
    <x v="104"/>
    <x v="5"/>
    <x v="0"/>
    <x v="5"/>
    <n v="8"/>
    <n v="190"/>
    <n v="1520"/>
    <n v="0.15"/>
    <n v="228"/>
    <n v="1292"/>
    <n v="130"/>
    <n v="252"/>
    <n v="0.19504643962848298"/>
    <x v="1"/>
    <x v="1"/>
    <x v="2"/>
    <x v="1"/>
    <s v="CUST1252"/>
    <x v="0"/>
  </r>
  <r>
    <n v="603"/>
    <x v="249"/>
    <x v="1"/>
    <x v="2"/>
    <x v="4"/>
    <n v="3"/>
    <n v="340"/>
    <n v="1020"/>
    <n v="0.15"/>
    <n v="153"/>
    <n v="867"/>
    <n v="250"/>
    <n v="117"/>
    <n v="0.13494809688581316"/>
    <x v="4"/>
    <x v="1"/>
    <x v="3"/>
    <x v="3"/>
    <s v="CUST1076"/>
    <x v="1"/>
  </r>
  <r>
    <n v="604"/>
    <x v="133"/>
    <x v="5"/>
    <x v="1"/>
    <x v="5"/>
    <n v="6"/>
    <n v="210"/>
    <n v="1260"/>
    <n v="0.02"/>
    <n v="25.2"/>
    <n v="1234.8"/>
    <n v="140"/>
    <n v="394.79999999999995"/>
    <n v="0.31972789115646255"/>
    <x v="1"/>
    <x v="1"/>
    <x v="1"/>
    <x v="9"/>
    <s v="CUST1227"/>
    <x v="3"/>
  </r>
  <r>
    <n v="605"/>
    <x v="193"/>
    <x v="4"/>
    <x v="2"/>
    <x v="2"/>
    <n v="1"/>
    <n v="1190"/>
    <n v="1190"/>
    <n v="0.15"/>
    <n v="178.5"/>
    <n v="1011.5"/>
    <n v="820"/>
    <n v="191.5"/>
    <n v="0.18932278793870488"/>
    <x v="0"/>
    <x v="1"/>
    <x v="3"/>
    <x v="7"/>
    <s v="CUST1322"/>
    <x v="1"/>
  </r>
  <r>
    <n v="606"/>
    <x v="194"/>
    <x v="1"/>
    <x v="0"/>
    <x v="5"/>
    <n v="10"/>
    <n v="210"/>
    <n v="2100"/>
    <n v="0.1"/>
    <n v="210"/>
    <n v="1890"/>
    <n v="150"/>
    <n v="390"/>
    <n v="0.20634920634920634"/>
    <x v="3"/>
    <x v="1"/>
    <x v="0"/>
    <x v="4"/>
    <s v="CUST1175"/>
    <x v="3"/>
  </r>
  <r>
    <n v="607"/>
    <x v="21"/>
    <x v="2"/>
    <x v="0"/>
    <x v="1"/>
    <n v="3"/>
    <n v="2260"/>
    <n v="6780"/>
    <n v="0"/>
    <n v="0"/>
    <n v="6780"/>
    <n v="1640"/>
    <n v="1860"/>
    <n v="0.27433628318584069"/>
    <x v="4"/>
    <x v="1"/>
    <x v="1"/>
    <x v="0"/>
    <s v="CUST1089"/>
    <x v="3"/>
  </r>
  <r>
    <n v="608"/>
    <x v="161"/>
    <x v="5"/>
    <x v="2"/>
    <x v="0"/>
    <n v="4"/>
    <n v="220"/>
    <n v="880"/>
    <n v="0"/>
    <n v="0"/>
    <n v="880"/>
    <n v="150"/>
    <n v="280"/>
    <n v="0.31818181818181818"/>
    <x v="4"/>
    <x v="1"/>
    <x v="0"/>
    <x v="9"/>
    <s v="CUST1409"/>
    <x v="2"/>
  </r>
  <r>
    <n v="609"/>
    <x v="41"/>
    <x v="3"/>
    <x v="0"/>
    <x v="1"/>
    <n v="4"/>
    <n v="2010"/>
    <n v="8040"/>
    <n v="0"/>
    <n v="0"/>
    <n v="8040"/>
    <n v="1620"/>
    <n v="1560"/>
    <n v="0.19402985074626866"/>
    <x v="0"/>
    <x v="1"/>
    <x v="1"/>
    <x v="5"/>
    <s v="CUST1452"/>
    <x v="2"/>
  </r>
  <r>
    <n v="610"/>
    <x v="230"/>
    <x v="0"/>
    <x v="1"/>
    <x v="0"/>
    <n v="1"/>
    <n v="190"/>
    <n v="190"/>
    <n v="0.02"/>
    <n v="3.8000000000000003"/>
    <n v="186.2"/>
    <n v="140"/>
    <n v="46.199999999999989"/>
    <n v="0.24812030075187966"/>
    <x v="2"/>
    <x v="1"/>
    <x v="0"/>
    <x v="4"/>
    <s v="CUST1089"/>
    <x v="3"/>
  </r>
  <r>
    <n v="611"/>
    <x v="58"/>
    <x v="5"/>
    <x v="1"/>
    <x v="2"/>
    <n v="1"/>
    <n v="1330"/>
    <n v="1330"/>
    <n v="0.1"/>
    <n v="133"/>
    <n v="1197"/>
    <n v="800"/>
    <n v="397"/>
    <n v="0.33166248955722638"/>
    <x v="4"/>
    <x v="1"/>
    <x v="1"/>
    <x v="4"/>
    <s v="CUST1313"/>
    <x v="3"/>
  </r>
  <r>
    <n v="612"/>
    <x v="302"/>
    <x v="0"/>
    <x v="0"/>
    <x v="5"/>
    <n v="6"/>
    <n v="210"/>
    <n v="1260"/>
    <n v="0"/>
    <n v="0"/>
    <n v="1260"/>
    <n v="120"/>
    <n v="540"/>
    <n v="0.42857142857142855"/>
    <x v="4"/>
    <x v="2"/>
    <x v="0"/>
    <x v="7"/>
    <s v="CUST1374"/>
    <x v="0"/>
  </r>
  <r>
    <n v="613"/>
    <x v="270"/>
    <x v="1"/>
    <x v="3"/>
    <x v="5"/>
    <n v="9"/>
    <n v="200"/>
    <n v="1800"/>
    <n v="0.15"/>
    <n v="270"/>
    <n v="1530"/>
    <n v="120"/>
    <n v="450"/>
    <n v="0.29411764705882354"/>
    <x v="2"/>
    <x v="1"/>
    <x v="3"/>
    <x v="9"/>
    <s v="CUST1223"/>
    <x v="1"/>
  </r>
  <r>
    <n v="614"/>
    <x v="223"/>
    <x v="0"/>
    <x v="0"/>
    <x v="4"/>
    <n v="4"/>
    <n v="300"/>
    <n v="1200"/>
    <n v="0"/>
    <n v="0"/>
    <n v="1200"/>
    <n v="180"/>
    <n v="480"/>
    <n v="0.4"/>
    <x v="4"/>
    <x v="1"/>
    <x v="3"/>
    <x v="1"/>
    <s v="CUST1325"/>
    <x v="2"/>
  </r>
  <r>
    <n v="615"/>
    <x v="350"/>
    <x v="5"/>
    <x v="1"/>
    <x v="5"/>
    <n v="9"/>
    <n v="190"/>
    <n v="1710"/>
    <n v="0.1"/>
    <n v="171"/>
    <n v="1539"/>
    <n v="150"/>
    <n v="189"/>
    <n v="0.12280701754385964"/>
    <x v="2"/>
    <x v="1"/>
    <x v="0"/>
    <x v="5"/>
    <s v="CUST1360"/>
    <x v="0"/>
  </r>
  <r>
    <n v="616"/>
    <x v="322"/>
    <x v="1"/>
    <x v="0"/>
    <x v="1"/>
    <n v="12"/>
    <n v="2040"/>
    <n v="24480"/>
    <n v="0.1"/>
    <n v="2448"/>
    <n v="22032"/>
    <n v="1660"/>
    <n v="2112"/>
    <n v="9.586056644880174E-2"/>
    <x v="3"/>
    <x v="1"/>
    <x v="2"/>
    <x v="6"/>
    <s v="CUST1378"/>
    <x v="0"/>
  </r>
  <r>
    <n v="617"/>
    <x v="122"/>
    <x v="5"/>
    <x v="1"/>
    <x v="2"/>
    <n v="2"/>
    <n v="1230"/>
    <n v="2460"/>
    <n v="0"/>
    <n v="0"/>
    <n v="2460"/>
    <n v="750"/>
    <n v="960"/>
    <n v="0.3902439024390244"/>
    <x v="0"/>
    <x v="1"/>
    <x v="1"/>
    <x v="2"/>
    <s v="CUST1085"/>
    <x v="3"/>
  </r>
  <r>
    <n v="618"/>
    <x v="107"/>
    <x v="0"/>
    <x v="1"/>
    <x v="4"/>
    <n v="6"/>
    <n v="340"/>
    <n v="2040"/>
    <n v="0.05"/>
    <n v="102"/>
    <n v="1938"/>
    <n v="280"/>
    <n v="258"/>
    <n v="0.13312693498452013"/>
    <x v="2"/>
    <x v="1"/>
    <x v="3"/>
    <x v="5"/>
    <s v="CUST1344"/>
    <x v="1"/>
  </r>
  <r>
    <n v="619"/>
    <x v="211"/>
    <x v="5"/>
    <x v="0"/>
    <x v="4"/>
    <n v="8"/>
    <n v="280"/>
    <n v="2240"/>
    <n v="0.15"/>
    <n v="336"/>
    <n v="1904"/>
    <n v="180"/>
    <n v="464"/>
    <n v="0.24369747899159663"/>
    <x v="0"/>
    <x v="1"/>
    <x v="3"/>
    <x v="0"/>
    <s v="CUST1004"/>
    <x v="2"/>
  </r>
  <r>
    <n v="620"/>
    <x v="185"/>
    <x v="5"/>
    <x v="0"/>
    <x v="1"/>
    <n v="6"/>
    <n v="2160"/>
    <n v="12960"/>
    <n v="0"/>
    <n v="0"/>
    <n v="12960"/>
    <n v="1470"/>
    <n v="4140"/>
    <n v="0.31944444444444442"/>
    <x v="1"/>
    <x v="1"/>
    <x v="3"/>
    <x v="2"/>
    <s v="CUST1071"/>
    <x v="1"/>
  </r>
  <r>
    <n v="621"/>
    <x v="146"/>
    <x v="1"/>
    <x v="2"/>
    <x v="2"/>
    <n v="5"/>
    <n v="2060"/>
    <n v="10300"/>
    <n v="0"/>
    <n v="0"/>
    <n v="10300"/>
    <n v="1210"/>
    <n v="4250"/>
    <n v="0.41262135922330095"/>
    <x v="3"/>
    <x v="1"/>
    <x v="3"/>
    <x v="8"/>
    <s v="CUST1214"/>
    <x v="3"/>
  </r>
  <r>
    <n v="622"/>
    <x v="29"/>
    <x v="1"/>
    <x v="1"/>
    <x v="3"/>
    <n v="4"/>
    <n v="1400"/>
    <n v="5600"/>
    <n v="0"/>
    <n v="0"/>
    <n v="5600"/>
    <n v="1060"/>
    <n v="1360"/>
    <n v="0.24285714285714285"/>
    <x v="4"/>
    <x v="0"/>
    <x v="2"/>
    <x v="3"/>
    <s v="CUST1472"/>
    <x v="0"/>
  </r>
  <r>
    <n v="623"/>
    <x v="201"/>
    <x v="5"/>
    <x v="0"/>
    <x v="0"/>
    <n v="12"/>
    <n v="240"/>
    <n v="2880"/>
    <n v="0.1"/>
    <n v="288"/>
    <n v="2592"/>
    <n v="140"/>
    <n v="912"/>
    <n v="0.35185185185185186"/>
    <x v="4"/>
    <x v="1"/>
    <x v="3"/>
    <x v="0"/>
    <s v="CUST1029"/>
    <x v="0"/>
  </r>
  <r>
    <n v="624"/>
    <x v="58"/>
    <x v="3"/>
    <x v="0"/>
    <x v="2"/>
    <n v="1"/>
    <n v="1250"/>
    <n v="1250"/>
    <n v="0.02"/>
    <n v="25"/>
    <n v="1225"/>
    <n v="820"/>
    <n v="405"/>
    <n v="0.33061224489795921"/>
    <x v="2"/>
    <x v="1"/>
    <x v="1"/>
    <x v="1"/>
    <s v="CUST1400"/>
    <x v="2"/>
  </r>
  <r>
    <n v="625"/>
    <x v="130"/>
    <x v="3"/>
    <x v="3"/>
    <x v="2"/>
    <n v="10"/>
    <n v="1210"/>
    <n v="12100"/>
    <n v="0"/>
    <n v="0"/>
    <n v="12100"/>
    <n v="760"/>
    <n v="4500"/>
    <n v="0.37190082644628097"/>
    <x v="3"/>
    <x v="3"/>
    <x v="1"/>
    <x v="1"/>
    <s v="CUST1426"/>
    <x v="0"/>
  </r>
  <r>
    <n v="626"/>
    <x v="75"/>
    <x v="1"/>
    <x v="1"/>
    <x v="1"/>
    <n v="3"/>
    <n v="2220"/>
    <n v="6660"/>
    <n v="0.02"/>
    <n v="133.19999999999999"/>
    <n v="6526.8"/>
    <n v="1750"/>
    <n v="1276.8000000000002"/>
    <n v="0.19562419562419564"/>
    <x v="4"/>
    <x v="1"/>
    <x v="1"/>
    <x v="4"/>
    <s v="CUST1233"/>
    <x v="0"/>
  </r>
  <r>
    <n v="627"/>
    <x v="23"/>
    <x v="2"/>
    <x v="0"/>
    <x v="5"/>
    <n v="2"/>
    <n v="190"/>
    <n v="380"/>
    <n v="0.15"/>
    <n v="57"/>
    <n v="323"/>
    <n v="110"/>
    <n v="103"/>
    <n v="0.31888544891640869"/>
    <x v="0"/>
    <x v="1"/>
    <x v="0"/>
    <x v="6"/>
    <s v="CUST1268"/>
    <x v="1"/>
  </r>
  <r>
    <n v="628"/>
    <x v="362"/>
    <x v="5"/>
    <x v="0"/>
    <x v="3"/>
    <n v="12"/>
    <n v="1430"/>
    <n v="17160"/>
    <n v="0.05"/>
    <n v="858"/>
    <n v="16302"/>
    <n v="930"/>
    <n v="5142"/>
    <n v="0.31542142068457857"/>
    <x v="0"/>
    <x v="1"/>
    <x v="2"/>
    <x v="6"/>
    <s v="CUST1194"/>
    <x v="1"/>
  </r>
  <r>
    <n v="629"/>
    <x v="265"/>
    <x v="5"/>
    <x v="0"/>
    <x v="0"/>
    <n v="4"/>
    <n v="210"/>
    <n v="840"/>
    <n v="0"/>
    <n v="0"/>
    <n v="840"/>
    <n v="150"/>
    <n v="240"/>
    <n v="0.2857142857142857"/>
    <x v="0"/>
    <x v="1"/>
    <x v="2"/>
    <x v="9"/>
    <s v="CUST1339"/>
    <x v="2"/>
  </r>
  <r>
    <n v="630"/>
    <x v="203"/>
    <x v="5"/>
    <x v="0"/>
    <x v="0"/>
    <n v="11"/>
    <n v="210"/>
    <n v="2310"/>
    <n v="0.05"/>
    <n v="115.5"/>
    <n v="2194.5"/>
    <n v="150"/>
    <n v="544.5"/>
    <n v="0.24812030075187969"/>
    <x v="4"/>
    <x v="1"/>
    <x v="0"/>
    <x v="4"/>
    <s v="CUST1135"/>
    <x v="1"/>
  </r>
  <r>
    <n v="631"/>
    <x v="183"/>
    <x v="3"/>
    <x v="0"/>
    <x v="3"/>
    <n v="8"/>
    <n v="1560"/>
    <n v="12480"/>
    <n v="0.05"/>
    <n v="624"/>
    <n v="11856"/>
    <n v="990"/>
    <n v="3936"/>
    <n v="0.33198380566801622"/>
    <x v="3"/>
    <x v="1"/>
    <x v="1"/>
    <x v="6"/>
    <s v="CUST1419"/>
    <x v="1"/>
  </r>
  <r>
    <n v="632"/>
    <x v="33"/>
    <x v="2"/>
    <x v="0"/>
    <x v="3"/>
    <n v="8"/>
    <n v="1580"/>
    <n v="12640"/>
    <n v="0.15"/>
    <n v="1896"/>
    <n v="10744"/>
    <n v="1020"/>
    <n v="2584"/>
    <n v="0.24050632911392406"/>
    <x v="0"/>
    <x v="1"/>
    <x v="1"/>
    <x v="5"/>
    <s v="CUST1025"/>
    <x v="0"/>
  </r>
  <r>
    <n v="633"/>
    <x v="263"/>
    <x v="0"/>
    <x v="0"/>
    <x v="5"/>
    <n v="4"/>
    <n v="170"/>
    <n v="680"/>
    <n v="0.05"/>
    <n v="34"/>
    <n v="646"/>
    <n v="140"/>
    <n v="86"/>
    <n v="0.13312693498452013"/>
    <x v="2"/>
    <x v="1"/>
    <x v="2"/>
    <x v="8"/>
    <s v="CUST1038"/>
    <x v="0"/>
  </r>
  <r>
    <n v="634"/>
    <x v="36"/>
    <x v="0"/>
    <x v="2"/>
    <x v="0"/>
    <n v="6"/>
    <n v="240"/>
    <n v="1440"/>
    <n v="0"/>
    <n v="0"/>
    <n v="1440"/>
    <n v="190"/>
    <n v="300"/>
    <n v="0.20833333333333334"/>
    <x v="2"/>
    <x v="1"/>
    <x v="0"/>
    <x v="9"/>
    <s v="CUST1455"/>
    <x v="0"/>
  </r>
  <r>
    <n v="635"/>
    <x v="149"/>
    <x v="1"/>
    <x v="3"/>
    <x v="4"/>
    <n v="8"/>
    <n v="340"/>
    <n v="2720"/>
    <n v="0.02"/>
    <n v="54.4"/>
    <n v="2665.6"/>
    <n v="220"/>
    <n v="905.59999999999991"/>
    <n v="0.3397358943577431"/>
    <x v="2"/>
    <x v="1"/>
    <x v="1"/>
    <x v="7"/>
    <s v="CUST1305"/>
    <x v="2"/>
  </r>
  <r>
    <n v="636"/>
    <x v="90"/>
    <x v="0"/>
    <x v="0"/>
    <x v="2"/>
    <n v="11"/>
    <n v="1200"/>
    <n v="13200"/>
    <n v="0.05"/>
    <n v="660"/>
    <n v="12540"/>
    <n v="800"/>
    <n v="3740"/>
    <n v="0.2982456140350877"/>
    <x v="3"/>
    <x v="1"/>
    <x v="3"/>
    <x v="8"/>
    <s v="CUST1397"/>
    <x v="1"/>
  </r>
  <r>
    <n v="637"/>
    <x v="162"/>
    <x v="4"/>
    <x v="3"/>
    <x v="5"/>
    <n v="8"/>
    <n v="180"/>
    <n v="1440"/>
    <n v="0"/>
    <n v="0"/>
    <n v="1440"/>
    <n v="130"/>
    <n v="400"/>
    <n v="0.27777777777777779"/>
    <x v="0"/>
    <x v="1"/>
    <x v="0"/>
    <x v="3"/>
    <s v="CUST1140"/>
    <x v="1"/>
  </r>
  <r>
    <n v="638"/>
    <x v="186"/>
    <x v="0"/>
    <x v="2"/>
    <x v="0"/>
    <n v="7"/>
    <n v="240"/>
    <n v="1680"/>
    <n v="0.02"/>
    <n v="33.6"/>
    <n v="1646.4"/>
    <n v="160"/>
    <n v="526.40000000000009"/>
    <n v="0.31972789115646261"/>
    <x v="0"/>
    <x v="1"/>
    <x v="0"/>
    <x v="6"/>
    <s v="CUST1160"/>
    <x v="0"/>
  </r>
  <r>
    <n v="639"/>
    <x v="32"/>
    <x v="5"/>
    <x v="1"/>
    <x v="5"/>
    <n v="9"/>
    <n v="210"/>
    <n v="1890"/>
    <n v="0.05"/>
    <n v="94.5"/>
    <n v="1795.5"/>
    <n v="170"/>
    <n v="265.5"/>
    <n v="0.14786967418546365"/>
    <x v="4"/>
    <x v="1"/>
    <x v="3"/>
    <x v="4"/>
    <s v="CUST1019"/>
    <x v="1"/>
  </r>
  <r>
    <n v="640"/>
    <x v="358"/>
    <x v="0"/>
    <x v="0"/>
    <x v="0"/>
    <n v="8"/>
    <n v="210"/>
    <n v="1680"/>
    <n v="0"/>
    <n v="0"/>
    <n v="1680"/>
    <n v="150"/>
    <n v="480"/>
    <n v="0.2857142857142857"/>
    <x v="2"/>
    <x v="1"/>
    <x v="2"/>
    <x v="8"/>
    <s v="CUST1181"/>
    <x v="1"/>
  </r>
  <r>
    <n v="641"/>
    <x v="260"/>
    <x v="0"/>
    <x v="0"/>
    <x v="1"/>
    <n v="4"/>
    <n v="2260"/>
    <n v="9040"/>
    <n v="0"/>
    <n v="0"/>
    <n v="9040"/>
    <n v="1550"/>
    <n v="2840"/>
    <n v="0.31415929203539822"/>
    <x v="4"/>
    <x v="1"/>
    <x v="0"/>
    <x v="8"/>
    <s v="CUST1196"/>
    <x v="2"/>
  </r>
  <r>
    <n v="642"/>
    <x v="158"/>
    <x v="5"/>
    <x v="3"/>
    <x v="2"/>
    <n v="2"/>
    <n v="1260"/>
    <n v="2520"/>
    <n v="0.05"/>
    <n v="126"/>
    <n v="2394"/>
    <n v="820"/>
    <n v="754"/>
    <n v="0.31495405179615704"/>
    <x v="4"/>
    <x v="1"/>
    <x v="1"/>
    <x v="4"/>
    <s v="CUST1395"/>
    <x v="1"/>
  </r>
  <r>
    <n v="643"/>
    <x v="224"/>
    <x v="0"/>
    <x v="0"/>
    <x v="5"/>
    <n v="11"/>
    <n v="210"/>
    <n v="2310"/>
    <n v="0.15"/>
    <n v="346.5"/>
    <n v="1963.5"/>
    <n v="150"/>
    <n v="313.5"/>
    <n v="0.15966386554621848"/>
    <x v="3"/>
    <x v="1"/>
    <x v="0"/>
    <x v="5"/>
    <s v="CUST1218"/>
    <x v="1"/>
  </r>
  <r>
    <n v="644"/>
    <x v="161"/>
    <x v="5"/>
    <x v="2"/>
    <x v="5"/>
    <n v="9"/>
    <n v="190"/>
    <n v="1710"/>
    <n v="0"/>
    <n v="0"/>
    <n v="1710"/>
    <n v="140"/>
    <n v="450"/>
    <n v="0.26315789473684209"/>
    <x v="3"/>
    <x v="1"/>
    <x v="2"/>
    <x v="2"/>
    <s v="CUST1068"/>
    <x v="2"/>
  </r>
  <r>
    <n v="645"/>
    <x v="150"/>
    <x v="2"/>
    <x v="1"/>
    <x v="0"/>
    <n v="1"/>
    <n v="230"/>
    <n v="230"/>
    <n v="0.1"/>
    <n v="23"/>
    <n v="207"/>
    <n v="150"/>
    <n v="57"/>
    <n v="0.27536231884057971"/>
    <x v="0"/>
    <x v="0"/>
    <x v="0"/>
    <x v="9"/>
    <s v="CUST1311"/>
    <x v="1"/>
  </r>
  <r>
    <n v="646"/>
    <x v="324"/>
    <x v="5"/>
    <x v="0"/>
    <x v="4"/>
    <n v="4"/>
    <n v="310"/>
    <n v="1240"/>
    <n v="0.1"/>
    <n v="124"/>
    <n v="1116"/>
    <n v="220"/>
    <n v="236"/>
    <n v="0.21146953405017921"/>
    <x v="0"/>
    <x v="1"/>
    <x v="2"/>
    <x v="0"/>
    <s v="CUST1206"/>
    <x v="3"/>
  </r>
  <r>
    <n v="647"/>
    <x v="185"/>
    <x v="1"/>
    <x v="3"/>
    <x v="1"/>
    <n v="12"/>
    <n v="2140"/>
    <n v="25680"/>
    <n v="0.05"/>
    <n v="1284"/>
    <n v="24396"/>
    <n v="1460"/>
    <n v="6876"/>
    <n v="0.28184948352188882"/>
    <x v="3"/>
    <x v="1"/>
    <x v="2"/>
    <x v="6"/>
    <s v="CUST1032"/>
    <x v="1"/>
  </r>
  <r>
    <n v="648"/>
    <x v="145"/>
    <x v="4"/>
    <x v="0"/>
    <x v="0"/>
    <n v="1"/>
    <n v="210"/>
    <n v="210"/>
    <n v="0.15"/>
    <n v="31.5"/>
    <n v="178.5"/>
    <n v="120"/>
    <n v="58.5"/>
    <n v="0.32773109243697479"/>
    <x v="3"/>
    <x v="1"/>
    <x v="1"/>
    <x v="9"/>
    <s v="CUST1027"/>
    <x v="1"/>
  </r>
  <r>
    <n v="649"/>
    <x v="177"/>
    <x v="5"/>
    <x v="0"/>
    <x v="5"/>
    <n v="5"/>
    <n v="220"/>
    <n v="1100"/>
    <n v="0"/>
    <n v="0"/>
    <n v="1100"/>
    <n v="160"/>
    <n v="300"/>
    <n v="0.27272727272727271"/>
    <x v="4"/>
    <x v="1"/>
    <x v="2"/>
    <x v="2"/>
    <s v="CUST1386"/>
    <x v="0"/>
  </r>
  <r>
    <n v="650"/>
    <x v="209"/>
    <x v="1"/>
    <x v="0"/>
    <x v="4"/>
    <n v="4"/>
    <n v="290"/>
    <n v="1160"/>
    <n v="0.15"/>
    <n v="174"/>
    <n v="986"/>
    <n v="180"/>
    <n v="266"/>
    <n v="0.26977687626774849"/>
    <x v="3"/>
    <x v="1"/>
    <x v="3"/>
    <x v="3"/>
    <s v="CUST1125"/>
    <x v="2"/>
  </r>
  <r>
    <n v="651"/>
    <x v="237"/>
    <x v="0"/>
    <x v="0"/>
    <x v="4"/>
    <n v="10"/>
    <n v="280"/>
    <n v="2800"/>
    <n v="0"/>
    <n v="0"/>
    <n v="2800"/>
    <n v="190"/>
    <n v="900"/>
    <n v="0.32142857142857145"/>
    <x v="2"/>
    <x v="1"/>
    <x v="0"/>
    <x v="8"/>
    <s v="CUST1158"/>
    <x v="1"/>
  </r>
  <r>
    <n v="652"/>
    <x v="93"/>
    <x v="5"/>
    <x v="1"/>
    <x v="1"/>
    <n v="8"/>
    <n v="1890"/>
    <n v="15120"/>
    <n v="0.1"/>
    <n v="1512"/>
    <n v="13608"/>
    <n v="1480"/>
    <n v="1768"/>
    <n v="0.12992357436801882"/>
    <x v="1"/>
    <x v="1"/>
    <x v="0"/>
    <x v="2"/>
    <s v="CUST1247"/>
    <x v="3"/>
  </r>
  <r>
    <n v="653"/>
    <x v="344"/>
    <x v="0"/>
    <x v="0"/>
    <x v="2"/>
    <n v="3"/>
    <n v="1270"/>
    <n v="3810"/>
    <n v="0"/>
    <n v="0"/>
    <n v="3810"/>
    <n v="880"/>
    <n v="1170"/>
    <n v="0.30708661417322836"/>
    <x v="2"/>
    <x v="1"/>
    <x v="3"/>
    <x v="0"/>
    <s v="CUST1367"/>
    <x v="3"/>
  </r>
  <r>
    <n v="654"/>
    <x v="54"/>
    <x v="1"/>
    <x v="1"/>
    <x v="3"/>
    <n v="11"/>
    <n v="1440"/>
    <n v="15840"/>
    <n v="0.15"/>
    <n v="2376"/>
    <n v="13464"/>
    <n v="1170"/>
    <n v="594"/>
    <n v="4.4117647058823532E-2"/>
    <x v="0"/>
    <x v="1"/>
    <x v="3"/>
    <x v="0"/>
    <s v="CUST1077"/>
    <x v="2"/>
  </r>
  <r>
    <n v="655"/>
    <x v="328"/>
    <x v="1"/>
    <x v="2"/>
    <x v="5"/>
    <n v="12"/>
    <n v="180"/>
    <n v="2160"/>
    <n v="0"/>
    <n v="0"/>
    <n v="2160"/>
    <n v="130"/>
    <n v="600"/>
    <n v="0.27777777777777779"/>
    <x v="4"/>
    <x v="1"/>
    <x v="1"/>
    <x v="3"/>
    <s v="CUST1039"/>
    <x v="2"/>
  </r>
  <r>
    <n v="656"/>
    <x v="47"/>
    <x v="5"/>
    <x v="2"/>
    <x v="1"/>
    <n v="3"/>
    <n v="2200"/>
    <n v="6600"/>
    <n v="0.05"/>
    <n v="330"/>
    <n v="6270"/>
    <n v="1640"/>
    <n v="1350"/>
    <n v="0.21531100478468901"/>
    <x v="3"/>
    <x v="1"/>
    <x v="1"/>
    <x v="8"/>
    <s v="CUST1027"/>
    <x v="3"/>
  </r>
  <r>
    <n v="657"/>
    <x v="53"/>
    <x v="1"/>
    <x v="1"/>
    <x v="0"/>
    <n v="8"/>
    <n v="190"/>
    <n v="1520"/>
    <n v="0.02"/>
    <n v="30.400000000000002"/>
    <n v="1489.6"/>
    <n v="140"/>
    <n v="369.59999999999991"/>
    <n v="0.24812030075187966"/>
    <x v="2"/>
    <x v="1"/>
    <x v="2"/>
    <x v="0"/>
    <s v="CUST1233"/>
    <x v="0"/>
  </r>
  <r>
    <n v="658"/>
    <x v="153"/>
    <x v="3"/>
    <x v="2"/>
    <x v="0"/>
    <n v="10"/>
    <n v="220"/>
    <n v="2200"/>
    <n v="0.1"/>
    <n v="220"/>
    <n v="1980"/>
    <n v="130"/>
    <n v="680"/>
    <n v="0.34343434343434343"/>
    <x v="1"/>
    <x v="1"/>
    <x v="2"/>
    <x v="8"/>
    <s v="CUST1424"/>
    <x v="0"/>
  </r>
  <r>
    <n v="659"/>
    <x v="172"/>
    <x v="1"/>
    <x v="0"/>
    <x v="4"/>
    <n v="11"/>
    <n v="320"/>
    <n v="3520"/>
    <n v="0.1"/>
    <n v="352"/>
    <n v="3168"/>
    <n v="200"/>
    <n v="968"/>
    <n v="0.30555555555555558"/>
    <x v="3"/>
    <x v="1"/>
    <x v="3"/>
    <x v="4"/>
    <s v="CUST1017"/>
    <x v="0"/>
  </r>
  <r>
    <n v="660"/>
    <x v="56"/>
    <x v="5"/>
    <x v="1"/>
    <x v="3"/>
    <n v="8"/>
    <n v="1520"/>
    <n v="12160"/>
    <n v="0.1"/>
    <n v="1216"/>
    <n v="10944"/>
    <n v="1130"/>
    <n v="1904"/>
    <n v="0.17397660818713451"/>
    <x v="4"/>
    <x v="1"/>
    <x v="2"/>
    <x v="4"/>
    <s v="CUST1244"/>
    <x v="3"/>
  </r>
  <r>
    <n v="661"/>
    <x v="38"/>
    <x v="0"/>
    <x v="3"/>
    <x v="2"/>
    <n v="11"/>
    <n v="1280"/>
    <n v="14080"/>
    <n v="0.05"/>
    <n v="704"/>
    <n v="13376"/>
    <n v="980"/>
    <n v="2596"/>
    <n v="0.19407894736842105"/>
    <x v="1"/>
    <x v="1"/>
    <x v="0"/>
    <x v="9"/>
    <s v="CUST1446"/>
    <x v="3"/>
  </r>
  <r>
    <n v="662"/>
    <x v="265"/>
    <x v="0"/>
    <x v="0"/>
    <x v="0"/>
    <n v="5"/>
    <n v="210"/>
    <n v="1050"/>
    <n v="0.15"/>
    <n v="157.5"/>
    <n v="892.5"/>
    <n v="150"/>
    <n v="142.5"/>
    <n v="0.15966386554621848"/>
    <x v="0"/>
    <x v="1"/>
    <x v="1"/>
    <x v="8"/>
    <s v="CUST1351"/>
    <x v="2"/>
  </r>
  <r>
    <n v="663"/>
    <x v="197"/>
    <x v="0"/>
    <x v="3"/>
    <x v="4"/>
    <n v="9"/>
    <n v="290"/>
    <n v="2610"/>
    <n v="0.05"/>
    <n v="130.5"/>
    <n v="2479.5"/>
    <n v="200"/>
    <n v="679.5"/>
    <n v="0.27404718693284935"/>
    <x v="4"/>
    <x v="1"/>
    <x v="1"/>
    <x v="6"/>
    <s v="CUST1309"/>
    <x v="0"/>
  </r>
  <r>
    <n v="664"/>
    <x v="293"/>
    <x v="5"/>
    <x v="3"/>
    <x v="0"/>
    <n v="2"/>
    <n v="240"/>
    <n v="480"/>
    <n v="0"/>
    <n v="0"/>
    <n v="480"/>
    <n v="160"/>
    <n v="160"/>
    <n v="0.33333333333333331"/>
    <x v="0"/>
    <x v="1"/>
    <x v="3"/>
    <x v="2"/>
    <s v="CUST1084"/>
    <x v="1"/>
  </r>
  <r>
    <n v="665"/>
    <x v="93"/>
    <x v="3"/>
    <x v="3"/>
    <x v="3"/>
    <n v="11"/>
    <n v="1460"/>
    <n v="16060"/>
    <n v="0.05"/>
    <n v="803"/>
    <n v="15257"/>
    <n v="1040"/>
    <n v="3817"/>
    <n v="0.25018024513338138"/>
    <x v="4"/>
    <x v="1"/>
    <x v="1"/>
    <x v="7"/>
    <s v="CUST1009"/>
    <x v="2"/>
  </r>
  <r>
    <n v="666"/>
    <x v="284"/>
    <x v="5"/>
    <x v="0"/>
    <x v="1"/>
    <n v="5"/>
    <n v="1990"/>
    <n v="9950"/>
    <n v="0"/>
    <n v="0"/>
    <n v="9950"/>
    <n v="1270"/>
    <n v="3600"/>
    <n v="0.36180904522613067"/>
    <x v="1"/>
    <x v="1"/>
    <x v="3"/>
    <x v="9"/>
    <s v="CUST1138"/>
    <x v="3"/>
  </r>
  <r>
    <n v="667"/>
    <x v="108"/>
    <x v="5"/>
    <x v="1"/>
    <x v="5"/>
    <n v="1"/>
    <n v="200"/>
    <n v="200"/>
    <n v="0.02"/>
    <n v="4"/>
    <n v="196"/>
    <n v="140"/>
    <n v="56"/>
    <n v="0.2857142857142857"/>
    <x v="3"/>
    <x v="1"/>
    <x v="0"/>
    <x v="6"/>
    <s v="CUST1418"/>
    <x v="2"/>
  </r>
  <r>
    <n v="668"/>
    <x v="225"/>
    <x v="5"/>
    <x v="0"/>
    <x v="0"/>
    <n v="3"/>
    <n v="210"/>
    <n v="630"/>
    <n v="0.15"/>
    <n v="94.5"/>
    <n v="535.5"/>
    <n v="160"/>
    <n v="55.5"/>
    <n v="0.10364145658263306"/>
    <x v="1"/>
    <x v="1"/>
    <x v="1"/>
    <x v="6"/>
    <s v="CUST1424"/>
    <x v="1"/>
  </r>
  <r>
    <n v="669"/>
    <x v="93"/>
    <x v="2"/>
    <x v="1"/>
    <x v="0"/>
    <n v="5"/>
    <n v="190"/>
    <n v="950"/>
    <n v="0"/>
    <n v="0"/>
    <n v="950"/>
    <n v="150"/>
    <n v="200"/>
    <n v="0.21052631578947367"/>
    <x v="4"/>
    <x v="1"/>
    <x v="2"/>
    <x v="9"/>
    <s v="CUST1315"/>
    <x v="3"/>
  </r>
  <r>
    <n v="670"/>
    <x v="183"/>
    <x v="4"/>
    <x v="1"/>
    <x v="4"/>
    <n v="6"/>
    <n v="270"/>
    <n v="1620"/>
    <n v="0"/>
    <n v="0"/>
    <n v="1620"/>
    <n v="200"/>
    <n v="420"/>
    <n v="0.25925925925925924"/>
    <x v="4"/>
    <x v="1"/>
    <x v="1"/>
    <x v="7"/>
    <s v="CUST1273"/>
    <x v="0"/>
  </r>
  <r>
    <n v="671"/>
    <x v="41"/>
    <x v="4"/>
    <x v="3"/>
    <x v="2"/>
    <n v="5"/>
    <n v="2130"/>
    <n v="10650"/>
    <n v="0.1"/>
    <n v="1065"/>
    <n v="9585"/>
    <n v="1280"/>
    <n v="3185"/>
    <n v="0.33229003651538863"/>
    <x v="0"/>
    <x v="1"/>
    <x v="0"/>
    <x v="4"/>
    <s v="CUST1473"/>
    <x v="1"/>
  </r>
  <r>
    <n v="672"/>
    <x v="69"/>
    <x v="1"/>
    <x v="0"/>
    <x v="1"/>
    <n v="2"/>
    <n v="2170"/>
    <n v="4340"/>
    <n v="0.05"/>
    <n v="217"/>
    <n v="4123"/>
    <n v="1660"/>
    <n v="803"/>
    <n v="0.19476109628910987"/>
    <x v="2"/>
    <x v="1"/>
    <x v="0"/>
    <x v="6"/>
    <s v="CUST1386"/>
    <x v="3"/>
  </r>
  <r>
    <n v="673"/>
    <x v="321"/>
    <x v="5"/>
    <x v="1"/>
    <x v="5"/>
    <n v="5"/>
    <n v="190"/>
    <n v="950"/>
    <n v="0.05"/>
    <n v="47.5"/>
    <n v="902.5"/>
    <n v="150"/>
    <n v="152.5"/>
    <n v="0.16897506925207756"/>
    <x v="4"/>
    <x v="1"/>
    <x v="0"/>
    <x v="8"/>
    <s v="CUST1498"/>
    <x v="0"/>
  </r>
  <r>
    <n v="674"/>
    <x v="215"/>
    <x v="5"/>
    <x v="1"/>
    <x v="5"/>
    <n v="8"/>
    <n v="190"/>
    <n v="1520"/>
    <n v="0.05"/>
    <n v="76"/>
    <n v="1444"/>
    <n v="150"/>
    <n v="244"/>
    <n v="0.16897506925207756"/>
    <x v="3"/>
    <x v="1"/>
    <x v="0"/>
    <x v="6"/>
    <s v="CUST1199"/>
    <x v="3"/>
  </r>
  <r>
    <n v="675"/>
    <x v="257"/>
    <x v="2"/>
    <x v="3"/>
    <x v="2"/>
    <n v="2"/>
    <n v="1100"/>
    <n v="2200"/>
    <n v="0.05"/>
    <n v="110"/>
    <n v="2090"/>
    <n v="660"/>
    <n v="770"/>
    <n v="0.36842105263157893"/>
    <x v="4"/>
    <x v="1"/>
    <x v="3"/>
    <x v="1"/>
    <s v="CUST1406"/>
    <x v="0"/>
  </r>
  <r>
    <n v="676"/>
    <x v="359"/>
    <x v="3"/>
    <x v="0"/>
    <x v="5"/>
    <n v="8"/>
    <n v="210"/>
    <n v="1680"/>
    <n v="0"/>
    <n v="0"/>
    <n v="1680"/>
    <n v="150"/>
    <n v="480"/>
    <n v="0.2857142857142857"/>
    <x v="2"/>
    <x v="1"/>
    <x v="2"/>
    <x v="5"/>
    <s v="CUST1237"/>
    <x v="1"/>
  </r>
  <r>
    <n v="677"/>
    <x v="139"/>
    <x v="0"/>
    <x v="0"/>
    <x v="0"/>
    <n v="11"/>
    <n v="190"/>
    <n v="2090"/>
    <n v="0.15"/>
    <n v="313.5"/>
    <n v="1776.5"/>
    <n v="160"/>
    <n v="16.5"/>
    <n v="9.2879256965944269E-3"/>
    <x v="1"/>
    <x v="1"/>
    <x v="2"/>
    <x v="9"/>
    <s v="CUST1499"/>
    <x v="2"/>
  </r>
  <r>
    <n v="678"/>
    <x v="241"/>
    <x v="1"/>
    <x v="1"/>
    <x v="0"/>
    <n v="1"/>
    <n v="230"/>
    <n v="230"/>
    <n v="0"/>
    <n v="0"/>
    <n v="230"/>
    <n v="170"/>
    <n v="60"/>
    <n v="0.2608695652173913"/>
    <x v="3"/>
    <x v="1"/>
    <x v="0"/>
    <x v="1"/>
    <s v="CUST1276"/>
    <x v="3"/>
  </r>
  <r>
    <n v="679"/>
    <x v="246"/>
    <x v="4"/>
    <x v="3"/>
    <x v="1"/>
    <n v="7"/>
    <n v="2070"/>
    <n v="14490"/>
    <n v="0.05"/>
    <n v="724.5"/>
    <n v="13765.5"/>
    <n v="1260"/>
    <n v="4945.5"/>
    <n v="0.35926773455377575"/>
    <x v="2"/>
    <x v="1"/>
    <x v="0"/>
    <x v="7"/>
    <s v="CUST1090"/>
    <x v="1"/>
  </r>
  <r>
    <n v="680"/>
    <x v="316"/>
    <x v="3"/>
    <x v="1"/>
    <x v="2"/>
    <n v="10"/>
    <n v="1160"/>
    <n v="11600"/>
    <n v="0.02"/>
    <n v="232"/>
    <n v="11368"/>
    <n v="680"/>
    <n v="4568"/>
    <n v="0.40182969739619984"/>
    <x v="0"/>
    <x v="1"/>
    <x v="3"/>
    <x v="1"/>
    <s v="CUST1087"/>
    <x v="3"/>
  </r>
  <r>
    <n v="681"/>
    <x v="222"/>
    <x v="5"/>
    <x v="1"/>
    <x v="1"/>
    <n v="10"/>
    <n v="2300"/>
    <n v="23000"/>
    <n v="0"/>
    <n v="0"/>
    <n v="23000"/>
    <n v="1680"/>
    <n v="6200"/>
    <n v="0.26956521739130435"/>
    <x v="3"/>
    <x v="1"/>
    <x v="1"/>
    <x v="9"/>
    <s v="CUST1028"/>
    <x v="0"/>
  </r>
  <r>
    <n v="682"/>
    <x v="232"/>
    <x v="5"/>
    <x v="0"/>
    <x v="4"/>
    <n v="12"/>
    <n v="320"/>
    <n v="3840"/>
    <n v="0.05"/>
    <n v="192"/>
    <n v="3648"/>
    <n v="190"/>
    <n v="1368"/>
    <n v="0.375"/>
    <x v="2"/>
    <x v="1"/>
    <x v="0"/>
    <x v="6"/>
    <s v="CUST1241"/>
    <x v="2"/>
  </r>
  <r>
    <n v="683"/>
    <x v="234"/>
    <x v="0"/>
    <x v="1"/>
    <x v="5"/>
    <n v="3"/>
    <n v="180"/>
    <n v="540"/>
    <n v="0.05"/>
    <n v="27"/>
    <n v="513"/>
    <n v="110"/>
    <n v="183"/>
    <n v="0.35672514619883039"/>
    <x v="1"/>
    <x v="1"/>
    <x v="2"/>
    <x v="1"/>
    <s v="CUST1241"/>
    <x v="0"/>
  </r>
  <r>
    <n v="684"/>
    <x v="294"/>
    <x v="2"/>
    <x v="1"/>
    <x v="3"/>
    <n v="8"/>
    <n v="1350"/>
    <n v="10800"/>
    <n v="0"/>
    <n v="0"/>
    <n v="10800"/>
    <n v="850"/>
    <n v="4000"/>
    <n v="0.37037037037037035"/>
    <x v="1"/>
    <x v="1"/>
    <x v="2"/>
    <x v="3"/>
    <s v="CUST1468"/>
    <x v="2"/>
  </r>
  <r>
    <n v="685"/>
    <x v="240"/>
    <x v="1"/>
    <x v="3"/>
    <x v="2"/>
    <n v="12"/>
    <n v="1140"/>
    <n v="13680"/>
    <n v="0"/>
    <n v="0"/>
    <n v="13680"/>
    <n v="730"/>
    <n v="4920"/>
    <n v="0.35964912280701755"/>
    <x v="0"/>
    <x v="1"/>
    <x v="1"/>
    <x v="2"/>
    <s v="CUST1371"/>
    <x v="0"/>
  </r>
  <r>
    <n v="686"/>
    <x v="201"/>
    <x v="0"/>
    <x v="1"/>
    <x v="0"/>
    <n v="4"/>
    <n v="220"/>
    <n v="880"/>
    <n v="0.05"/>
    <n v="44"/>
    <n v="836"/>
    <n v="160"/>
    <n v="196"/>
    <n v="0.23444976076555024"/>
    <x v="0"/>
    <x v="1"/>
    <x v="3"/>
    <x v="6"/>
    <s v="CUST1046"/>
    <x v="3"/>
  </r>
  <r>
    <n v="687"/>
    <x v="263"/>
    <x v="1"/>
    <x v="2"/>
    <x v="0"/>
    <n v="11"/>
    <n v="240"/>
    <n v="2640"/>
    <n v="0.1"/>
    <n v="264"/>
    <n v="2376"/>
    <n v="160"/>
    <n v="616"/>
    <n v="0.25925925925925924"/>
    <x v="1"/>
    <x v="1"/>
    <x v="2"/>
    <x v="5"/>
    <s v="CUST1243"/>
    <x v="0"/>
  </r>
  <r>
    <n v="688"/>
    <x v="300"/>
    <x v="2"/>
    <x v="3"/>
    <x v="2"/>
    <n v="10"/>
    <n v="1270"/>
    <n v="12700"/>
    <n v="0.1"/>
    <n v="1270"/>
    <n v="11430"/>
    <n v="920"/>
    <n v="2230"/>
    <n v="0.19510061242344706"/>
    <x v="4"/>
    <x v="1"/>
    <x v="3"/>
    <x v="0"/>
    <s v="CUST1448"/>
    <x v="0"/>
  </r>
  <r>
    <n v="689"/>
    <x v="196"/>
    <x v="1"/>
    <x v="2"/>
    <x v="3"/>
    <n v="7"/>
    <n v="1550"/>
    <n v="10850"/>
    <n v="0"/>
    <n v="0"/>
    <n v="10850"/>
    <n v="980"/>
    <n v="3990"/>
    <n v="0.36774193548387096"/>
    <x v="2"/>
    <x v="1"/>
    <x v="0"/>
    <x v="0"/>
    <s v="CUST1364"/>
    <x v="1"/>
  </r>
  <r>
    <n v="690"/>
    <x v="302"/>
    <x v="0"/>
    <x v="3"/>
    <x v="0"/>
    <n v="1"/>
    <n v="200"/>
    <n v="200"/>
    <n v="0.02"/>
    <n v="4"/>
    <n v="196"/>
    <n v="120"/>
    <n v="76"/>
    <n v="0.38775510204081631"/>
    <x v="1"/>
    <x v="1"/>
    <x v="3"/>
    <x v="6"/>
    <s v="CUST1286"/>
    <x v="0"/>
  </r>
  <r>
    <n v="691"/>
    <x v="37"/>
    <x v="5"/>
    <x v="0"/>
    <x v="1"/>
    <n v="10"/>
    <n v="2040"/>
    <n v="20400"/>
    <n v="0"/>
    <n v="0"/>
    <n v="20400"/>
    <n v="1670"/>
    <n v="3700"/>
    <n v="0.18137254901960784"/>
    <x v="0"/>
    <x v="1"/>
    <x v="2"/>
    <x v="5"/>
    <s v="CUST1136"/>
    <x v="1"/>
  </r>
  <r>
    <n v="692"/>
    <x v="195"/>
    <x v="0"/>
    <x v="0"/>
    <x v="0"/>
    <n v="11"/>
    <n v="180"/>
    <n v="1980"/>
    <n v="0"/>
    <n v="0"/>
    <n v="1980"/>
    <n v="110"/>
    <n v="770"/>
    <n v="0.3888888888888889"/>
    <x v="3"/>
    <x v="1"/>
    <x v="3"/>
    <x v="9"/>
    <s v="CUST1222"/>
    <x v="0"/>
  </r>
  <r>
    <n v="693"/>
    <x v="130"/>
    <x v="3"/>
    <x v="0"/>
    <x v="5"/>
    <n v="9"/>
    <n v="200"/>
    <n v="1800"/>
    <n v="0"/>
    <n v="0"/>
    <n v="1800"/>
    <n v="130"/>
    <n v="630"/>
    <n v="0.35"/>
    <x v="3"/>
    <x v="1"/>
    <x v="2"/>
    <x v="4"/>
    <s v="CUST1250"/>
    <x v="1"/>
  </r>
  <r>
    <n v="694"/>
    <x v="325"/>
    <x v="5"/>
    <x v="0"/>
    <x v="0"/>
    <n v="1"/>
    <n v="220"/>
    <n v="220"/>
    <n v="0.15"/>
    <n v="33"/>
    <n v="187"/>
    <n v="150"/>
    <n v="37"/>
    <n v="0.19786096256684493"/>
    <x v="1"/>
    <x v="1"/>
    <x v="1"/>
    <x v="6"/>
    <s v="CUST1492"/>
    <x v="0"/>
  </r>
  <r>
    <n v="695"/>
    <x v="229"/>
    <x v="5"/>
    <x v="0"/>
    <x v="3"/>
    <n v="8"/>
    <n v="1510"/>
    <n v="12080"/>
    <n v="0.05"/>
    <n v="604"/>
    <n v="11476"/>
    <n v="1170"/>
    <n v="2116"/>
    <n v="0.18438480306727081"/>
    <x v="0"/>
    <x v="1"/>
    <x v="3"/>
    <x v="1"/>
    <s v="CUST1102"/>
    <x v="0"/>
  </r>
  <r>
    <n v="696"/>
    <x v="296"/>
    <x v="1"/>
    <x v="1"/>
    <x v="1"/>
    <n v="1"/>
    <n v="1900"/>
    <n v="1900"/>
    <n v="0"/>
    <n v="0"/>
    <n v="1900"/>
    <n v="1320"/>
    <n v="580"/>
    <n v="0.30526315789473685"/>
    <x v="4"/>
    <x v="1"/>
    <x v="1"/>
    <x v="8"/>
    <s v="CUST1484"/>
    <x v="3"/>
  </r>
  <r>
    <n v="697"/>
    <x v="8"/>
    <x v="5"/>
    <x v="0"/>
    <x v="2"/>
    <n v="7"/>
    <n v="1160"/>
    <n v="8120"/>
    <n v="0"/>
    <n v="0"/>
    <n v="8120"/>
    <n v="900"/>
    <n v="1820"/>
    <n v="0.22413793103448276"/>
    <x v="2"/>
    <x v="1"/>
    <x v="2"/>
    <x v="8"/>
    <s v="CUST1264"/>
    <x v="0"/>
  </r>
  <r>
    <n v="698"/>
    <x v="246"/>
    <x v="1"/>
    <x v="2"/>
    <x v="0"/>
    <n v="7"/>
    <n v="200"/>
    <n v="1400"/>
    <n v="0.05"/>
    <n v="70"/>
    <n v="1330"/>
    <n v="130"/>
    <n v="420"/>
    <n v="0.31578947368421051"/>
    <x v="3"/>
    <x v="1"/>
    <x v="0"/>
    <x v="6"/>
    <s v="CUST1026"/>
    <x v="0"/>
  </r>
  <r>
    <n v="699"/>
    <x v="52"/>
    <x v="0"/>
    <x v="0"/>
    <x v="0"/>
    <n v="2"/>
    <n v="210"/>
    <n v="420"/>
    <n v="0.15"/>
    <n v="63"/>
    <n v="357"/>
    <n v="150"/>
    <n v="57"/>
    <n v="0.15966386554621848"/>
    <x v="3"/>
    <x v="1"/>
    <x v="2"/>
    <x v="8"/>
    <s v="CUST1342"/>
    <x v="1"/>
  </r>
  <r>
    <n v="700"/>
    <x v="232"/>
    <x v="5"/>
    <x v="1"/>
    <x v="4"/>
    <n v="8"/>
    <n v="310"/>
    <n v="2480"/>
    <n v="0.1"/>
    <n v="248"/>
    <n v="2232"/>
    <n v="230"/>
    <n v="392"/>
    <n v="0.17562724014336917"/>
    <x v="4"/>
    <x v="1"/>
    <x v="0"/>
    <x v="5"/>
    <s v="CUST1246"/>
    <x v="1"/>
  </r>
  <r>
    <n v="701"/>
    <x v="49"/>
    <x v="1"/>
    <x v="0"/>
    <x v="1"/>
    <n v="10"/>
    <n v="2210"/>
    <n v="22100"/>
    <n v="0.02"/>
    <n v="442"/>
    <n v="21658"/>
    <n v="1770"/>
    <n v="3958"/>
    <n v="0.18275002308615754"/>
    <x v="0"/>
    <x v="0"/>
    <x v="1"/>
    <x v="5"/>
    <s v="CUST1312"/>
    <x v="1"/>
  </r>
  <r>
    <n v="702"/>
    <x v="67"/>
    <x v="5"/>
    <x v="0"/>
    <x v="3"/>
    <n v="9"/>
    <n v="1370"/>
    <n v="12330"/>
    <n v="0.02"/>
    <n v="246.6"/>
    <n v="12083.4"/>
    <n v="1030"/>
    <n v="2813.3999999999996"/>
    <n v="0.23283181885893042"/>
    <x v="0"/>
    <x v="1"/>
    <x v="1"/>
    <x v="5"/>
    <s v="CUST1041"/>
    <x v="0"/>
  </r>
  <r>
    <n v="703"/>
    <x v="100"/>
    <x v="0"/>
    <x v="2"/>
    <x v="0"/>
    <n v="12"/>
    <n v="230"/>
    <n v="2760"/>
    <n v="0.05"/>
    <n v="138"/>
    <n v="2622"/>
    <n v="150"/>
    <n v="822"/>
    <n v="0.31350114416475972"/>
    <x v="0"/>
    <x v="1"/>
    <x v="0"/>
    <x v="2"/>
    <s v="CUST1246"/>
    <x v="2"/>
  </r>
  <r>
    <n v="704"/>
    <x v="172"/>
    <x v="0"/>
    <x v="0"/>
    <x v="1"/>
    <n v="5"/>
    <n v="2030"/>
    <n v="10150"/>
    <n v="0.05"/>
    <n v="507.5"/>
    <n v="9642.5"/>
    <n v="1290"/>
    <n v="3192.5"/>
    <n v="0.33108633653098263"/>
    <x v="1"/>
    <x v="1"/>
    <x v="2"/>
    <x v="1"/>
    <s v="CUST1241"/>
    <x v="3"/>
  </r>
  <r>
    <n v="705"/>
    <x v="37"/>
    <x v="1"/>
    <x v="2"/>
    <x v="4"/>
    <n v="8"/>
    <n v="290"/>
    <n v="2320"/>
    <n v="0"/>
    <n v="0"/>
    <n v="2320"/>
    <n v="230"/>
    <n v="480"/>
    <n v="0.20689655172413793"/>
    <x v="2"/>
    <x v="1"/>
    <x v="1"/>
    <x v="4"/>
    <s v="CUST1257"/>
    <x v="0"/>
  </r>
  <r>
    <n v="706"/>
    <x v="269"/>
    <x v="4"/>
    <x v="3"/>
    <x v="2"/>
    <n v="8"/>
    <n v="1240"/>
    <n v="9920"/>
    <n v="0"/>
    <n v="0"/>
    <n v="9920"/>
    <n v="970"/>
    <n v="2160"/>
    <n v="0.21774193548387097"/>
    <x v="4"/>
    <x v="1"/>
    <x v="3"/>
    <x v="6"/>
    <s v="CUST1445"/>
    <x v="2"/>
  </r>
  <r>
    <n v="707"/>
    <x v="268"/>
    <x v="4"/>
    <x v="1"/>
    <x v="2"/>
    <n v="3"/>
    <n v="1080"/>
    <n v="3240"/>
    <n v="0.15"/>
    <n v="486"/>
    <n v="2754"/>
    <n v="780"/>
    <n v="414"/>
    <n v="0.15032679738562091"/>
    <x v="1"/>
    <x v="1"/>
    <x v="2"/>
    <x v="4"/>
    <s v="CUST1348"/>
    <x v="0"/>
  </r>
  <r>
    <n v="708"/>
    <x v="5"/>
    <x v="1"/>
    <x v="2"/>
    <x v="1"/>
    <n v="8"/>
    <n v="2220"/>
    <n v="17760"/>
    <n v="0.02"/>
    <n v="355.2"/>
    <n v="17404.8"/>
    <n v="1410"/>
    <n v="6124.7999999999993"/>
    <n v="0.35190292333149475"/>
    <x v="1"/>
    <x v="1"/>
    <x v="2"/>
    <x v="9"/>
    <s v="CUST1165"/>
    <x v="0"/>
  </r>
  <r>
    <n v="709"/>
    <x v="160"/>
    <x v="0"/>
    <x v="0"/>
    <x v="0"/>
    <n v="6"/>
    <n v="200"/>
    <n v="1200"/>
    <n v="0.1"/>
    <n v="120"/>
    <n v="1080"/>
    <n v="150"/>
    <n v="180"/>
    <n v="0.16666666666666666"/>
    <x v="3"/>
    <x v="1"/>
    <x v="3"/>
    <x v="1"/>
    <s v="CUST1079"/>
    <x v="1"/>
  </r>
  <r>
    <n v="710"/>
    <x v="170"/>
    <x v="1"/>
    <x v="0"/>
    <x v="2"/>
    <n v="1"/>
    <n v="1270"/>
    <n v="1270"/>
    <n v="0"/>
    <n v="0"/>
    <n v="1270"/>
    <n v="890"/>
    <n v="380"/>
    <n v="0.29921259842519687"/>
    <x v="0"/>
    <x v="1"/>
    <x v="1"/>
    <x v="3"/>
    <s v="CUST1478"/>
    <x v="3"/>
  </r>
  <r>
    <n v="711"/>
    <x v="289"/>
    <x v="5"/>
    <x v="2"/>
    <x v="0"/>
    <n v="9"/>
    <n v="210"/>
    <n v="1890"/>
    <n v="0.02"/>
    <n v="37.800000000000004"/>
    <n v="1852.2"/>
    <n v="170"/>
    <n v="322.20000000000005"/>
    <n v="0.17395529640427601"/>
    <x v="2"/>
    <x v="2"/>
    <x v="2"/>
    <x v="2"/>
    <s v="CUST1337"/>
    <x v="2"/>
  </r>
  <r>
    <n v="712"/>
    <x v="306"/>
    <x v="3"/>
    <x v="1"/>
    <x v="1"/>
    <n v="9"/>
    <n v="1980"/>
    <n v="17820"/>
    <n v="0"/>
    <n v="0"/>
    <n v="17820"/>
    <n v="1390"/>
    <n v="5310"/>
    <n v="0.29797979797979796"/>
    <x v="0"/>
    <x v="1"/>
    <x v="2"/>
    <x v="1"/>
    <s v="CUST1089"/>
    <x v="2"/>
  </r>
  <r>
    <n v="713"/>
    <x v="343"/>
    <x v="2"/>
    <x v="0"/>
    <x v="0"/>
    <n v="11"/>
    <n v="210"/>
    <n v="2310"/>
    <n v="0.1"/>
    <n v="231"/>
    <n v="2079"/>
    <n v="130"/>
    <n v="649"/>
    <n v="0.31216931216931215"/>
    <x v="0"/>
    <x v="1"/>
    <x v="1"/>
    <x v="3"/>
    <s v="CUST1327"/>
    <x v="1"/>
  </r>
  <r>
    <n v="714"/>
    <x v="91"/>
    <x v="3"/>
    <x v="0"/>
    <x v="0"/>
    <n v="8"/>
    <n v="230"/>
    <n v="1840"/>
    <n v="0.1"/>
    <n v="184"/>
    <n v="1656"/>
    <n v="150"/>
    <n v="456"/>
    <n v="0.27536231884057971"/>
    <x v="0"/>
    <x v="1"/>
    <x v="0"/>
    <x v="6"/>
    <s v="CUST1331"/>
    <x v="3"/>
  </r>
  <r>
    <n v="715"/>
    <x v="80"/>
    <x v="5"/>
    <x v="0"/>
    <x v="0"/>
    <n v="3"/>
    <n v="200"/>
    <n v="600"/>
    <n v="0.05"/>
    <n v="30"/>
    <n v="570"/>
    <n v="120"/>
    <n v="210"/>
    <n v="0.36842105263157893"/>
    <x v="1"/>
    <x v="1"/>
    <x v="3"/>
    <x v="7"/>
    <s v="CUST1417"/>
    <x v="0"/>
  </r>
  <r>
    <n v="716"/>
    <x v="21"/>
    <x v="2"/>
    <x v="3"/>
    <x v="2"/>
    <n v="6"/>
    <n v="1980"/>
    <n v="11880"/>
    <n v="0.05"/>
    <n v="594"/>
    <n v="11286"/>
    <n v="1310"/>
    <n v="3426"/>
    <n v="0.30356193514088253"/>
    <x v="3"/>
    <x v="1"/>
    <x v="2"/>
    <x v="2"/>
    <s v="CUST1398"/>
    <x v="3"/>
  </r>
  <r>
    <n v="717"/>
    <x v="157"/>
    <x v="5"/>
    <x v="1"/>
    <x v="0"/>
    <n v="8"/>
    <n v="190"/>
    <n v="1520"/>
    <n v="0"/>
    <n v="0"/>
    <n v="1520"/>
    <n v="140"/>
    <n v="400"/>
    <n v="0.26315789473684209"/>
    <x v="4"/>
    <x v="1"/>
    <x v="3"/>
    <x v="8"/>
    <s v="CUST1101"/>
    <x v="1"/>
  </r>
  <r>
    <n v="718"/>
    <x v="118"/>
    <x v="5"/>
    <x v="3"/>
    <x v="0"/>
    <n v="4"/>
    <n v="240"/>
    <n v="960"/>
    <n v="0.1"/>
    <n v="96"/>
    <n v="864"/>
    <n v="190"/>
    <n v="104"/>
    <n v="0.12037037037037036"/>
    <x v="2"/>
    <x v="1"/>
    <x v="3"/>
    <x v="0"/>
    <s v="CUST1400"/>
    <x v="3"/>
  </r>
  <r>
    <n v="719"/>
    <x v="137"/>
    <x v="5"/>
    <x v="0"/>
    <x v="3"/>
    <n v="9"/>
    <n v="1410"/>
    <n v="12690"/>
    <n v="0.02"/>
    <n v="253.8"/>
    <n v="12436.2"/>
    <n v="930"/>
    <n v="4066.2000000000007"/>
    <n v="0.32696482848458536"/>
    <x v="0"/>
    <x v="1"/>
    <x v="1"/>
    <x v="8"/>
    <s v="CUST1031"/>
    <x v="2"/>
  </r>
  <r>
    <n v="720"/>
    <x v="107"/>
    <x v="2"/>
    <x v="1"/>
    <x v="1"/>
    <n v="8"/>
    <n v="2290"/>
    <n v="18320"/>
    <n v="0"/>
    <n v="0"/>
    <n v="18320"/>
    <n v="1690"/>
    <n v="4800"/>
    <n v="0.26200873362445415"/>
    <x v="0"/>
    <x v="1"/>
    <x v="2"/>
    <x v="9"/>
    <s v="CUST1095"/>
    <x v="2"/>
  </r>
  <r>
    <n v="721"/>
    <x v="21"/>
    <x v="2"/>
    <x v="0"/>
    <x v="1"/>
    <n v="6"/>
    <n v="2390"/>
    <n v="14340"/>
    <n v="0.05"/>
    <n v="717"/>
    <n v="13623"/>
    <n v="1440"/>
    <n v="4983"/>
    <n v="0.36577846289363575"/>
    <x v="2"/>
    <x v="1"/>
    <x v="2"/>
    <x v="3"/>
    <s v="CUST1453"/>
    <x v="1"/>
  </r>
  <r>
    <n v="722"/>
    <x v="247"/>
    <x v="2"/>
    <x v="0"/>
    <x v="5"/>
    <n v="11"/>
    <n v="180"/>
    <n v="1980"/>
    <n v="0.05"/>
    <n v="99"/>
    <n v="1881"/>
    <n v="150"/>
    <n v="231"/>
    <n v="0.12280701754385964"/>
    <x v="2"/>
    <x v="1"/>
    <x v="3"/>
    <x v="3"/>
    <s v="CUST1339"/>
    <x v="1"/>
  </r>
  <r>
    <n v="723"/>
    <x v="338"/>
    <x v="1"/>
    <x v="3"/>
    <x v="0"/>
    <n v="3"/>
    <n v="190"/>
    <n v="570"/>
    <n v="0"/>
    <n v="0"/>
    <n v="570"/>
    <n v="140"/>
    <n v="150"/>
    <n v="0.26315789473684209"/>
    <x v="0"/>
    <x v="2"/>
    <x v="2"/>
    <x v="6"/>
    <s v="CUST1036"/>
    <x v="1"/>
  </r>
  <r>
    <n v="724"/>
    <x v="25"/>
    <x v="1"/>
    <x v="0"/>
    <x v="3"/>
    <n v="4"/>
    <n v="1120"/>
    <n v="4480"/>
    <n v="0.15"/>
    <n v="672"/>
    <n v="3808"/>
    <n v="900"/>
    <n v="208"/>
    <n v="5.4621848739495799E-2"/>
    <x v="1"/>
    <x v="1"/>
    <x v="2"/>
    <x v="4"/>
    <s v="CUST1121"/>
    <x v="1"/>
  </r>
  <r>
    <n v="725"/>
    <x v="326"/>
    <x v="0"/>
    <x v="2"/>
    <x v="5"/>
    <n v="5"/>
    <n v="190"/>
    <n v="950"/>
    <n v="0"/>
    <n v="0"/>
    <n v="950"/>
    <n v="140"/>
    <n v="250"/>
    <n v="0.26315789473684209"/>
    <x v="4"/>
    <x v="1"/>
    <x v="1"/>
    <x v="7"/>
    <s v="CUST1409"/>
    <x v="2"/>
  </r>
  <r>
    <n v="726"/>
    <x v="158"/>
    <x v="5"/>
    <x v="1"/>
    <x v="2"/>
    <n v="5"/>
    <n v="1320"/>
    <n v="6600"/>
    <n v="0"/>
    <n v="0"/>
    <n v="6600"/>
    <n v="900"/>
    <n v="2100"/>
    <n v="0.31818181818181818"/>
    <x v="0"/>
    <x v="1"/>
    <x v="2"/>
    <x v="2"/>
    <s v="CUST1452"/>
    <x v="0"/>
  </r>
  <r>
    <n v="727"/>
    <x v="246"/>
    <x v="3"/>
    <x v="0"/>
    <x v="4"/>
    <n v="11"/>
    <n v="340"/>
    <n v="3740"/>
    <n v="0"/>
    <n v="0"/>
    <n v="3740"/>
    <n v="260"/>
    <n v="880"/>
    <n v="0.23529411764705882"/>
    <x v="1"/>
    <x v="1"/>
    <x v="1"/>
    <x v="8"/>
    <s v="CUST1465"/>
    <x v="0"/>
  </r>
  <r>
    <n v="728"/>
    <x v="157"/>
    <x v="5"/>
    <x v="2"/>
    <x v="4"/>
    <n v="1"/>
    <n v="320"/>
    <n v="320"/>
    <n v="0.1"/>
    <n v="32"/>
    <n v="288"/>
    <n v="200"/>
    <n v="88"/>
    <n v="0.30555555555555558"/>
    <x v="0"/>
    <x v="1"/>
    <x v="0"/>
    <x v="1"/>
    <s v="CUST1248"/>
    <x v="0"/>
  </r>
  <r>
    <n v="729"/>
    <x v="193"/>
    <x v="4"/>
    <x v="0"/>
    <x v="0"/>
    <n v="2"/>
    <n v="210"/>
    <n v="420"/>
    <n v="0"/>
    <n v="0"/>
    <n v="420"/>
    <n v="160"/>
    <n v="100"/>
    <n v="0.23809523809523808"/>
    <x v="3"/>
    <x v="2"/>
    <x v="1"/>
    <x v="5"/>
    <s v="CUST1143"/>
    <x v="2"/>
  </r>
  <r>
    <n v="730"/>
    <x v="113"/>
    <x v="4"/>
    <x v="3"/>
    <x v="1"/>
    <n v="6"/>
    <n v="2000"/>
    <n v="12000"/>
    <n v="0"/>
    <n v="0"/>
    <n v="12000"/>
    <n v="1180"/>
    <n v="4920"/>
    <n v="0.41"/>
    <x v="0"/>
    <x v="0"/>
    <x v="0"/>
    <x v="6"/>
    <s v="CUST1129"/>
    <x v="3"/>
  </r>
  <r>
    <n v="731"/>
    <x v="224"/>
    <x v="2"/>
    <x v="3"/>
    <x v="1"/>
    <n v="12"/>
    <n v="2360"/>
    <n v="28320"/>
    <n v="0"/>
    <n v="0"/>
    <n v="28320"/>
    <n v="1440"/>
    <n v="11040"/>
    <n v="0.38983050847457629"/>
    <x v="3"/>
    <x v="2"/>
    <x v="0"/>
    <x v="5"/>
    <s v="CUST1128"/>
    <x v="1"/>
  </r>
  <r>
    <n v="732"/>
    <x v="88"/>
    <x v="0"/>
    <x v="1"/>
    <x v="3"/>
    <n v="2"/>
    <n v="1720"/>
    <n v="3440"/>
    <n v="0"/>
    <n v="0"/>
    <n v="3440"/>
    <n v="1300"/>
    <n v="840"/>
    <n v="0.2441860465116279"/>
    <x v="1"/>
    <x v="1"/>
    <x v="1"/>
    <x v="5"/>
    <s v="CUST1217"/>
    <x v="3"/>
  </r>
  <r>
    <n v="733"/>
    <x v="257"/>
    <x v="1"/>
    <x v="3"/>
    <x v="4"/>
    <n v="10"/>
    <n v="280"/>
    <n v="2800"/>
    <n v="0"/>
    <n v="0"/>
    <n v="2800"/>
    <n v="180"/>
    <n v="1000"/>
    <n v="0.35714285714285715"/>
    <x v="4"/>
    <x v="1"/>
    <x v="2"/>
    <x v="6"/>
    <s v="CUST1261"/>
    <x v="0"/>
  </r>
  <r>
    <n v="734"/>
    <x v="274"/>
    <x v="4"/>
    <x v="2"/>
    <x v="0"/>
    <n v="6"/>
    <n v="230"/>
    <n v="1380"/>
    <n v="0"/>
    <n v="0"/>
    <n v="1380"/>
    <n v="130"/>
    <n v="600"/>
    <n v="0.43478260869565216"/>
    <x v="0"/>
    <x v="1"/>
    <x v="3"/>
    <x v="7"/>
    <s v="CUST1307"/>
    <x v="1"/>
  </r>
  <r>
    <n v="735"/>
    <x v="322"/>
    <x v="1"/>
    <x v="0"/>
    <x v="4"/>
    <n v="3"/>
    <n v="340"/>
    <n v="1020"/>
    <n v="0"/>
    <n v="0"/>
    <n v="1020"/>
    <n v="200"/>
    <n v="420"/>
    <n v="0.41176470588235292"/>
    <x v="2"/>
    <x v="1"/>
    <x v="1"/>
    <x v="1"/>
    <s v="CUST1418"/>
    <x v="3"/>
  </r>
  <r>
    <n v="736"/>
    <x v="166"/>
    <x v="0"/>
    <x v="0"/>
    <x v="2"/>
    <n v="3"/>
    <n v="1210"/>
    <n v="3630"/>
    <n v="0.15"/>
    <n v="544.5"/>
    <n v="3085.5"/>
    <n v="910"/>
    <n v="355.5"/>
    <n v="0.11521633446767136"/>
    <x v="2"/>
    <x v="1"/>
    <x v="0"/>
    <x v="9"/>
    <s v="CUST1261"/>
    <x v="2"/>
  </r>
  <r>
    <n v="737"/>
    <x v="180"/>
    <x v="5"/>
    <x v="0"/>
    <x v="5"/>
    <n v="5"/>
    <n v="210"/>
    <n v="1050"/>
    <n v="0"/>
    <n v="0"/>
    <n v="1050"/>
    <n v="150"/>
    <n v="300"/>
    <n v="0.2857142857142857"/>
    <x v="1"/>
    <x v="1"/>
    <x v="1"/>
    <x v="7"/>
    <s v="CUST1280"/>
    <x v="0"/>
  </r>
  <r>
    <n v="738"/>
    <x v="69"/>
    <x v="3"/>
    <x v="3"/>
    <x v="1"/>
    <n v="1"/>
    <n v="2030"/>
    <n v="2030"/>
    <n v="0.05"/>
    <n v="101.5"/>
    <n v="1928.5"/>
    <n v="1570"/>
    <n v="358.5"/>
    <n v="0.18589577391755249"/>
    <x v="3"/>
    <x v="1"/>
    <x v="2"/>
    <x v="5"/>
    <s v="CUST1359"/>
    <x v="3"/>
  </r>
  <r>
    <n v="739"/>
    <x v="358"/>
    <x v="4"/>
    <x v="0"/>
    <x v="3"/>
    <n v="1"/>
    <n v="1720"/>
    <n v="1720"/>
    <n v="0"/>
    <n v="0"/>
    <n v="1720"/>
    <n v="1330"/>
    <n v="390"/>
    <n v="0.22674418604651161"/>
    <x v="1"/>
    <x v="1"/>
    <x v="3"/>
    <x v="7"/>
    <s v="CUST1339"/>
    <x v="3"/>
  </r>
  <r>
    <n v="740"/>
    <x v="91"/>
    <x v="3"/>
    <x v="2"/>
    <x v="0"/>
    <n v="10"/>
    <n v="230"/>
    <n v="2300"/>
    <n v="0"/>
    <n v="0"/>
    <n v="2300"/>
    <n v="180"/>
    <n v="500"/>
    <n v="0.21739130434782608"/>
    <x v="4"/>
    <x v="1"/>
    <x v="1"/>
    <x v="9"/>
    <s v="CUST1117"/>
    <x v="3"/>
  </r>
  <r>
    <n v="741"/>
    <x v="299"/>
    <x v="0"/>
    <x v="0"/>
    <x v="5"/>
    <n v="7"/>
    <n v="200"/>
    <n v="1400"/>
    <n v="0.15"/>
    <n v="210"/>
    <n v="1190"/>
    <n v="140"/>
    <n v="210"/>
    <n v="0.17647058823529413"/>
    <x v="2"/>
    <x v="1"/>
    <x v="3"/>
    <x v="3"/>
    <s v="CUST1063"/>
    <x v="1"/>
  </r>
  <r>
    <n v="742"/>
    <x v="302"/>
    <x v="4"/>
    <x v="2"/>
    <x v="1"/>
    <n v="5"/>
    <n v="2040"/>
    <n v="10200"/>
    <n v="0.02"/>
    <n v="204"/>
    <n v="9996"/>
    <n v="1440"/>
    <n v="2796"/>
    <n v="0.27971188475390157"/>
    <x v="3"/>
    <x v="2"/>
    <x v="2"/>
    <x v="6"/>
    <s v="CUST1134"/>
    <x v="2"/>
  </r>
  <r>
    <n v="743"/>
    <x v="271"/>
    <x v="0"/>
    <x v="1"/>
    <x v="2"/>
    <n v="5"/>
    <n v="1360"/>
    <n v="6800"/>
    <n v="0.15"/>
    <n v="1020"/>
    <n v="5780"/>
    <n v="910"/>
    <n v="1230"/>
    <n v="0.21280276816608998"/>
    <x v="2"/>
    <x v="1"/>
    <x v="1"/>
    <x v="6"/>
    <s v="CUST1010"/>
    <x v="1"/>
  </r>
  <r>
    <n v="744"/>
    <x v="36"/>
    <x v="5"/>
    <x v="0"/>
    <x v="0"/>
    <n v="9"/>
    <n v="200"/>
    <n v="1800"/>
    <n v="0.15"/>
    <n v="270"/>
    <n v="1530"/>
    <n v="140"/>
    <n v="270"/>
    <n v="0.17647058823529413"/>
    <x v="4"/>
    <x v="1"/>
    <x v="2"/>
    <x v="7"/>
    <s v="CUST1142"/>
    <x v="1"/>
  </r>
  <r>
    <n v="745"/>
    <x v="98"/>
    <x v="5"/>
    <x v="2"/>
    <x v="2"/>
    <n v="10"/>
    <n v="1950"/>
    <n v="19500"/>
    <n v="0.05"/>
    <n v="975"/>
    <n v="18525"/>
    <n v="1560"/>
    <n v="2925"/>
    <n v="0.15789473684210525"/>
    <x v="0"/>
    <x v="1"/>
    <x v="2"/>
    <x v="4"/>
    <s v="CUST1088"/>
    <x v="1"/>
  </r>
  <r>
    <n v="746"/>
    <x v="329"/>
    <x v="1"/>
    <x v="2"/>
    <x v="2"/>
    <n v="9"/>
    <n v="1180"/>
    <n v="10620"/>
    <n v="0.05"/>
    <n v="531"/>
    <n v="10089"/>
    <n v="890"/>
    <n v="2079"/>
    <n v="0.20606601248884923"/>
    <x v="0"/>
    <x v="1"/>
    <x v="0"/>
    <x v="4"/>
    <s v="CUST1272"/>
    <x v="0"/>
  </r>
  <r>
    <n v="747"/>
    <x v="361"/>
    <x v="3"/>
    <x v="3"/>
    <x v="1"/>
    <n v="8"/>
    <n v="2010"/>
    <n v="16080"/>
    <n v="0"/>
    <n v="0"/>
    <n v="16080"/>
    <n v="1210"/>
    <n v="6400"/>
    <n v="0.39800995024875624"/>
    <x v="3"/>
    <x v="1"/>
    <x v="2"/>
    <x v="1"/>
    <s v="CUST1418"/>
    <x v="2"/>
  </r>
  <r>
    <n v="748"/>
    <x v="294"/>
    <x v="5"/>
    <x v="0"/>
    <x v="3"/>
    <n v="10"/>
    <n v="1540"/>
    <n v="15400"/>
    <n v="0"/>
    <n v="0"/>
    <n v="15400"/>
    <n v="1080"/>
    <n v="4600"/>
    <n v="0.29870129870129869"/>
    <x v="4"/>
    <x v="1"/>
    <x v="1"/>
    <x v="3"/>
    <s v="CUST1038"/>
    <x v="0"/>
  </r>
  <r>
    <n v="749"/>
    <x v="138"/>
    <x v="3"/>
    <x v="3"/>
    <x v="1"/>
    <n v="11"/>
    <n v="2270"/>
    <n v="24970"/>
    <n v="0.1"/>
    <n v="2497"/>
    <n v="22473"/>
    <n v="1580"/>
    <n v="5093"/>
    <n v="0.22662750856583455"/>
    <x v="2"/>
    <x v="1"/>
    <x v="0"/>
    <x v="8"/>
    <s v="CUST1020"/>
    <x v="2"/>
  </r>
  <r>
    <n v="750"/>
    <x v="258"/>
    <x v="5"/>
    <x v="1"/>
    <x v="3"/>
    <n v="12"/>
    <n v="1610"/>
    <n v="19320"/>
    <n v="0.05"/>
    <n v="966"/>
    <n v="18354"/>
    <n v="1170"/>
    <n v="4314"/>
    <n v="0.23504413206930369"/>
    <x v="4"/>
    <x v="0"/>
    <x v="0"/>
    <x v="6"/>
    <s v="CUST1409"/>
    <x v="3"/>
  </r>
  <r>
    <n v="751"/>
    <x v="325"/>
    <x v="2"/>
    <x v="0"/>
    <x v="0"/>
    <n v="1"/>
    <n v="210"/>
    <n v="210"/>
    <n v="0"/>
    <n v="0"/>
    <n v="210"/>
    <n v="160"/>
    <n v="50"/>
    <n v="0.23809523809523808"/>
    <x v="2"/>
    <x v="1"/>
    <x v="3"/>
    <x v="0"/>
    <s v="CUST1307"/>
    <x v="3"/>
  </r>
  <r>
    <n v="752"/>
    <x v="313"/>
    <x v="5"/>
    <x v="3"/>
    <x v="1"/>
    <n v="2"/>
    <n v="2290"/>
    <n v="4580"/>
    <n v="0"/>
    <n v="0"/>
    <n v="4580"/>
    <n v="1470"/>
    <n v="1640"/>
    <n v="0.35807860262008734"/>
    <x v="0"/>
    <x v="3"/>
    <x v="1"/>
    <x v="1"/>
    <s v="CUST1056"/>
    <x v="3"/>
  </r>
  <r>
    <n v="753"/>
    <x v="161"/>
    <x v="1"/>
    <x v="0"/>
    <x v="3"/>
    <n v="12"/>
    <n v="1380"/>
    <n v="16560"/>
    <n v="0"/>
    <n v="0"/>
    <n v="16560"/>
    <n v="1090"/>
    <n v="3480"/>
    <n v="0.21014492753623187"/>
    <x v="1"/>
    <x v="1"/>
    <x v="0"/>
    <x v="4"/>
    <s v="CUST1469"/>
    <x v="2"/>
  </r>
  <r>
    <n v="754"/>
    <x v="202"/>
    <x v="1"/>
    <x v="1"/>
    <x v="3"/>
    <n v="5"/>
    <n v="1200"/>
    <n v="6000"/>
    <n v="0.1"/>
    <n v="600"/>
    <n v="5400"/>
    <n v="750"/>
    <n v="1650"/>
    <n v="0.30555555555555558"/>
    <x v="2"/>
    <x v="1"/>
    <x v="2"/>
    <x v="0"/>
    <s v="CUST1195"/>
    <x v="0"/>
  </r>
  <r>
    <n v="755"/>
    <x v="45"/>
    <x v="0"/>
    <x v="0"/>
    <x v="1"/>
    <n v="10"/>
    <n v="2130"/>
    <n v="21300"/>
    <n v="0.05"/>
    <n v="1065"/>
    <n v="20235"/>
    <n v="1510"/>
    <n v="5135"/>
    <n v="0.25376822337533977"/>
    <x v="0"/>
    <x v="1"/>
    <x v="2"/>
    <x v="8"/>
    <s v="CUST1158"/>
    <x v="3"/>
  </r>
  <r>
    <n v="756"/>
    <x v="295"/>
    <x v="0"/>
    <x v="0"/>
    <x v="1"/>
    <n v="5"/>
    <n v="2230"/>
    <n v="11150"/>
    <n v="0.15"/>
    <n v="1672.5"/>
    <n v="9477.5"/>
    <n v="1660"/>
    <n v="1177.5"/>
    <n v="0.12424162490108151"/>
    <x v="2"/>
    <x v="1"/>
    <x v="0"/>
    <x v="8"/>
    <s v="CUST1398"/>
    <x v="2"/>
  </r>
  <r>
    <n v="757"/>
    <x v="68"/>
    <x v="5"/>
    <x v="3"/>
    <x v="1"/>
    <n v="7"/>
    <n v="2160"/>
    <n v="15120"/>
    <n v="0.15"/>
    <n v="2268"/>
    <n v="12852"/>
    <n v="1630"/>
    <n v="1442"/>
    <n v="0.11220043572984749"/>
    <x v="4"/>
    <x v="1"/>
    <x v="0"/>
    <x v="3"/>
    <s v="CUST1382"/>
    <x v="3"/>
  </r>
  <r>
    <n v="758"/>
    <x v="41"/>
    <x v="5"/>
    <x v="0"/>
    <x v="1"/>
    <n v="8"/>
    <n v="2060"/>
    <n v="16480"/>
    <n v="0.05"/>
    <n v="824"/>
    <n v="15656"/>
    <n v="1440"/>
    <n v="4136"/>
    <n v="0.2641798671435871"/>
    <x v="2"/>
    <x v="1"/>
    <x v="0"/>
    <x v="2"/>
    <s v="CUST1393"/>
    <x v="0"/>
  </r>
  <r>
    <n v="759"/>
    <x v="268"/>
    <x v="4"/>
    <x v="1"/>
    <x v="1"/>
    <n v="10"/>
    <n v="2190"/>
    <n v="21900"/>
    <n v="0"/>
    <n v="0"/>
    <n v="21900"/>
    <n v="1430"/>
    <n v="7600"/>
    <n v="0.34703196347031962"/>
    <x v="2"/>
    <x v="1"/>
    <x v="2"/>
    <x v="6"/>
    <s v="CUST1456"/>
    <x v="2"/>
  </r>
  <r>
    <n v="760"/>
    <x v="318"/>
    <x v="5"/>
    <x v="0"/>
    <x v="0"/>
    <n v="12"/>
    <n v="210"/>
    <n v="2520"/>
    <n v="0"/>
    <n v="0"/>
    <n v="2520"/>
    <n v="130"/>
    <n v="960"/>
    <n v="0.38095238095238093"/>
    <x v="2"/>
    <x v="3"/>
    <x v="1"/>
    <x v="8"/>
    <s v="CUST1417"/>
    <x v="2"/>
  </r>
  <r>
    <n v="761"/>
    <x v="313"/>
    <x v="1"/>
    <x v="0"/>
    <x v="0"/>
    <n v="11"/>
    <n v="230"/>
    <n v="2530"/>
    <n v="0"/>
    <n v="0"/>
    <n v="2530"/>
    <n v="150"/>
    <n v="880"/>
    <n v="0.34782608695652173"/>
    <x v="0"/>
    <x v="1"/>
    <x v="0"/>
    <x v="3"/>
    <s v="CUST1300"/>
    <x v="1"/>
  </r>
  <r>
    <n v="762"/>
    <x v="188"/>
    <x v="5"/>
    <x v="2"/>
    <x v="1"/>
    <n v="8"/>
    <n v="2350"/>
    <n v="18800"/>
    <n v="0"/>
    <n v="0"/>
    <n v="18800"/>
    <n v="1560"/>
    <n v="6320"/>
    <n v="0.33617021276595743"/>
    <x v="0"/>
    <x v="3"/>
    <x v="1"/>
    <x v="8"/>
    <s v="CUST1071"/>
    <x v="0"/>
  </r>
  <r>
    <n v="763"/>
    <x v="335"/>
    <x v="4"/>
    <x v="0"/>
    <x v="0"/>
    <n v="12"/>
    <n v="210"/>
    <n v="2520"/>
    <n v="0.02"/>
    <n v="50.4"/>
    <n v="2469.6"/>
    <n v="160"/>
    <n v="549.59999999999991"/>
    <n v="0.22254616132167149"/>
    <x v="4"/>
    <x v="1"/>
    <x v="1"/>
    <x v="0"/>
    <s v="CUST1326"/>
    <x v="1"/>
  </r>
  <r>
    <n v="764"/>
    <x v="277"/>
    <x v="5"/>
    <x v="3"/>
    <x v="0"/>
    <n v="4"/>
    <n v="200"/>
    <n v="800"/>
    <n v="0.05"/>
    <n v="40"/>
    <n v="760"/>
    <n v="140"/>
    <n v="200"/>
    <n v="0.26315789473684209"/>
    <x v="1"/>
    <x v="1"/>
    <x v="3"/>
    <x v="6"/>
    <s v="CUST1482"/>
    <x v="3"/>
  </r>
  <r>
    <n v="765"/>
    <x v="207"/>
    <x v="4"/>
    <x v="0"/>
    <x v="4"/>
    <n v="12"/>
    <n v="330"/>
    <n v="3960"/>
    <n v="0.02"/>
    <n v="79.2"/>
    <n v="3880.8"/>
    <n v="210"/>
    <n v="1360.8000000000002"/>
    <n v="0.35064935064935066"/>
    <x v="1"/>
    <x v="1"/>
    <x v="0"/>
    <x v="0"/>
    <s v="CUST1169"/>
    <x v="0"/>
  </r>
  <r>
    <n v="766"/>
    <x v="324"/>
    <x v="5"/>
    <x v="2"/>
    <x v="1"/>
    <n v="1"/>
    <n v="2290"/>
    <n v="2290"/>
    <n v="0.15"/>
    <n v="343.5"/>
    <n v="1946.5"/>
    <n v="1560"/>
    <n v="386.5"/>
    <n v="0.19856152067814026"/>
    <x v="2"/>
    <x v="1"/>
    <x v="1"/>
    <x v="7"/>
    <s v="CUST1276"/>
    <x v="2"/>
  </r>
  <r>
    <n v="767"/>
    <x v="155"/>
    <x v="5"/>
    <x v="0"/>
    <x v="4"/>
    <n v="10"/>
    <n v="330"/>
    <n v="3300"/>
    <n v="0.05"/>
    <n v="165"/>
    <n v="3135"/>
    <n v="260"/>
    <n v="535"/>
    <n v="0.17065390749601275"/>
    <x v="0"/>
    <x v="1"/>
    <x v="0"/>
    <x v="1"/>
    <s v="CUST1048"/>
    <x v="3"/>
  </r>
  <r>
    <n v="768"/>
    <x v="34"/>
    <x v="3"/>
    <x v="1"/>
    <x v="2"/>
    <n v="11"/>
    <n v="1270"/>
    <n v="13970"/>
    <n v="0"/>
    <n v="0"/>
    <n v="13970"/>
    <n v="1010"/>
    <n v="2860"/>
    <n v="0.20472440944881889"/>
    <x v="0"/>
    <x v="3"/>
    <x v="3"/>
    <x v="1"/>
    <s v="CUST1124"/>
    <x v="1"/>
  </r>
  <r>
    <n v="769"/>
    <x v="230"/>
    <x v="5"/>
    <x v="0"/>
    <x v="2"/>
    <n v="12"/>
    <n v="1320"/>
    <n v="15840"/>
    <n v="0.05"/>
    <n v="792"/>
    <n v="15048"/>
    <n v="1010"/>
    <n v="2928"/>
    <n v="0.19457735247208932"/>
    <x v="1"/>
    <x v="1"/>
    <x v="1"/>
    <x v="2"/>
    <s v="CUST1178"/>
    <x v="0"/>
  </r>
  <r>
    <n v="770"/>
    <x v="269"/>
    <x v="0"/>
    <x v="0"/>
    <x v="1"/>
    <n v="9"/>
    <n v="2060"/>
    <n v="18540"/>
    <n v="0"/>
    <n v="0"/>
    <n v="18540"/>
    <n v="1590"/>
    <n v="4230"/>
    <n v="0.22815533980582525"/>
    <x v="4"/>
    <x v="1"/>
    <x v="2"/>
    <x v="5"/>
    <s v="CUST1455"/>
    <x v="3"/>
  </r>
  <r>
    <n v="771"/>
    <x v="123"/>
    <x v="5"/>
    <x v="1"/>
    <x v="4"/>
    <n v="12"/>
    <n v="340"/>
    <n v="4080"/>
    <n v="0"/>
    <n v="0"/>
    <n v="4080"/>
    <n v="250"/>
    <n v="1080"/>
    <n v="0.26470588235294118"/>
    <x v="1"/>
    <x v="1"/>
    <x v="1"/>
    <x v="2"/>
    <s v="CUST1201"/>
    <x v="3"/>
  </r>
  <r>
    <n v="772"/>
    <x v="156"/>
    <x v="5"/>
    <x v="0"/>
    <x v="1"/>
    <n v="10"/>
    <n v="2120"/>
    <n v="21200"/>
    <n v="0.02"/>
    <n v="424"/>
    <n v="20776"/>
    <n v="1360"/>
    <n v="7176"/>
    <n v="0.34539853677319987"/>
    <x v="1"/>
    <x v="1"/>
    <x v="0"/>
    <x v="6"/>
    <s v="CUST1128"/>
    <x v="0"/>
  </r>
  <r>
    <n v="773"/>
    <x v="305"/>
    <x v="5"/>
    <x v="0"/>
    <x v="2"/>
    <n v="1"/>
    <n v="1300"/>
    <n v="1300"/>
    <n v="0.1"/>
    <n v="130"/>
    <n v="1170"/>
    <n v="870"/>
    <n v="300"/>
    <n v="0.25641025641025639"/>
    <x v="0"/>
    <x v="1"/>
    <x v="3"/>
    <x v="1"/>
    <s v="CUST1191"/>
    <x v="3"/>
  </r>
  <r>
    <n v="774"/>
    <x v="208"/>
    <x v="1"/>
    <x v="1"/>
    <x v="5"/>
    <n v="9"/>
    <n v="220"/>
    <n v="1980"/>
    <n v="0.05"/>
    <n v="99"/>
    <n v="1881"/>
    <n v="140"/>
    <n v="621"/>
    <n v="0.33014354066985646"/>
    <x v="1"/>
    <x v="1"/>
    <x v="0"/>
    <x v="5"/>
    <s v="CUST1291"/>
    <x v="2"/>
  </r>
  <r>
    <n v="775"/>
    <x v="191"/>
    <x v="0"/>
    <x v="3"/>
    <x v="3"/>
    <n v="8"/>
    <n v="1190"/>
    <n v="9520"/>
    <n v="0.15"/>
    <n v="1428"/>
    <n v="8092"/>
    <n v="800"/>
    <n v="1692"/>
    <n v="0.20909540286702916"/>
    <x v="1"/>
    <x v="1"/>
    <x v="3"/>
    <x v="9"/>
    <s v="CUST1411"/>
    <x v="3"/>
  </r>
  <r>
    <n v="776"/>
    <x v="242"/>
    <x v="5"/>
    <x v="1"/>
    <x v="0"/>
    <n v="8"/>
    <n v="240"/>
    <n v="1920"/>
    <n v="0"/>
    <n v="0"/>
    <n v="1920"/>
    <n v="150"/>
    <n v="720"/>
    <n v="0.375"/>
    <x v="2"/>
    <x v="1"/>
    <x v="1"/>
    <x v="0"/>
    <s v="CUST1036"/>
    <x v="1"/>
  </r>
  <r>
    <n v="777"/>
    <x v="30"/>
    <x v="1"/>
    <x v="2"/>
    <x v="4"/>
    <n v="9"/>
    <n v="310"/>
    <n v="2790"/>
    <n v="0.1"/>
    <n v="279"/>
    <n v="2511"/>
    <n v="190"/>
    <n v="801"/>
    <n v="0.31899641577060933"/>
    <x v="3"/>
    <x v="1"/>
    <x v="3"/>
    <x v="1"/>
    <s v="CUST1353"/>
    <x v="1"/>
  </r>
  <r>
    <n v="778"/>
    <x v="190"/>
    <x v="5"/>
    <x v="2"/>
    <x v="1"/>
    <n v="10"/>
    <n v="2100"/>
    <n v="21000"/>
    <n v="0.02"/>
    <n v="420"/>
    <n v="20580"/>
    <n v="1550"/>
    <n v="5080"/>
    <n v="0.24684159378036929"/>
    <x v="1"/>
    <x v="1"/>
    <x v="2"/>
    <x v="3"/>
    <s v="CUST1374"/>
    <x v="0"/>
  </r>
  <r>
    <n v="779"/>
    <x v="348"/>
    <x v="0"/>
    <x v="3"/>
    <x v="1"/>
    <n v="7"/>
    <n v="2280"/>
    <n v="15960"/>
    <n v="0"/>
    <n v="0"/>
    <n v="15960"/>
    <n v="1410"/>
    <n v="6090"/>
    <n v="0.38157894736842107"/>
    <x v="2"/>
    <x v="1"/>
    <x v="2"/>
    <x v="9"/>
    <s v="CUST1094"/>
    <x v="0"/>
  </r>
  <r>
    <n v="780"/>
    <x v="166"/>
    <x v="2"/>
    <x v="1"/>
    <x v="4"/>
    <n v="6"/>
    <n v="290"/>
    <n v="1740"/>
    <n v="0.05"/>
    <n v="87"/>
    <n v="1653"/>
    <n v="180"/>
    <n v="573"/>
    <n v="0.34664246823956441"/>
    <x v="1"/>
    <x v="0"/>
    <x v="0"/>
    <x v="8"/>
    <s v="CUST1309"/>
    <x v="0"/>
  </r>
  <r>
    <n v="781"/>
    <x v="108"/>
    <x v="3"/>
    <x v="0"/>
    <x v="2"/>
    <n v="6"/>
    <n v="1120"/>
    <n v="6720"/>
    <n v="0"/>
    <n v="0"/>
    <n v="6720"/>
    <n v="730"/>
    <n v="2340"/>
    <n v="0.3482142857142857"/>
    <x v="3"/>
    <x v="2"/>
    <x v="3"/>
    <x v="5"/>
    <s v="CUST1197"/>
    <x v="3"/>
  </r>
  <r>
    <n v="782"/>
    <x v="241"/>
    <x v="2"/>
    <x v="0"/>
    <x v="4"/>
    <n v="12"/>
    <n v="280"/>
    <n v="3360"/>
    <n v="0"/>
    <n v="0"/>
    <n v="3360"/>
    <n v="220"/>
    <n v="720"/>
    <n v="0.21428571428571427"/>
    <x v="3"/>
    <x v="1"/>
    <x v="1"/>
    <x v="7"/>
    <s v="CUST1170"/>
    <x v="3"/>
  </r>
  <r>
    <n v="783"/>
    <x v="258"/>
    <x v="4"/>
    <x v="0"/>
    <x v="3"/>
    <n v="11"/>
    <n v="1370"/>
    <n v="15070"/>
    <n v="0.05"/>
    <n v="753.5"/>
    <n v="14316.5"/>
    <n v="830"/>
    <n v="5186.5"/>
    <n v="0.3622742988859009"/>
    <x v="0"/>
    <x v="1"/>
    <x v="0"/>
    <x v="6"/>
    <s v="CUST1471"/>
    <x v="1"/>
  </r>
  <r>
    <n v="784"/>
    <x v="183"/>
    <x v="3"/>
    <x v="1"/>
    <x v="2"/>
    <n v="2"/>
    <n v="1990"/>
    <n v="3980"/>
    <n v="0.05"/>
    <n v="199"/>
    <n v="3781"/>
    <n v="1230"/>
    <n v="1321"/>
    <n v="0.34937847130388788"/>
    <x v="0"/>
    <x v="1"/>
    <x v="0"/>
    <x v="3"/>
    <s v="CUST1093"/>
    <x v="1"/>
  </r>
  <r>
    <n v="785"/>
    <x v="249"/>
    <x v="1"/>
    <x v="0"/>
    <x v="2"/>
    <n v="11"/>
    <n v="2330"/>
    <n v="25630"/>
    <n v="0"/>
    <n v="0"/>
    <n v="25630"/>
    <n v="1450"/>
    <n v="9680"/>
    <n v="0.37768240343347642"/>
    <x v="4"/>
    <x v="1"/>
    <x v="1"/>
    <x v="3"/>
    <s v="CUST1234"/>
    <x v="3"/>
  </r>
  <r>
    <n v="786"/>
    <x v="325"/>
    <x v="2"/>
    <x v="0"/>
    <x v="0"/>
    <n v="3"/>
    <n v="240"/>
    <n v="720"/>
    <n v="0"/>
    <n v="0"/>
    <n v="720"/>
    <n v="140"/>
    <n v="300"/>
    <n v="0.41666666666666669"/>
    <x v="4"/>
    <x v="2"/>
    <x v="3"/>
    <x v="9"/>
    <s v="CUST1388"/>
    <x v="3"/>
  </r>
  <r>
    <n v="787"/>
    <x v="263"/>
    <x v="1"/>
    <x v="1"/>
    <x v="1"/>
    <n v="7"/>
    <n v="1900"/>
    <n v="13300"/>
    <n v="0.1"/>
    <n v="1330"/>
    <n v="11970"/>
    <n v="1280"/>
    <n v="3010"/>
    <n v="0.25146198830409355"/>
    <x v="0"/>
    <x v="1"/>
    <x v="1"/>
    <x v="4"/>
    <s v="CUST1104"/>
    <x v="1"/>
  </r>
  <r>
    <n v="788"/>
    <x v="46"/>
    <x v="0"/>
    <x v="0"/>
    <x v="1"/>
    <n v="6"/>
    <n v="2290"/>
    <n v="13740"/>
    <n v="0.05"/>
    <n v="687"/>
    <n v="13053"/>
    <n v="1400"/>
    <n v="4653"/>
    <n v="0.35646977706274419"/>
    <x v="4"/>
    <x v="1"/>
    <x v="1"/>
    <x v="9"/>
    <s v="CUST1337"/>
    <x v="1"/>
  </r>
  <r>
    <n v="789"/>
    <x v="183"/>
    <x v="2"/>
    <x v="0"/>
    <x v="2"/>
    <n v="9"/>
    <n v="1280"/>
    <n v="11520"/>
    <n v="0"/>
    <n v="0"/>
    <n v="11520"/>
    <n v="780"/>
    <n v="4500"/>
    <n v="0.390625"/>
    <x v="1"/>
    <x v="1"/>
    <x v="3"/>
    <x v="9"/>
    <s v="CUST1187"/>
    <x v="0"/>
  </r>
  <r>
    <n v="790"/>
    <x v="246"/>
    <x v="2"/>
    <x v="1"/>
    <x v="4"/>
    <n v="12"/>
    <n v="290"/>
    <n v="3480"/>
    <n v="0"/>
    <n v="0"/>
    <n v="3480"/>
    <n v="210"/>
    <n v="960"/>
    <n v="0.27586206896551724"/>
    <x v="1"/>
    <x v="1"/>
    <x v="0"/>
    <x v="9"/>
    <s v="CUST1329"/>
    <x v="3"/>
  </r>
  <r>
    <n v="791"/>
    <x v="310"/>
    <x v="0"/>
    <x v="0"/>
    <x v="4"/>
    <n v="1"/>
    <n v="290"/>
    <n v="290"/>
    <n v="0.02"/>
    <n v="5.8"/>
    <n v="284.2"/>
    <n v="220"/>
    <n v="64.199999999999989"/>
    <n v="0.22589725545390568"/>
    <x v="2"/>
    <x v="1"/>
    <x v="1"/>
    <x v="7"/>
    <s v="CUST1477"/>
    <x v="3"/>
  </r>
  <r>
    <n v="792"/>
    <x v="38"/>
    <x v="4"/>
    <x v="0"/>
    <x v="4"/>
    <n v="10"/>
    <n v="310"/>
    <n v="3100"/>
    <n v="0.05"/>
    <n v="155"/>
    <n v="2945"/>
    <n v="190"/>
    <n v="1045"/>
    <n v="0.35483870967741937"/>
    <x v="4"/>
    <x v="2"/>
    <x v="3"/>
    <x v="8"/>
    <s v="CUST1084"/>
    <x v="3"/>
  </r>
  <r>
    <n v="793"/>
    <x v="8"/>
    <x v="5"/>
    <x v="0"/>
    <x v="5"/>
    <n v="7"/>
    <n v="180"/>
    <n v="1260"/>
    <n v="0.05"/>
    <n v="63"/>
    <n v="1197"/>
    <n v="120"/>
    <n v="357"/>
    <n v="0.2982456140350877"/>
    <x v="2"/>
    <x v="1"/>
    <x v="3"/>
    <x v="2"/>
    <s v="CUST1210"/>
    <x v="0"/>
  </r>
  <r>
    <n v="794"/>
    <x v="172"/>
    <x v="4"/>
    <x v="0"/>
    <x v="1"/>
    <n v="10"/>
    <n v="2060"/>
    <n v="20600"/>
    <n v="0.05"/>
    <n v="1030"/>
    <n v="19570"/>
    <n v="1540"/>
    <n v="4170"/>
    <n v="0.21308124680633622"/>
    <x v="2"/>
    <x v="0"/>
    <x v="2"/>
    <x v="4"/>
    <s v="CUST1452"/>
    <x v="2"/>
  </r>
  <r>
    <n v="795"/>
    <x v="123"/>
    <x v="2"/>
    <x v="1"/>
    <x v="0"/>
    <n v="3"/>
    <n v="220"/>
    <n v="660"/>
    <n v="0.1"/>
    <n v="66"/>
    <n v="594"/>
    <n v="150"/>
    <n v="144"/>
    <n v="0.24242424242424243"/>
    <x v="3"/>
    <x v="1"/>
    <x v="2"/>
    <x v="3"/>
    <s v="CUST1017"/>
    <x v="1"/>
  </r>
  <r>
    <n v="796"/>
    <x v="124"/>
    <x v="5"/>
    <x v="2"/>
    <x v="4"/>
    <n v="7"/>
    <n v="270"/>
    <n v="1890"/>
    <n v="0"/>
    <n v="0"/>
    <n v="1890"/>
    <n v="210"/>
    <n v="420"/>
    <n v="0.22222222222222221"/>
    <x v="3"/>
    <x v="1"/>
    <x v="3"/>
    <x v="2"/>
    <s v="CUST1342"/>
    <x v="3"/>
  </r>
  <r>
    <n v="797"/>
    <x v="358"/>
    <x v="3"/>
    <x v="3"/>
    <x v="4"/>
    <n v="9"/>
    <n v="280"/>
    <n v="2520"/>
    <n v="0"/>
    <n v="0"/>
    <n v="2520"/>
    <n v="180"/>
    <n v="900"/>
    <n v="0.35714285714285715"/>
    <x v="0"/>
    <x v="1"/>
    <x v="3"/>
    <x v="6"/>
    <s v="CUST1450"/>
    <x v="0"/>
  </r>
  <r>
    <n v="798"/>
    <x v="40"/>
    <x v="1"/>
    <x v="0"/>
    <x v="1"/>
    <n v="6"/>
    <n v="2210"/>
    <n v="13260"/>
    <n v="0.1"/>
    <n v="1326"/>
    <n v="11934"/>
    <n v="1290"/>
    <n v="4194"/>
    <n v="0.35143288084464552"/>
    <x v="0"/>
    <x v="1"/>
    <x v="3"/>
    <x v="2"/>
    <s v="CUST1112"/>
    <x v="3"/>
  </r>
  <r>
    <n v="799"/>
    <x v="268"/>
    <x v="1"/>
    <x v="0"/>
    <x v="2"/>
    <n v="2"/>
    <n v="1160"/>
    <n v="2320"/>
    <n v="0.15"/>
    <n v="348"/>
    <n v="1972"/>
    <n v="760"/>
    <n v="452"/>
    <n v="0.22920892494929007"/>
    <x v="3"/>
    <x v="1"/>
    <x v="0"/>
    <x v="4"/>
    <s v="CUST1421"/>
    <x v="2"/>
  </r>
  <r>
    <n v="800"/>
    <x v="182"/>
    <x v="5"/>
    <x v="0"/>
    <x v="4"/>
    <n v="1"/>
    <n v="280"/>
    <n v="280"/>
    <n v="0.15"/>
    <n v="42"/>
    <n v="238"/>
    <n v="170"/>
    <n v="68"/>
    <n v="0.2857142857142857"/>
    <x v="4"/>
    <x v="1"/>
    <x v="0"/>
    <x v="0"/>
    <s v="CUST1482"/>
    <x v="2"/>
  </r>
  <r>
    <n v="801"/>
    <x v="13"/>
    <x v="0"/>
    <x v="2"/>
    <x v="0"/>
    <n v="5"/>
    <n v="220"/>
    <n v="1100"/>
    <n v="0.1"/>
    <n v="110"/>
    <n v="990"/>
    <n v="170"/>
    <n v="140"/>
    <n v="0.14141414141414141"/>
    <x v="0"/>
    <x v="1"/>
    <x v="2"/>
    <x v="0"/>
    <s v="CUST1311"/>
    <x v="1"/>
  </r>
  <r>
    <n v="802"/>
    <x v="302"/>
    <x v="0"/>
    <x v="3"/>
    <x v="2"/>
    <n v="6"/>
    <n v="1360"/>
    <n v="8160"/>
    <n v="0"/>
    <n v="0"/>
    <n v="8160"/>
    <n v="910"/>
    <n v="2700"/>
    <n v="0.33088235294117646"/>
    <x v="2"/>
    <x v="1"/>
    <x v="0"/>
    <x v="3"/>
    <s v="CUST1369"/>
    <x v="1"/>
  </r>
  <r>
    <n v="803"/>
    <x v="183"/>
    <x v="2"/>
    <x v="3"/>
    <x v="5"/>
    <n v="3"/>
    <n v="230"/>
    <n v="690"/>
    <n v="0.1"/>
    <n v="69"/>
    <n v="621"/>
    <n v="140"/>
    <n v="201"/>
    <n v="0.32367149758454106"/>
    <x v="1"/>
    <x v="1"/>
    <x v="1"/>
    <x v="1"/>
    <s v="CUST1237"/>
    <x v="0"/>
  </r>
  <r>
    <n v="804"/>
    <x v="292"/>
    <x v="4"/>
    <x v="0"/>
    <x v="0"/>
    <n v="5"/>
    <n v="240"/>
    <n v="1200"/>
    <n v="0"/>
    <n v="0"/>
    <n v="1200"/>
    <n v="140"/>
    <n v="500"/>
    <n v="0.41666666666666669"/>
    <x v="3"/>
    <x v="1"/>
    <x v="1"/>
    <x v="8"/>
    <s v="CUST1316"/>
    <x v="0"/>
  </r>
  <r>
    <n v="805"/>
    <x v="87"/>
    <x v="3"/>
    <x v="0"/>
    <x v="5"/>
    <n v="5"/>
    <n v="180"/>
    <n v="900"/>
    <n v="0"/>
    <n v="0"/>
    <n v="900"/>
    <n v="140"/>
    <n v="200"/>
    <n v="0.22222222222222221"/>
    <x v="0"/>
    <x v="1"/>
    <x v="3"/>
    <x v="3"/>
    <s v="CUST1048"/>
    <x v="2"/>
  </r>
  <r>
    <n v="806"/>
    <x v="180"/>
    <x v="5"/>
    <x v="0"/>
    <x v="3"/>
    <n v="10"/>
    <n v="1630"/>
    <n v="16300"/>
    <n v="0.05"/>
    <n v="815"/>
    <n v="15485"/>
    <n v="1150"/>
    <n v="3985"/>
    <n v="0.25734581853406524"/>
    <x v="4"/>
    <x v="1"/>
    <x v="0"/>
    <x v="5"/>
    <s v="CUST1088"/>
    <x v="2"/>
  </r>
  <r>
    <n v="807"/>
    <x v="141"/>
    <x v="4"/>
    <x v="3"/>
    <x v="4"/>
    <n v="6"/>
    <n v="270"/>
    <n v="1620"/>
    <n v="0.15"/>
    <n v="243"/>
    <n v="1377"/>
    <n v="190"/>
    <n v="237"/>
    <n v="0.17211328976034859"/>
    <x v="4"/>
    <x v="1"/>
    <x v="2"/>
    <x v="3"/>
    <s v="CUST1322"/>
    <x v="0"/>
  </r>
  <r>
    <n v="808"/>
    <x v="17"/>
    <x v="1"/>
    <x v="0"/>
    <x v="0"/>
    <n v="12"/>
    <n v="230"/>
    <n v="2760"/>
    <n v="0.05"/>
    <n v="138"/>
    <n v="2622"/>
    <n v="170"/>
    <n v="582"/>
    <n v="0.2219679633867277"/>
    <x v="3"/>
    <x v="1"/>
    <x v="0"/>
    <x v="6"/>
    <s v="CUST1078"/>
    <x v="3"/>
  </r>
  <r>
    <n v="809"/>
    <x v="32"/>
    <x v="5"/>
    <x v="1"/>
    <x v="3"/>
    <n v="10"/>
    <n v="1470"/>
    <n v="14700"/>
    <n v="0.15"/>
    <n v="2205"/>
    <n v="12495"/>
    <n v="890"/>
    <n v="3595"/>
    <n v="0.28771508603441376"/>
    <x v="0"/>
    <x v="1"/>
    <x v="2"/>
    <x v="3"/>
    <s v="CUST1257"/>
    <x v="1"/>
  </r>
  <r>
    <n v="810"/>
    <x v="114"/>
    <x v="5"/>
    <x v="3"/>
    <x v="0"/>
    <n v="6"/>
    <n v="210"/>
    <n v="1260"/>
    <n v="0.02"/>
    <n v="25.2"/>
    <n v="1234.8"/>
    <n v="170"/>
    <n v="214.79999999999995"/>
    <n v="0.17395529640427596"/>
    <x v="0"/>
    <x v="1"/>
    <x v="3"/>
    <x v="9"/>
    <s v="CUST1190"/>
    <x v="1"/>
  </r>
  <r>
    <n v="811"/>
    <x v="322"/>
    <x v="2"/>
    <x v="0"/>
    <x v="1"/>
    <n v="10"/>
    <n v="2220"/>
    <n v="22200"/>
    <n v="0.05"/>
    <n v="1110"/>
    <n v="21090"/>
    <n v="1700"/>
    <n v="4090"/>
    <n v="0.19393077287814131"/>
    <x v="2"/>
    <x v="1"/>
    <x v="3"/>
    <x v="9"/>
    <s v="CUST1034"/>
    <x v="0"/>
  </r>
  <r>
    <n v="812"/>
    <x v="218"/>
    <x v="5"/>
    <x v="3"/>
    <x v="3"/>
    <n v="2"/>
    <n v="1510"/>
    <n v="3020"/>
    <n v="0.05"/>
    <n v="151"/>
    <n v="2869"/>
    <n v="1200"/>
    <n v="469"/>
    <n v="0.16347159288950855"/>
    <x v="4"/>
    <x v="1"/>
    <x v="1"/>
    <x v="5"/>
    <s v="CUST1056"/>
    <x v="1"/>
  </r>
  <r>
    <n v="813"/>
    <x v="339"/>
    <x v="4"/>
    <x v="1"/>
    <x v="5"/>
    <n v="8"/>
    <n v="170"/>
    <n v="1360"/>
    <n v="0.05"/>
    <n v="68"/>
    <n v="1292"/>
    <n v="120"/>
    <n v="332"/>
    <n v="0.25696594427244585"/>
    <x v="0"/>
    <x v="1"/>
    <x v="0"/>
    <x v="2"/>
    <s v="CUST1417"/>
    <x v="2"/>
  </r>
  <r>
    <n v="814"/>
    <x v="238"/>
    <x v="0"/>
    <x v="0"/>
    <x v="0"/>
    <n v="1"/>
    <n v="200"/>
    <n v="200"/>
    <n v="0.02"/>
    <n v="4"/>
    <n v="196"/>
    <n v="150"/>
    <n v="46"/>
    <n v="0.23469387755102042"/>
    <x v="4"/>
    <x v="2"/>
    <x v="1"/>
    <x v="9"/>
    <s v="CUST1458"/>
    <x v="3"/>
  </r>
  <r>
    <n v="815"/>
    <x v="277"/>
    <x v="5"/>
    <x v="3"/>
    <x v="4"/>
    <n v="6"/>
    <n v="320"/>
    <n v="1920"/>
    <n v="0.02"/>
    <n v="38.4"/>
    <n v="1881.6"/>
    <n v="230"/>
    <n v="501.59999999999991"/>
    <n v="0.26658163265306117"/>
    <x v="4"/>
    <x v="1"/>
    <x v="3"/>
    <x v="2"/>
    <s v="CUST1021"/>
    <x v="1"/>
  </r>
  <r>
    <n v="816"/>
    <x v="96"/>
    <x v="1"/>
    <x v="0"/>
    <x v="0"/>
    <n v="11"/>
    <n v="190"/>
    <n v="2090"/>
    <n v="0.15"/>
    <n v="313.5"/>
    <n v="1776.5"/>
    <n v="130"/>
    <n v="346.5"/>
    <n v="0.19504643962848298"/>
    <x v="1"/>
    <x v="1"/>
    <x v="3"/>
    <x v="6"/>
    <s v="CUST1287"/>
    <x v="1"/>
  </r>
  <r>
    <n v="817"/>
    <x v="211"/>
    <x v="5"/>
    <x v="2"/>
    <x v="3"/>
    <n v="10"/>
    <n v="1390"/>
    <n v="13900"/>
    <n v="0.02"/>
    <n v="278"/>
    <n v="13622"/>
    <n v="880"/>
    <n v="4822"/>
    <n v="0.35398619879606519"/>
    <x v="4"/>
    <x v="0"/>
    <x v="1"/>
    <x v="7"/>
    <s v="CUST1098"/>
    <x v="3"/>
  </r>
  <r>
    <n v="818"/>
    <x v="333"/>
    <x v="5"/>
    <x v="3"/>
    <x v="0"/>
    <n v="3"/>
    <n v="230"/>
    <n v="690"/>
    <n v="0.02"/>
    <n v="13.8"/>
    <n v="676.2"/>
    <n v="180"/>
    <n v="136.20000000000005"/>
    <n v="0.2014196983141083"/>
    <x v="3"/>
    <x v="1"/>
    <x v="0"/>
    <x v="2"/>
    <s v="CUST1064"/>
    <x v="2"/>
  </r>
  <r>
    <n v="819"/>
    <x v="274"/>
    <x v="5"/>
    <x v="3"/>
    <x v="5"/>
    <n v="1"/>
    <n v="190"/>
    <n v="190"/>
    <n v="0.1"/>
    <n v="19"/>
    <n v="171"/>
    <n v="140"/>
    <n v="31"/>
    <n v="0.18128654970760233"/>
    <x v="1"/>
    <x v="1"/>
    <x v="2"/>
    <x v="7"/>
    <s v="CUST1085"/>
    <x v="2"/>
  </r>
  <r>
    <n v="820"/>
    <x v="11"/>
    <x v="5"/>
    <x v="3"/>
    <x v="4"/>
    <n v="2"/>
    <n v="310"/>
    <n v="620"/>
    <n v="0"/>
    <n v="0"/>
    <n v="620"/>
    <n v="220"/>
    <n v="180"/>
    <n v="0.29032258064516131"/>
    <x v="3"/>
    <x v="1"/>
    <x v="2"/>
    <x v="7"/>
    <s v="CUST1429"/>
    <x v="2"/>
  </r>
  <r>
    <n v="821"/>
    <x v="178"/>
    <x v="5"/>
    <x v="0"/>
    <x v="2"/>
    <n v="10"/>
    <n v="2290"/>
    <n v="22900"/>
    <n v="0.05"/>
    <n v="1145"/>
    <n v="21755"/>
    <n v="1340"/>
    <n v="8355"/>
    <n v="0.38404964376005518"/>
    <x v="3"/>
    <x v="1"/>
    <x v="2"/>
    <x v="1"/>
    <s v="CUST1171"/>
    <x v="3"/>
  </r>
  <r>
    <n v="822"/>
    <x v="227"/>
    <x v="1"/>
    <x v="0"/>
    <x v="1"/>
    <n v="8"/>
    <n v="2210"/>
    <n v="17680"/>
    <n v="0.05"/>
    <n v="884"/>
    <n v="16796"/>
    <n v="1360"/>
    <n v="5916"/>
    <n v="0.35222672064777327"/>
    <x v="3"/>
    <x v="1"/>
    <x v="0"/>
    <x v="7"/>
    <s v="CUST1218"/>
    <x v="3"/>
  </r>
  <r>
    <n v="823"/>
    <x v="237"/>
    <x v="4"/>
    <x v="0"/>
    <x v="4"/>
    <n v="8"/>
    <n v="280"/>
    <n v="2240"/>
    <n v="0"/>
    <n v="0"/>
    <n v="2240"/>
    <n v="170"/>
    <n v="880"/>
    <n v="0.39285714285714285"/>
    <x v="0"/>
    <x v="1"/>
    <x v="3"/>
    <x v="7"/>
    <s v="CUST1092"/>
    <x v="3"/>
  </r>
  <r>
    <n v="824"/>
    <x v="316"/>
    <x v="5"/>
    <x v="0"/>
    <x v="5"/>
    <n v="1"/>
    <n v="180"/>
    <n v="180"/>
    <n v="0.05"/>
    <n v="9"/>
    <n v="171"/>
    <n v="140"/>
    <n v="31"/>
    <n v="0.18128654970760233"/>
    <x v="1"/>
    <x v="1"/>
    <x v="1"/>
    <x v="3"/>
    <s v="CUST1391"/>
    <x v="0"/>
  </r>
  <r>
    <n v="825"/>
    <x v="104"/>
    <x v="5"/>
    <x v="2"/>
    <x v="0"/>
    <n v="10"/>
    <n v="240"/>
    <n v="2400"/>
    <n v="0.1"/>
    <n v="240"/>
    <n v="2160"/>
    <n v="150"/>
    <n v="660"/>
    <n v="0.30555555555555558"/>
    <x v="1"/>
    <x v="1"/>
    <x v="0"/>
    <x v="9"/>
    <s v="CUST1110"/>
    <x v="1"/>
  </r>
  <r>
    <n v="826"/>
    <x v="94"/>
    <x v="1"/>
    <x v="3"/>
    <x v="1"/>
    <n v="12"/>
    <n v="1910"/>
    <n v="22920"/>
    <n v="0"/>
    <n v="0"/>
    <n v="22920"/>
    <n v="1410"/>
    <n v="6000"/>
    <n v="0.26178010471204188"/>
    <x v="4"/>
    <x v="1"/>
    <x v="0"/>
    <x v="8"/>
    <s v="CUST1150"/>
    <x v="2"/>
  </r>
  <r>
    <n v="827"/>
    <x v="65"/>
    <x v="0"/>
    <x v="1"/>
    <x v="5"/>
    <n v="3"/>
    <n v="180"/>
    <n v="540"/>
    <n v="0"/>
    <n v="0"/>
    <n v="540"/>
    <n v="140"/>
    <n v="120"/>
    <n v="0.22222222222222221"/>
    <x v="4"/>
    <x v="1"/>
    <x v="2"/>
    <x v="1"/>
    <s v="CUST1404"/>
    <x v="3"/>
  </r>
  <r>
    <n v="828"/>
    <x v="42"/>
    <x v="0"/>
    <x v="2"/>
    <x v="1"/>
    <n v="11"/>
    <n v="1990"/>
    <n v="21890"/>
    <n v="0.1"/>
    <n v="2189"/>
    <n v="19701"/>
    <n v="1550"/>
    <n v="2651"/>
    <n v="0.13456169737576773"/>
    <x v="3"/>
    <x v="1"/>
    <x v="1"/>
    <x v="2"/>
    <s v="CUST1358"/>
    <x v="0"/>
  </r>
  <r>
    <n v="829"/>
    <x v="312"/>
    <x v="1"/>
    <x v="1"/>
    <x v="4"/>
    <n v="4"/>
    <n v="320"/>
    <n v="1280"/>
    <n v="0.05"/>
    <n v="64"/>
    <n v="1216"/>
    <n v="260"/>
    <n v="176"/>
    <n v="0.14473684210526316"/>
    <x v="2"/>
    <x v="1"/>
    <x v="0"/>
    <x v="3"/>
    <s v="CUST1049"/>
    <x v="1"/>
  </r>
  <r>
    <n v="830"/>
    <x v="58"/>
    <x v="1"/>
    <x v="0"/>
    <x v="0"/>
    <n v="6"/>
    <n v="220"/>
    <n v="1320"/>
    <n v="0.05"/>
    <n v="66"/>
    <n v="1254"/>
    <n v="160"/>
    <n v="294"/>
    <n v="0.23444976076555024"/>
    <x v="4"/>
    <x v="1"/>
    <x v="3"/>
    <x v="5"/>
    <s v="CUST1370"/>
    <x v="2"/>
  </r>
  <r>
    <n v="831"/>
    <x v="333"/>
    <x v="4"/>
    <x v="0"/>
    <x v="0"/>
    <n v="10"/>
    <n v="230"/>
    <n v="2300"/>
    <n v="0.05"/>
    <n v="115"/>
    <n v="2185"/>
    <n v="160"/>
    <n v="585"/>
    <n v="0.26773455377574373"/>
    <x v="1"/>
    <x v="1"/>
    <x v="0"/>
    <x v="0"/>
    <s v="CUST1291"/>
    <x v="0"/>
  </r>
  <r>
    <n v="832"/>
    <x v="138"/>
    <x v="1"/>
    <x v="0"/>
    <x v="3"/>
    <n v="2"/>
    <n v="1410"/>
    <n v="2820"/>
    <n v="0.05"/>
    <n v="141"/>
    <n v="2679"/>
    <n v="980"/>
    <n v="719"/>
    <n v="0.26838372527062337"/>
    <x v="3"/>
    <x v="1"/>
    <x v="1"/>
    <x v="1"/>
    <s v="CUST1473"/>
    <x v="3"/>
  </r>
  <r>
    <n v="833"/>
    <x v="104"/>
    <x v="3"/>
    <x v="0"/>
    <x v="2"/>
    <n v="12"/>
    <n v="1220"/>
    <n v="14640"/>
    <n v="0"/>
    <n v="0"/>
    <n v="14640"/>
    <n v="840"/>
    <n v="4560"/>
    <n v="0.31147540983606559"/>
    <x v="0"/>
    <x v="1"/>
    <x v="3"/>
    <x v="8"/>
    <s v="CUST1146"/>
    <x v="3"/>
  </r>
  <r>
    <n v="834"/>
    <x v="138"/>
    <x v="1"/>
    <x v="0"/>
    <x v="4"/>
    <n v="9"/>
    <n v="340"/>
    <n v="3060"/>
    <n v="0.15"/>
    <n v="459"/>
    <n v="2601"/>
    <n v="240"/>
    <n v="441"/>
    <n v="0.16955017301038061"/>
    <x v="1"/>
    <x v="1"/>
    <x v="0"/>
    <x v="4"/>
    <s v="CUST1340"/>
    <x v="2"/>
  </r>
  <r>
    <n v="835"/>
    <x v="360"/>
    <x v="5"/>
    <x v="3"/>
    <x v="4"/>
    <n v="10"/>
    <n v="290"/>
    <n v="2900"/>
    <n v="0.02"/>
    <n v="58"/>
    <n v="2842"/>
    <n v="220"/>
    <n v="642"/>
    <n v="0.22589725545390571"/>
    <x v="1"/>
    <x v="1"/>
    <x v="2"/>
    <x v="5"/>
    <s v="CUST1463"/>
    <x v="2"/>
  </r>
  <r>
    <n v="836"/>
    <x v="150"/>
    <x v="4"/>
    <x v="2"/>
    <x v="1"/>
    <n v="11"/>
    <n v="1930"/>
    <n v="21230"/>
    <n v="0.05"/>
    <n v="1061.5"/>
    <n v="20168.5"/>
    <n v="1290"/>
    <n v="5978.5"/>
    <n v="0.29642759749113717"/>
    <x v="2"/>
    <x v="1"/>
    <x v="0"/>
    <x v="7"/>
    <s v="CUST1458"/>
    <x v="3"/>
  </r>
  <r>
    <n v="837"/>
    <x v="203"/>
    <x v="5"/>
    <x v="0"/>
    <x v="2"/>
    <n v="2"/>
    <n v="1240"/>
    <n v="2480"/>
    <n v="0.02"/>
    <n v="49.6"/>
    <n v="2430.4"/>
    <n v="970"/>
    <n v="490.40000000000009"/>
    <n v="0.20177748518762348"/>
    <x v="3"/>
    <x v="1"/>
    <x v="2"/>
    <x v="4"/>
    <s v="CUST1398"/>
    <x v="2"/>
  </r>
  <r>
    <n v="838"/>
    <x v="37"/>
    <x v="2"/>
    <x v="0"/>
    <x v="1"/>
    <n v="11"/>
    <n v="2090"/>
    <n v="22990"/>
    <n v="0"/>
    <n v="0"/>
    <n v="22990"/>
    <n v="1500"/>
    <n v="6490"/>
    <n v="0.28229665071770332"/>
    <x v="1"/>
    <x v="1"/>
    <x v="1"/>
    <x v="3"/>
    <s v="CUST1122"/>
    <x v="2"/>
  </r>
  <r>
    <n v="839"/>
    <x v="8"/>
    <x v="5"/>
    <x v="0"/>
    <x v="1"/>
    <n v="9"/>
    <n v="1980"/>
    <n v="17820"/>
    <n v="0.15"/>
    <n v="2673"/>
    <n v="15147"/>
    <n v="1310"/>
    <n v="3357"/>
    <n v="0.22162804515745693"/>
    <x v="3"/>
    <x v="1"/>
    <x v="3"/>
    <x v="6"/>
    <s v="CUST1182"/>
    <x v="3"/>
  </r>
  <r>
    <n v="840"/>
    <x v="54"/>
    <x v="1"/>
    <x v="0"/>
    <x v="1"/>
    <n v="1"/>
    <n v="1940"/>
    <n v="1940"/>
    <n v="0"/>
    <n v="0"/>
    <n v="1940"/>
    <n v="1540"/>
    <n v="400"/>
    <n v="0.20618556701030927"/>
    <x v="4"/>
    <x v="1"/>
    <x v="1"/>
    <x v="0"/>
    <s v="CUST1489"/>
    <x v="2"/>
  </r>
  <r>
    <n v="841"/>
    <x v="6"/>
    <x v="2"/>
    <x v="1"/>
    <x v="5"/>
    <n v="7"/>
    <n v="190"/>
    <n v="1330"/>
    <n v="0"/>
    <n v="0"/>
    <n v="1330"/>
    <n v="130"/>
    <n v="420"/>
    <n v="0.31578947368421051"/>
    <x v="0"/>
    <x v="1"/>
    <x v="2"/>
    <x v="5"/>
    <s v="CUST1327"/>
    <x v="1"/>
  </r>
  <r>
    <n v="842"/>
    <x v="323"/>
    <x v="3"/>
    <x v="3"/>
    <x v="4"/>
    <n v="4"/>
    <n v="310"/>
    <n v="1240"/>
    <n v="0.05"/>
    <n v="62"/>
    <n v="1178"/>
    <n v="190"/>
    <n v="418"/>
    <n v="0.35483870967741937"/>
    <x v="2"/>
    <x v="1"/>
    <x v="3"/>
    <x v="4"/>
    <s v="CUST1328"/>
    <x v="3"/>
  </r>
  <r>
    <n v="843"/>
    <x v="69"/>
    <x v="1"/>
    <x v="0"/>
    <x v="0"/>
    <n v="1"/>
    <n v="190"/>
    <n v="190"/>
    <n v="0.1"/>
    <n v="19"/>
    <n v="171"/>
    <n v="110"/>
    <n v="61"/>
    <n v="0.35672514619883039"/>
    <x v="2"/>
    <x v="1"/>
    <x v="1"/>
    <x v="6"/>
    <s v="CUST1030"/>
    <x v="3"/>
  </r>
  <r>
    <n v="844"/>
    <x v="102"/>
    <x v="5"/>
    <x v="1"/>
    <x v="5"/>
    <n v="2"/>
    <n v="210"/>
    <n v="420"/>
    <n v="0.05"/>
    <n v="21"/>
    <n v="399"/>
    <n v="140"/>
    <n v="119"/>
    <n v="0.2982456140350877"/>
    <x v="1"/>
    <x v="2"/>
    <x v="0"/>
    <x v="1"/>
    <s v="CUST1329"/>
    <x v="2"/>
  </r>
  <r>
    <n v="845"/>
    <x v="166"/>
    <x v="5"/>
    <x v="1"/>
    <x v="3"/>
    <n v="12"/>
    <n v="1660"/>
    <n v="19920"/>
    <n v="0"/>
    <n v="0"/>
    <n v="19920"/>
    <n v="1290"/>
    <n v="4440"/>
    <n v="0.22289156626506024"/>
    <x v="3"/>
    <x v="1"/>
    <x v="1"/>
    <x v="1"/>
    <s v="CUST1046"/>
    <x v="0"/>
  </r>
  <r>
    <n v="846"/>
    <x v="33"/>
    <x v="5"/>
    <x v="0"/>
    <x v="2"/>
    <n v="11"/>
    <n v="1140"/>
    <n v="12540"/>
    <n v="0"/>
    <n v="0"/>
    <n v="12540"/>
    <n v="690"/>
    <n v="4950"/>
    <n v="0.39473684210526316"/>
    <x v="2"/>
    <x v="1"/>
    <x v="3"/>
    <x v="3"/>
    <s v="CUST1455"/>
    <x v="1"/>
  </r>
  <r>
    <n v="847"/>
    <x v="356"/>
    <x v="0"/>
    <x v="0"/>
    <x v="2"/>
    <n v="5"/>
    <n v="1310"/>
    <n v="6550"/>
    <n v="0.02"/>
    <n v="131"/>
    <n v="6419"/>
    <n v="900"/>
    <n v="1919"/>
    <n v="0.29895622371085839"/>
    <x v="0"/>
    <x v="1"/>
    <x v="1"/>
    <x v="2"/>
    <s v="CUST1009"/>
    <x v="1"/>
  </r>
  <r>
    <n v="848"/>
    <x v="83"/>
    <x v="5"/>
    <x v="0"/>
    <x v="0"/>
    <n v="6"/>
    <n v="230"/>
    <n v="1380"/>
    <n v="0"/>
    <n v="0"/>
    <n v="1380"/>
    <n v="160"/>
    <n v="420"/>
    <n v="0.30434782608695654"/>
    <x v="0"/>
    <x v="1"/>
    <x v="1"/>
    <x v="7"/>
    <s v="CUST1471"/>
    <x v="3"/>
  </r>
  <r>
    <n v="849"/>
    <x v="194"/>
    <x v="5"/>
    <x v="0"/>
    <x v="0"/>
    <n v="7"/>
    <n v="210"/>
    <n v="1470"/>
    <n v="0"/>
    <n v="0"/>
    <n v="1470"/>
    <n v="160"/>
    <n v="350"/>
    <n v="0.23809523809523808"/>
    <x v="4"/>
    <x v="3"/>
    <x v="3"/>
    <x v="0"/>
    <s v="CUST1054"/>
    <x v="0"/>
  </r>
  <r>
    <n v="850"/>
    <x v="41"/>
    <x v="2"/>
    <x v="3"/>
    <x v="2"/>
    <n v="1"/>
    <n v="1120"/>
    <n v="1120"/>
    <n v="0.15"/>
    <n v="168"/>
    <n v="952"/>
    <n v="870"/>
    <n v="82"/>
    <n v="8.6134453781512604E-2"/>
    <x v="4"/>
    <x v="1"/>
    <x v="3"/>
    <x v="8"/>
    <s v="CUST1132"/>
    <x v="2"/>
  </r>
  <r>
    <n v="851"/>
    <x v="208"/>
    <x v="5"/>
    <x v="1"/>
    <x v="5"/>
    <n v="2"/>
    <n v="180"/>
    <n v="360"/>
    <n v="0.05"/>
    <n v="18"/>
    <n v="342"/>
    <n v="110"/>
    <n v="122"/>
    <n v="0.35672514619883039"/>
    <x v="2"/>
    <x v="1"/>
    <x v="0"/>
    <x v="8"/>
    <s v="CUST1094"/>
    <x v="1"/>
  </r>
  <r>
    <n v="852"/>
    <x v="219"/>
    <x v="5"/>
    <x v="0"/>
    <x v="0"/>
    <n v="2"/>
    <n v="210"/>
    <n v="420"/>
    <n v="0.1"/>
    <n v="42"/>
    <n v="378"/>
    <n v="130"/>
    <n v="118"/>
    <n v="0.31216931216931215"/>
    <x v="1"/>
    <x v="1"/>
    <x v="2"/>
    <x v="7"/>
    <s v="CUST1211"/>
    <x v="1"/>
  </r>
  <r>
    <n v="853"/>
    <x v="131"/>
    <x v="0"/>
    <x v="0"/>
    <x v="0"/>
    <n v="11"/>
    <n v="200"/>
    <n v="2200"/>
    <n v="0"/>
    <n v="0"/>
    <n v="2200"/>
    <n v="120"/>
    <n v="880"/>
    <n v="0.4"/>
    <x v="3"/>
    <x v="1"/>
    <x v="0"/>
    <x v="5"/>
    <s v="CUST1295"/>
    <x v="2"/>
  </r>
  <r>
    <n v="854"/>
    <x v="338"/>
    <x v="2"/>
    <x v="2"/>
    <x v="0"/>
    <n v="8"/>
    <n v="190"/>
    <n v="1520"/>
    <n v="0.1"/>
    <n v="152"/>
    <n v="1368"/>
    <n v="110"/>
    <n v="488"/>
    <n v="0.35672514619883039"/>
    <x v="3"/>
    <x v="1"/>
    <x v="3"/>
    <x v="7"/>
    <s v="CUST1177"/>
    <x v="1"/>
  </r>
  <r>
    <n v="855"/>
    <x v="121"/>
    <x v="0"/>
    <x v="2"/>
    <x v="1"/>
    <n v="6"/>
    <n v="2160"/>
    <n v="12960"/>
    <n v="0.1"/>
    <n v="1296"/>
    <n v="11664"/>
    <n v="1510"/>
    <n v="2604"/>
    <n v="0.22325102880658437"/>
    <x v="1"/>
    <x v="1"/>
    <x v="0"/>
    <x v="0"/>
    <s v="CUST1466"/>
    <x v="1"/>
  </r>
  <r>
    <n v="856"/>
    <x v="293"/>
    <x v="1"/>
    <x v="0"/>
    <x v="5"/>
    <n v="1"/>
    <n v="220"/>
    <n v="220"/>
    <n v="0.05"/>
    <n v="11"/>
    <n v="209"/>
    <n v="170"/>
    <n v="39"/>
    <n v="0.18660287081339713"/>
    <x v="1"/>
    <x v="1"/>
    <x v="1"/>
    <x v="0"/>
    <s v="CUST1122"/>
    <x v="1"/>
  </r>
  <r>
    <n v="857"/>
    <x v="331"/>
    <x v="1"/>
    <x v="3"/>
    <x v="5"/>
    <n v="3"/>
    <n v="200"/>
    <n v="600"/>
    <n v="0.05"/>
    <n v="30"/>
    <n v="570"/>
    <n v="140"/>
    <n v="150"/>
    <n v="0.26315789473684209"/>
    <x v="1"/>
    <x v="1"/>
    <x v="2"/>
    <x v="6"/>
    <s v="CUST1378"/>
    <x v="1"/>
  </r>
  <r>
    <n v="858"/>
    <x v="16"/>
    <x v="0"/>
    <x v="0"/>
    <x v="0"/>
    <n v="11"/>
    <n v="200"/>
    <n v="2200"/>
    <n v="0.02"/>
    <n v="44"/>
    <n v="2156"/>
    <n v="160"/>
    <n v="396"/>
    <n v="0.18367346938775511"/>
    <x v="4"/>
    <x v="1"/>
    <x v="0"/>
    <x v="1"/>
    <s v="CUST1335"/>
    <x v="1"/>
  </r>
  <r>
    <n v="859"/>
    <x v="131"/>
    <x v="5"/>
    <x v="3"/>
    <x v="0"/>
    <n v="2"/>
    <n v="200"/>
    <n v="400"/>
    <n v="0.1"/>
    <n v="40"/>
    <n v="360"/>
    <n v="140"/>
    <n v="80"/>
    <n v="0.22222222222222221"/>
    <x v="4"/>
    <x v="1"/>
    <x v="0"/>
    <x v="9"/>
    <s v="CUST1336"/>
    <x v="1"/>
  </r>
  <r>
    <n v="860"/>
    <x v="311"/>
    <x v="2"/>
    <x v="3"/>
    <x v="0"/>
    <n v="11"/>
    <n v="230"/>
    <n v="2530"/>
    <n v="0.15"/>
    <n v="379.5"/>
    <n v="2150.5"/>
    <n v="160"/>
    <n v="390.5"/>
    <n v="0.1815856777493606"/>
    <x v="0"/>
    <x v="1"/>
    <x v="2"/>
    <x v="1"/>
    <s v="CUST1213"/>
    <x v="0"/>
  </r>
  <r>
    <n v="861"/>
    <x v="298"/>
    <x v="1"/>
    <x v="0"/>
    <x v="3"/>
    <n v="9"/>
    <n v="1690"/>
    <n v="15210"/>
    <n v="0.1"/>
    <n v="1521"/>
    <n v="13689"/>
    <n v="1010"/>
    <n v="4599"/>
    <n v="0.33596318211702825"/>
    <x v="0"/>
    <x v="1"/>
    <x v="1"/>
    <x v="7"/>
    <s v="CUST1420"/>
    <x v="3"/>
  </r>
  <r>
    <n v="862"/>
    <x v="278"/>
    <x v="0"/>
    <x v="0"/>
    <x v="5"/>
    <n v="9"/>
    <n v="180"/>
    <n v="1620"/>
    <n v="0.05"/>
    <n v="81"/>
    <n v="1539"/>
    <n v="130"/>
    <n v="369"/>
    <n v="0.23976608187134502"/>
    <x v="3"/>
    <x v="1"/>
    <x v="1"/>
    <x v="9"/>
    <s v="CUST1462"/>
    <x v="3"/>
  </r>
  <r>
    <n v="863"/>
    <x v="181"/>
    <x v="1"/>
    <x v="3"/>
    <x v="4"/>
    <n v="3"/>
    <n v="280"/>
    <n v="840"/>
    <n v="0.02"/>
    <n v="16.8"/>
    <n v="823.2"/>
    <n v="180"/>
    <n v="283.20000000000005"/>
    <n v="0.34402332361516036"/>
    <x v="0"/>
    <x v="2"/>
    <x v="1"/>
    <x v="0"/>
    <s v="CUST1211"/>
    <x v="0"/>
  </r>
  <r>
    <n v="864"/>
    <x v="107"/>
    <x v="1"/>
    <x v="3"/>
    <x v="3"/>
    <n v="6"/>
    <n v="1640"/>
    <n v="9840"/>
    <n v="0"/>
    <n v="0"/>
    <n v="9840"/>
    <n v="1280"/>
    <n v="2160"/>
    <n v="0.21951219512195122"/>
    <x v="1"/>
    <x v="0"/>
    <x v="0"/>
    <x v="2"/>
    <s v="CUST1101"/>
    <x v="1"/>
  </r>
  <r>
    <n v="865"/>
    <x v="126"/>
    <x v="0"/>
    <x v="3"/>
    <x v="2"/>
    <n v="1"/>
    <n v="1140"/>
    <n v="1140"/>
    <n v="0.05"/>
    <n v="57"/>
    <n v="1083"/>
    <n v="680"/>
    <n v="403"/>
    <n v="0.37211449676823638"/>
    <x v="3"/>
    <x v="1"/>
    <x v="3"/>
    <x v="1"/>
    <s v="CUST1154"/>
    <x v="2"/>
  </r>
  <r>
    <n v="866"/>
    <x v="304"/>
    <x v="3"/>
    <x v="1"/>
    <x v="1"/>
    <n v="3"/>
    <n v="2220"/>
    <n v="6660"/>
    <n v="0"/>
    <n v="0"/>
    <n v="6660"/>
    <n v="1330"/>
    <n v="2670"/>
    <n v="0.40090090090090091"/>
    <x v="3"/>
    <x v="1"/>
    <x v="1"/>
    <x v="9"/>
    <s v="CUST1384"/>
    <x v="1"/>
  </r>
  <r>
    <n v="867"/>
    <x v="60"/>
    <x v="5"/>
    <x v="1"/>
    <x v="5"/>
    <n v="3"/>
    <n v="210"/>
    <n v="630"/>
    <n v="0"/>
    <n v="0"/>
    <n v="630"/>
    <n v="170"/>
    <n v="120"/>
    <n v="0.19047619047619047"/>
    <x v="4"/>
    <x v="1"/>
    <x v="0"/>
    <x v="1"/>
    <s v="CUST1083"/>
    <x v="1"/>
  </r>
  <r>
    <n v="868"/>
    <x v="121"/>
    <x v="5"/>
    <x v="0"/>
    <x v="1"/>
    <n v="8"/>
    <n v="2250"/>
    <n v="18000"/>
    <n v="0.05"/>
    <n v="900"/>
    <n v="17100"/>
    <n v="1730"/>
    <n v="3260"/>
    <n v="0.19064327485380117"/>
    <x v="2"/>
    <x v="1"/>
    <x v="3"/>
    <x v="6"/>
    <s v="CUST1085"/>
    <x v="0"/>
  </r>
  <r>
    <n v="869"/>
    <x v="293"/>
    <x v="4"/>
    <x v="3"/>
    <x v="1"/>
    <n v="4"/>
    <n v="1950"/>
    <n v="7800"/>
    <n v="0"/>
    <n v="0"/>
    <n v="7800"/>
    <n v="1210"/>
    <n v="2960"/>
    <n v="0.37948717948717947"/>
    <x v="0"/>
    <x v="0"/>
    <x v="0"/>
    <x v="7"/>
    <s v="CUST1070"/>
    <x v="0"/>
  </r>
  <r>
    <n v="870"/>
    <x v="312"/>
    <x v="5"/>
    <x v="0"/>
    <x v="4"/>
    <n v="5"/>
    <n v="340"/>
    <n v="1700"/>
    <n v="0"/>
    <n v="0"/>
    <n v="1700"/>
    <n v="250"/>
    <n v="450"/>
    <n v="0.26470588235294118"/>
    <x v="2"/>
    <x v="1"/>
    <x v="1"/>
    <x v="9"/>
    <s v="CUST1296"/>
    <x v="2"/>
  </r>
  <r>
    <n v="871"/>
    <x v="11"/>
    <x v="0"/>
    <x v="1"/>
    <x v="5"/>
    <n v="2"/>
    <n v="190"/>
    <n v="380"/>
    <n v="0"/>
    <n v="0"/>
    <n v="380"/>
    <n v="120"/>
    <n v="140"/>
    <n v="0.36842105263157893"/>
    <x v="3"/>
    <x v="1"/>
    <x v="0"/>
    <x v="9"/>
    <s v="CUST1454"/>
    <x v="3"/>
  </r>
  <r>
    <n v="872"/>
    <x v="233"/>
    <x v="0"/>
    <x v="1"/>
    <x v="4"/>
    <n v="8"/>
    <n v="280"/>
    <n v="2240"/>
    <n v="0"/>
    <n v="0"/>
    <n v="2240"/>
    <n v="180"/>
    <n v="800"/>
    <n v="0.35714285714285715"/>
    <x v="4"/>
    <x v="1"/>
    <x v="1"/>
    <x v="5"/>
    <s v="CUST1384"/>
    <x v="3"/>
  </r>
  <r>
    <n v="873"/>
    <x v="50"/>
    <x v="0"/>
    <x v="3"/>
    <x v="1"/>
    <n v="9"/>
    <n v="1990"/>
    <n v="17910"/>
    <n v="0.15"/>
    <n v="2686.5"/>
    <n v="15223.5"/>
    <n v="1300"/>
    <n v="3523.5"/>
    <n v="0.23145137451965711"/>
    <x v="2"/>
    <x v="1"/>
    <x v="0"/>
    <x v="6"/>
    <s v="CUST1141"/>
    <x v="0"/>
  </r>
  <r>
    <n v="874"/>
    <x v="231"/>
    <x v="4"/>
    <x v="3"/>
    <x v="2"/>
    <n v="5"/>
    <n v="1240"/>
    <n v="6200"/>
    <n v="0.02"/>
    <n v="124"/>
    <n v="6076"/>
    <n v="920"/>
    <n v="1476"/>
    <n v="0.24292297564186965"/>
    <x v="4"/>
    <x v="1"/>
    <x v="2"/>
    <x v="0"/>
    <s v="CUST1179"/>
    <x v="1"/>
  </r>
  <r>
    <n v="875"/>
    <x v="61"/>
    <x v="2"/>
    <x v="0"/>
    <x v="1"/>
    <n v="2"/>
    <n v="2130"/>
    <n v="4260"/>
    <n v="0.1"/>
    <n v="426"/>
    <n v="3834"/>
    <n v="1530"/>
    <n v="774"/>
    <n v="0.20187793427230047"/>
    <x v="3"/>
    <x v="1"/>
    <x v="0"/>
    <x v="1"/>
    <s v="CUST1321"/>
    <x v="1"/>
  </r>
  <r>
    <n v="876"/>
    <x v="147"/>
    <x v="5"/>
    <x v="3"/>
    <x v="2"/>
    <n v="4"/>
    <n v="1300"/>
    <n v="5200"/>
    <n v="0.05"/>
    <n v="260"/>
    <n v="4940"/>
    <n v="970"/>
    <n v="1060"/>
    <n v="0.2145748987854251"/>
    <x v="4"/>
    <x v="3"/>
    <x v="3"/>
    <x v="3"/>
    <s v="CUST1470"/>
    <x v="1"/>
  </r>
  <r>
    <n v="877"/>
    <x v="272"/>
    <x v="4"/>
    <x v="3"/>
    <x v="1"/>
    <n v="12"/>
    <n v="2300"/>
    <n v="27600"/>
    <n v="0.1"/>
    <n v="2760"/>
    <n v="24840"/>
    <n v="1850"/>
    <n v="2640"/>
    <n v="0.10628019323671498"/>
    <x v="3"/>
    <x v="1"/>
    <x v="3"/>
    <x v="0"/>
    <s v="CUST1169"/>
    <x v="1"/>
  </r>
  <r>
    <n v="878"/>
    <x v="78"/>
    <x v="0"/>
    <x v="1"/>
    <x v="4"/>
    <n v="1"/>
    <n v="300"/>
    <n v="300"/>
    <n v="0"/>
    <n v="0"/>
    <n v="300"/>
    <n v="220"/>
    <n v="80"/>
    <n v="0.26666666666666666"/>
    <x v="0"/>
    <x v="1"/>
    <x v="0"/>
    <x v="0"/>
    <s v="CUST1204"/>
    <x v="1"/>
  </r>
  <r>
    <n v="879"/>
    <x v="108"/>
    <x v="3"/>
    <x v="2"/>
    <x v="1"/>
    <n v="6"/>
    <n v="2370"/>
    <n v="14220"/>
    <n v="0.02"/>
    <n v="284.40000000000003"/>
    <n v="13935.6"/>
    <n v="1540"/>
    <n v="4695.6000000000004"/>
    <n v="0.33694996986136228"/>
    <x v="2"/>
    <x v="2"/>
    <x v="3"/>
    <x v="4"/>
    <s v="CUST1241"/>
    <x v="3"/>
  </r>
  <r>
    <n v="880"/>
    <x v="13"/>
    <x v="5"/>
    <x v="0"/>
    <x v="2"/>
    <n v="6"/>
    <n v="2260"/>
    <n v="13560"/>
    <n v="0"/>
    <n v="0"/>
    <n v="13560"/>
    <n v="1740"/>
    <n v="3120"/>
    <n v="0.23008849557522124"/>
    <x v="1"/>
    <x v="1"/>
    <x v="3"/>
    <x v="1"/>
    <s v="CUST1374"/>
    <x v="2"/>
  </r>
  <r>
    <n v="881"/>
    <x v="336"/>
    <x v="5"/>
    <x v="2"/>
    <x v="4"/>
    <n v="11"/>
    <n v="280"/>
    <n v="3080"/>
    <n v="0.05"/>
    <n v="154"/>
    <n v="2926"/>
    <n v="190"/>
    <n v="836"/>
    <n v="0.2857142857142857"/>
    <x v="4"/>
    <x v="1"/>
    <x v="3"/>
    <x v="4"/>
    <s v="CUST1409"/>
    <x v="1"/>
  </r>
  <r>
    <n v="882"/>
    <x v="83"/>
    <x v="0"/>
    <x v="0"/>
    <x v="0"/>
    <n v="12"/>
    <n v="190"/>
    <n v="2280"/>
    <n v="0.05"/>
    <n v="114"/>
    <n v="2166"/>
    <n v="140"/>
    <n v="486"/>
    <n v="0.22437673130193905"/>
    <x v="0"/>
    <x v="1"/>
    <x v="2"/>
    <x v="0"/>
    <s v="CUST1093"/>
    <x v="2"/>
  </r>
  <r>
    <n v="883"/>
    <x v="55"/>
    <x v="2"/>
    <x v="0"/>
    <x v="4"/>
    <n v="9"/>
    <n v="290"/>
    <n v="2610"/>
    <n v="0"/>
    <n v="0"/>
    <n v="2610"/>
    <n v="200"/>
    <n v="810"/>
    <n v="0.31034482758620691"/>
    <x v="4"/>
    <x v="1"/>
    <x v="1"/>
    <x v="6"/>
    <s v="CUST1065"/>
    <x v="3"/>
  </r>
  <r>
    <n v="884"/>
    <x v="356"/>
    <x v="0"/>
    <x v="0"/>
    <x v="1"/>
    <n v="6"/>
    <n v="2020"/>
    <n v="12120"/>
    <n v="0"/>
    <n v="0"/>
    <n v="12120"/>
    <n v="1470"/>
    <n v="3300"/>
    <n v="0.2722772277227723"/>
    <x v="3"/>
    <x v="1"/>
    <x v="3"/>
    <x v="1"/>
    <s v="CUST1259"/>
    <x v="1"/>
  </r>
  <r>
    <n v="885"/>
    <x v="84"/>
    <x v="0"/>
    <x v="0"/>
    <x v="5"/>
    <n v="7"/>
    <n v="210"/>
    <n v="1470"/>
    <n v="0"/>
    <n v="0"/>
    <n v="1470"/>
    <n v="160"/>
    <n v="350"/>
    <n v="0.23809523809523808"/>
    <x v="2"/>
    <x v="1"/>
    <x v="1"/>
    <x v="4"/>
    <s v="CUST1482"/>
    <x v="1"/>
  </r>
  <r>
    <n v="886"/>
    <x v="27"/>
    <x v="0"/>
    <x v="0"/>
    <x v="1"/>
    <n v="1"/>
    <n v="1990"/>
    <n v="1990"/>
    <n v="0"/>
    <n v="0"/>
    <n v="1990"/>
    <n v="1150"/>
    <n v="840"/>
    <n v="0.42211055276381909"/>
    <x v="3"/>
    <x v="1"/>
    <x v="3"/>
    <x v="6"/>
    <s v="CUST1124"/>
    <x v="0"/>
  </r>
  <r>
    <n v="887"/>
    <x v="40"/>
    <x v="0"/>
    <x v="1"/>
    <x v="0"/>
    <n v="3"/>
    <n v="180"/>
    <n v="540"/>
    <n v="0.05"/>
    <n v="27"/>
    <n v="513"/>
    <n v="140"/>
    <n v="93"/>
    <n v="0.18128654970760233"/>
    <x v="2"/>
    <x v="2"/>
    <x v="1"/>
    <x v="7"/>
    <s v="CUST1075"/>
    <x v="3"/>
  </r>
  <r>
    <n v="888"/>
    <x v="268"/>
    <x v="5"/>
    <x v="0"/>
    <x v="5"/>
    <n v="3"/>
    <n v="220"/>
    <n v="660"/>
    <n v="0.05"/>
    <n v="33"/>
    <n v="627"/>
    <n v="140"/>
    <n v="207"/>
    <n v="0.33014354066985646"/>
    <x v="4"/>
    <x v="1"/>
    <x v="1"/>
    <x v="2"/>
    <s v="CUST1162"/>
    <x v="2"/>
  </r>
  <r>
    <n v="889"/>
    <x v="67"/>
    <x v="1"/>
    <x v="3"/>
    <x v="0"/>
    <n v="8"/>
    <n v="180"/>
    <n v="1440"/>
    <n v="0"/>
    <n v="0"/>
    <n v="1440"/>
    <n v="130"/>
    <n v="400"/>
    <n v="0.27777777777777779"/>
    <x v="4"/>
    <x v="1"/>
    <x v="2"/>
    <x v="1"/>
    <s v="CUST1274"/>
    <x v="3"/>
  </r>
  <r>
    <n v="890"/>
    <x v="333"/>
    <x v="5"/>
    <x v="3"/>
    <x v="3"/>
    <n v="10"/>
    <n v="1440"/>
    <n v="14400"/>
    <n v="0"/>
    <n v="0"/>
    <n v="14400"/>
    <n v="960"/>
    <n v="4800"/>
    <n v="0.33333333333333331"/>
    <x v="2"/>
    <x v="1"/>
    <x v="0"/>
    <x v="2"/>
    <s v="CUST1158"/>
    <x v="1"/>
  </r>
  <r>
    <n v="891"/>
    <x v="10"/>
    <x v="5"/>
    <x v="2"/>
    <x v="1"/>
    <n v="8"/>
    <n v="2410"/>
    <n v="19280"/>
    <n v="0.05"/>
    <n v="964"/>
    <n v="18316"/>
    <n v="1420"/>
    <n v="6956"/>
    <n v="0.37977724393972484"/>
    <x v="0"/>
    <x v="1"/>
    <x v="0"/>
    <x v="3"/>
    <s v="CUST1212"/>
    <x v="2"/>
  </r>
  <r>
    <n v="892"/>
    <x v="305"/>
    <x v="3"/>
    <x v="3"/>
    <x v="1"/>
    <n v="5"/>
    <n v="2390"/>
    <n v="11950"/>
    <n v="0"/>
    <n v="0"/>
    <n v="11950"/>
    <n v="1500"/>
    <n v="4450"/>
    <n v="0.3723849372384937"/>
    <x v="4"/>
    <x v="1"/>
    <x v="3"/>
    <x v="2"/>
    <s v="CUST1258"/>
    <x v="3"/>
  </r>
  <r>
    <n v="893"/>
    <x v="106"/>
    <x v="5"/>
    <x v="1"/>
    <x v="3"/>
    <n v="5"/>
    <n v="1610"/>
    <n v="8050"/>
    <n v="0.05"/>
    <n v="402.5"/>
    <n v="7647.5"/>
    <n v="990"/>
    <n v="2697.5"/>
    <n v="0.35272965021248776"/>
    <x v="0"/>
    <x v="1"/>
    <x v="1"/>
    <x v="1"/>
    <s v="CUST1099"/>
    <x v="1"/>
  </r>
  <r>
    <n v="894"/>
    <x v="325"/>
    <x v="0"/>
    <x v="0"/>
    <x v="1"/>
    <n v="3"/>
    <n v="1940"/>
    <n v="5820"/>
    <n v="0.15"/>
    <n v="873"/>
    <n v="4947"/>
    <n v="1530"/>
    <n v="357"/>
    <n v="7.2164948453608241E-2"/>
    <x v="4"/>
    <x v="1"/>
    <x v="0"/>
    <x v="8"/>
    <s v="CUST1205"/>
    <x v="1"/>
  </r>
  <r>
    <n v="895"/>
    <x v="47"/>
    <x v="2"/>
    <x v="3"/>
    <x v="2"/>
    <n v="5"/>
    <n v="2120"/>
    <n v="10600"/>
    <n v="0.05"/>
    <n v="530"/>
    <n v="10070"/>
    <n v="1410"/>
    <n v="3020"/>
    <n v="0.29990069513406159"/>
    <x v="2"/>
    <x v="3"/>
    <x v="0"/>
    <x v="1"/>
    <s v="CUST1170"/>
    <x v="3"/>
  </r>
  <r>
    <n v="896"/>
    <x v="56"/>
    <x v="5"/>
    <x v="3"/>
    <x v="3"/>
    <n v="6"/>
    <n v="1460"/>
    <n v="8760"/>
    <n v="0.02"/>
    <n v="175.20000000000002"/>
    <n v="8584.7999999999993"/>
    <n v="1180"/>
    <n v="1504.7999999999993"/>
    <n v="0.17528655297735526"/>
    <x v="4"/>
    <x v="1"/>
    <x v="2"/>
    <x v="5"/>
    <s v="CUST1317"/>
    <x v="3"/>
  </r>
  <r>
    <n v="897"/>
    <x v="231"/>
    <x v="0"/>
    <x v="3"/>
    <x v="1"/>
    <n v="12"/>
    <n v="1990"/>
    <n v="23880"/>
    <n v="0.05"/>
    <n v="1194"/>
    <n v="22686"/>
    <n v="1420"/>
    <n v="5646"/>
    <n v="0.24887595874107379"/>
    <x v="4"/>
    <x v="1"/>
    <x v="0"/>
    <x v="9"/>
    <s v="CUST1165"/>
    <x v="3"/>
  </r>
  <r>
    <n v="898"/>
    <x v="34"/>
    <x v="1"/>
    <x v="0"/>
    <x v="2"/>
    <n v="9"/>
    <n v="1260"/>
    <n v="11340"/>
    <n v="0"/>
    <n v="0"/>
    <n v="11340"/>
    <n v="850"/>
    <n v="3690"/>
    <n v="0.32539682539682541"/>
    <x v="1"/>
    <x v="1"/>
    <x v="2"/>
    <x v="0"/>
    <s v="CUST1257"/>
    <x v="2"/>
  </r>
  <r>
    <n v="899"/>
    <x v="194"/>
    <x v="0"/>
    <x v="0"/>
    <x v="5"/>
    <n v="2"/>
    <n v="190"/>
    <n v="380"/>
    <n v="0"/>
    <n v="0"/>
    <n v="380"/>
    <n v="110"/>
    <n v="160"/>
    <n v="0.42105263157894735"/>
    <x v="1"/>
    <x v="1"/>
    <x v="2"/>
    <x v="4"/>
    <s v="CUST1424"/>
    <x v="1"/>
  </r>
  <r>
    <n v="900"/>
    <x v="1"/>
    <x v="0"/>
    <x v="0"/>
    <x v="1"/>
    <n v="9"/>
    <n v="2260"/>
    <n v="20340"/>
    <n v="0.05"/>
    <n v="1017"/>
    <n v="19323"/>
    <n v="1360"/>
    <n v="7083"/>
    <n v="0.36655798789007921"/>
    <x v="4"/>
    <x v="1"/>
    <x v="1"/>
    <x v="3"/>
    <s v="CUST1151"/>
    <x v="0"/>
  </r>
  <r>
    <n v="901"/>
    <x v="284"/>
    <x v="5"/>
    <x v="2"/>
    <x v="2"/>
    <n v="8"/>
    <n v="1340"/>
    <n v="10720"/>
    <n v="0.15"/>
    <n v="1608"/>
    <n v="9112"/>
    <n v="900"/>
    <n v="1912"/>
    <n v="0.20983318700614575"/>
    <x v="4"/>
    <x v="1"/>
    <x v="1"/>
    <x v="9"/>
    <s v="CUST1366"/>
    <x v="2"/>
  </r>
  <r>
    <n v="902"/>
    <x v="132"/>
    <x v="5"/>
    <x v="3"/>
    <x v="2"/>
    <n v="3"/>
    <n v="2190"/>
    <n v="6570"/>
    <n v="0.15"/>
    <n v="985.5"/>
    <n v="5584.5"/>
    <n v="1780"/>
    <n v="244.5"/>
    <n v="4.3781896320171904E-2"/>
    <x v="4"/>
    <x v="1"/>
    <x v="0"/>
    <x v="9"/>
    <s v="CUST1278"/>
    <x v="2"/>
  </r>
  <r>
    <n v="903"/>
    <x v="64"/>
    <x v="4"/>
    <x v="0"/>
    <x v="3"/>
    <n v="11"/>
    <n v="1610"/>
    <n v="17710"/>
    <n v="0"/>
    <n v="0"/>
    <n v="17710"/>
    <n v="1310"/>
    <n v="3300"/>
    <n v="0.18633540372670807"/>
    <x v="3"/>
    <x v="1"/>
    <x v="0"/>
    <x v="7"/>
    <s v="CUST1393"/>
    <x v="3"/>
  </r>
  <r>
    <n v="904"/>
    <x v="55"/>
    <x v="4"/>
    <x v="0"/>
    <x v="5"/>
    <n v="8"/>
    <n v="200"/>
    <n v="1600"/>
    <n v="0.1"/>
    <n v="160"/>
    <n v="1440"/>
    <n v="120"/>
    <n v="480"/>
    <n v="0.33333333333333331"/>
    <x v="0"/>
    <x v="1"/>
    <x v="3"/>
    <x v="3"/>
    <s v="CUST1064"/>
    <x v="2"/>
  </r>
  <r>
    <n v="905"/>
    <x v="85"/>
    <x v="0"/>
    <x v="3"/>
    <x v="1"/>
    <n v="4"/>
    <n v="2000"/>
    <n v="8000"/>
    <n v="0.05"/>
    <n v="400"/>
    <n v="7600"/>
    <n v="1310"/>
    <n v="2360"/>
    <n v="0.31052631578947371"/>
    <x v="4"/>
    <x v="1"/>
    <x v="0"/>
    <x v="9"/>
    <s v="CUST1486"/>
    <x v="1"/>
  </r>
  <r>
    <n v="906"/>
    <x v="177"/>
    <x v="5"/>
    <x v="0"/>
    <x v="1"/>
    <n v="4"/>
    <n v="1990"/>
    <n v="7960"/>
    <n v="0.05"/>
    <n v="398"/>
    <n v="7562"/>
    <n v="1270"/>
    <n v="2482"/>
    <n v="0.32822004760645335"/>
    <x v="0"/>
    <x v="1"/>
    <x v="3"/>
    <x v="1"/>
    <s v="CUST1159"/>
    <x v="3"/>
  </r>
  <r>
    <n v="907"/>
    <x v="312"/>
    <x v="0"/>
    <x v="1"/>
    <x v="1"/>
    <n v="7"/>
    <n v="2070"/>
    <n v="14490"/>
    <n v="0"/>
    <n v="0"/>
    <n v="14490"/>
    <n v="1590"/>
    <n v="3360"/>
    <n v="0.2318840579710145"/>
    <x v="3"/>
    <x v="1"/>
    <x v="0"/>
    <x v="6"/>
    <s v="CUST1349"/>
    <x v="1"/>
  </r>
  <r>
    <n v="908"/>
    <x v="19"/>
    <x v="1"/>
    <x v="3"/>
    <x v="4"/>
    <n v="4"/>
    <n v="330"/>
    <n v="1320"/>
    <n v="0.1"/>
    <n v="132"/>
    <n v="1188"/>
    <n v="200"/>
    <n v="388"/>
    <n v="0.32659932659932661"/>
    <x v="1"/>
    <x v="1"/>
    <x v="3"/>
    <x v="7"/>
    <s v="CUST1191"/>
    <x v="3"/>
  </r>
  <r>
    <n v="909"/>
    <x v="311"/>
    <x v="2"/>
    <x v="0"/>
    <x v="0"/>
    <n v="3"/>
    <n v="200"/>
    <n v="600"/>
    <n v="0.05"/>
    <n v="30"/>
    <n v="570"/>
    <n v="140"/>
    <n v="150"/>
    <n v="0.26315789473684209"/>
    <x v="3"/>
    <x v="0"/>
    <x v="2"/>
    <x v="7"/>
    <s v="CUST1282"/>
    <x v="0"/>
  </r>
  <r>
    <n v="910"/>
    <x v="28"/>
    <x v="2"/>
    <x v="0"/>
    <x v="1"/>
    <n v="12"/>
    <n v="2220"/>
    <n v="26640"/>
    <n v="0"/>
    <n v="0"/>
    <n v="26640"/>
    <n v="1600"/>
    <n v="7440"/>
    <n v="0.27927927927927926"/>
    <x v="4"/>
    <x v="1"/>
    <x v="0"/>
    <x v="7"/>
    <s v="CUST1067"/>
    <x v="1"/>
  </r>
  <r>
    <n v="911"/>
    <x v="14"/>
    <x v="5"/>
    <x v="2"/>
    <x v="1"/>
    <n v="3"/>
    <n v="2320"/>
    <n v="6960"/>
    <n v="0.1"/>
    <n v="696"/>
    <n v="6264"/>
    <n v="1670"/>
    <n v="1254"/>
    <n v="0.20019157088122605"/>
    <x v="1"/>
    <x v="1"/>
    <x v="0"/>
    <x v="3"/>
    <s v="CUST1353"/>
    <x v="3"/>
  </r>
  <r>
    <n v="912"/>
    <x v="110"/>
    <x v="3"/>
    <x v="3"/>
    <x v="2"/>
    <n v="7"/>
    <n v="1130"/>
    <n v="7910"/>
    <n v="0"/>
    <n v="0"/>
    <n v="7910"/>
    <n v="680"/>
    <n v="3150"/>
    <n v="0.39823008849557523"/>
    <x v="4"/>
    <x v="2"/>
    <x v="3"/>
    <x v="7"/>
    <s v="CUST1262"/>
    <x v="1"/>
  </r>
  <r>
    <n v="913"/>
    <x v="24"/>
    <x v="0"/>
    <x v="0"/>
    <x v="0"/>
    <n v="7"/>
    <n v="190"/>
    <n v="1330"/>
    <n v="0.1"/>
    <n v="133"/>
    <n v="1197"/>
    <n v="120"/>
    <n v="357"/>
    <n v="0.2982456140350877"/>
    <x v="4"/>
    <x v="1"/>
    <x v="1"/>
    <x v="1"/>
    <s v="CUST1070"/>
    <x v="0"/>
  </r>
  <r>
    <n v="914"/>
    <x v="30"/>
    <x v="0"/>
    <x v="2"/>
    <x v="3"/>
    <n v="11"/>
    <n v="1380"/>
    <n v="15180"/>
    <n v="0.02"/>
    <n v="303.60000000000002"/>
    <n v="14876.4"/>
    <n v="940"/>
    <n v="4536.3999999999996"/>
    <n v="0.30493936705116825"/>
    <x v="1"/>
    <x v="1"/>
    <x v="2"/>
    <x v="4"/>
    <s v="CUST1413"/>
    <x v="3"/>
  </r>
  <r>
    <n v="915"/>
    <x v="88"/>
    <x v="0"/>
    <x v="3"/>
    <x v="2"/>
    <n v="10"/>
    <n v="1150"/>
    <n v="11500"/>
    <n v="0.05"/>
    <n v="575"/>
    <n v="10925"/>
    <n v="910"/>
    <n v="1825"/>
    <n v="0.16704805491990846"/>
    <x v="3"/>
    <x v="1"/>
    <x v="0"/>
    <x v="5"/>
    <s v="CUST1083"/>
    <x v="0"/>
  </r>
  <r>
    <n v="916"/>
    <x v="310"/>
    <x v="0"/>
    <x v="0"/>
    <x v="5"/>
    <n v="12"/>
    <n v="220"/>
    <n v="2640"/>
    <n v="0.05"/>
    <n v="132"/>
    <n v="2508"/>
    <n v="160"/>
    <n v="588"/>
    <n v="0.23444976076555024"/>
    <x v="4"/>
    <x v="1"/>
    <x v="1"/>
    <x v="6"/>
    <s v="CUST1171"/>
    <x v="3"/>
  </r>
  <r>
    <n v="917"/>
    <x v="81"/>
    <x v="5"/>
    <x v="3"/>
    <x v="5"/>
    <n v="4"/>
    <n v="180"/>
    <n v="720"/>
    <n v="0.02"/>
    <n v="14.4"/>
    <n v="705.6"/>
    <n v="110"/>
    <n v="265.60000000000002"/>
    <n v="0.37641723356009071"/>
    <x v="4"/>
    <x v="1"/>
    <x v="0"/>
    <x v="0"/>
    <s v="CUST1367"/>
    <x v="1"/>
  </r>
  <r>
    <n v="918"/>
    <x v="290"/>
    <x v="5"/>
    <x v="3"/>
    <x v="2"/>
    <n v="11"/>
    <n v="1170"/>
    <n v="12870"/>
    <n v="0.1"/>
    <n v="1287"/>
    <n v="11583"/>
    <n v="810"/>
    <n v="2673"/>
    <n v="0.23076923076923078"/>
    <x v="2"/>
    <x v="1"/>
    <x v="1"/>
    <x v="3"/>
    <s v="CUST1298"/>
    <x v="2"/>
  </r>
  <r>
    <n v="919"/>
    <x v="309"/>
    <x v="0"/>
    <x v="3"/>
    <x v="4"/>
    <n v="8"/>
    <n v="280"/>
    <n v="2240"/>
    <n v="0"/>
    <n v="0"/>
    <n v="2240"/>
    <n v="190"/>
    <n v="720"/>
    <n v="0.32142857142857145"/>
    <x v="2"/>
    <x v="1"/>
    <x v="0"/>
    <x v="6"/>
    <s v="CUST1081"/>
    <x v="0"/>
  </r>
  <r>
    <n v="920"/>
    <x v="201"/>
    <x v="5"/>
    <x v="1"/>
    <x v="3"/>
    <n v="11"/>
    <n v="1530"/>
    <n v="16830"/>
    <n v="0.15"/>
    <n v="2524.5"/>
    <n v="14305.5"/>
    <n v="1220"/>
    <n v="885.5"/>
    <n v="6.1899269511726258E-2"/>
    <x v="0"/>
    <x v="1"/>
    <x v="3"/>
    <x v="8"/>
    <s v="CUST1379"/>
    <x v="1"/>
  </r>
  <r>
    <n v="921"/>
    <x v="336"/>
    <x v="2"/>
    <x v="0"/>
    <x v="3"/>
    <n v="4"/>
    <n v="1570"/>
    <n v="6280"/>
    <n v="0"/>
    <n v="0"/>
    <n v="6280"/>
    <n v="1130"/>
    <n v="1760"/>
    <n v="0.28025477707006369"/>
    <x v="2"/>
    <x v="1"/>
    <x v="3"/>
    <x v="2"/>
    <s v="CUST1114"/>
    <x v="2"/>
  </r>
  <r>
    <n v="922"/>
    <x v="197"/>
    <x v="5"/>
    <x v="3"/>
    <x v="1"/>
    <n v="6"/>
    <n v="1950"/>
    <n v="11700"/>
    <n v="0"/>
    <n v="0"/>
    <n v="11700"/>
    <n v="1560"/>
    <n v="2340"/>
    <n v="0.2"/>
    <x v="3"/>
    <x v="1"/>
    <x v="3"/>
    <x v="8"/>
    <s v="CUST1258"/>
    <x v="1"/>
  </r>
  <r>
    <n v="923"/>
    <x v="237"/>
    <x v="1"/>
    <x v="0"/>
    <x v="0"/>
    <n v="9"/>
    <n v="230"/>
    <n v="2070"/>
    <n v="0"/>
    <n v="0"/>
    <n v="2070"/>
    <n v="140"/>
    <n v="810"/>
    <n v="0.39130434782608697"/>
    <x v="1"/>
    <x v="0"/>
    <x v="0"/>
    <x v="0"/>
    <s v="CUST1060"/>
    <x v="2"/>
  </r>
  <r>
    <n v="924"/>
    <x v="102"/>
    <x v="3"/>
    <x v="1"/>
    <x v="0"/>
    <n v="10"/>
    <n v="210"/>
    <n v="2100"/>
    <n v="0"/>
    <n v="0"/>
    <n v="2100"/>
    <n v="160"/>
    <n v="500"/>
    <n v="0.23809523809523808"/>
    <x v="1"/>
    <x v="1"/>
    <x v="2"/>
    <x v="4"/>
    <s v="CUST1410"/>
    <x v="1"/>
  </r>
  <r>
    <n v="925"/>
    <x v="346"/>
    <x v="1"/>
    <x v="0"/>
    <x v="0"/>
    <n v="12"/>
    <n v="210"/>
    <n v="2520"/>
    <n v="0.15"/>
    <n v="378"/>
    <n v="2142"/>
    <n v="130"/>
    <n v="582"/>
    <n v="0.27170868347338933"/>
    <x v="4"/>
    <x v="1"/>
    <x v="2"/>
    <x v="4"/>
    <s v="CUST1083"/>
    <x v="2"/>
  </r>
  <r>
    <n v="926"/>
    <x v="243"/>
    <x v="0"/>
    <x v="2"/>
    <x v="0"/>
    <n v="4"/>
    <n v="220"/>
    <n v="880"/>
    <n v="0.15"/>
    <n v="132"/>
    <n v="748"/>
    <n v="160"/>
    <n v="108"/>
    <n v="0.14438502673796791"/>
    <x v="4"/>
    <x v="1"/>
    <x v="2"/>
    <x v="5"/>
    <s v="CUST1401"/>
    <x v="3"/>
  </r>
  <r>
    <n v="927"/>
    <x v="356"/>
    <x v="5"/>
    <x v="1"/>
    <x v="4"/>
    <n v="10"/>
    <n v="340"/>
    <n v="3400"/>
    <n v="0.02"/>
    <n v="68"/>
    <n v="3332"/>
    <n v="230"/>
    <n v="1032"/>
    <n v="0.30972388955582231"/>
    <x v="2"/>
    <x v="1"/>
    <x v="0"/>
    <x v="0"/>
    <s v="CUST1034"/>
    <x v="2"/>
  </r>
  <r>
    <n v="928"/>
    <x v="332"/>
    <x v="1"/>
    <x v="0"/>
    <x v="0"/>
    <n v="5"/>
    <n v="210"/>
    <n v="1050"/>
    <n v="0"/>
    <n v="0"/>
    <n v="1050"/>
    <n v="140"/>
    <n v="350"/>
    <n v="0.33333333333333331"/>
    <x v="3"/>
    <x v="1"/>
    <x v="2"/>
    <x v="0"/>
    <s v="CUST1046"/>
    <x v="3"/>
  </r>
  <r>
    <n v="929"/>
    <x v="155"/>
    <x v="5"/>
    <x v="0"/>
    <x v="3"/>
    <n v="9"/>
    <n v="1390"/>
    <n v="12510"/>
    <n v="0.1"/>
    <n v="1251"/>
    <n v="11259"/>
    <n v="930"/>
    <n v="2889"/>
    <n v="0.25659472422062352"/>
    <x v="1"/>
    <x v="1"/>
    <x v="3"/>
    <x v="0"/>
    <s v="CUST1374"/>
    <x v="0"/>
  </r>
  <r>
    <n v="930"/>
    <x v="167"/>
    <x v="1"/>
    <x v="3"/>
    <x v="5"/>
    <n v="9"/>
    <n v="180"/>
    <n v="1620"/>
    <n v="0"/>
    <n v="0"/>
    <n v="1620"/>
    <n v="120"/>
    <n v="540"/>
    <n v="0.33333333333333331"/>
    <x v="3"/>
    <x v="1"/>
    <x v="3"/>
    <x v="5"/>
    <s v="CUST1016"/>
    <x v="0"/>
  </r>
  <r>
    <n v="931"/>
    <x v="313"/>
    <x v="0"/>
    <x v="2"/>
    <x v="0"/>
    <n v="1"/>
    <n v="240"/>
    <n v="240"/>
    <n v="0.15"/>
    <n v="36"/>
    <n v="204"/>
    <n v="190"/>
    <n v="14"/>
    <n v="6.8627450980392163E-2"/>
    <x v="4"/>
    <x v="1"/>
    <x v="3"/>
    <x v="9"/>
    <s v="CUST1287"/>
    <x v="1"/>
  </r>
  <r>
    <n v="932"/>
    <x v="81"/>
    <x v="1"/>
    <x v="1"/>
    <x v="0"/>
    <n v="10"/>
    <n v="190"/>
    <n v="1900"/>
    <n v="0"/>
    <n v="0"/>
    <n v="1900"/>
    <n v="140"/>
    <n v="500"/>
    <n v="0.26315789473684209"/>
    <x v="1"/>
    <x v="1"/>
    <x v="3"/>
    <x v="1"/>
    <s v="CUST1212"/>
    <x v="2"/>
  </r>
  <r>
    <n v="933"/>
    <x v="179"/>
    <x v="3"/>
    <x v="0"/>
    <x v="2"/>
    <n v="8"/>
    <n v="1180"/>
    <n v="9440"/>
    <n v="0.15"/>
    <n v="1416"/>
    <n v="8024"/>
    <n v="920"/>
    <n v="664"/>
    <n v="8.2751744765702892E-2"/>
    <x v="0"/>
    <x v="1"/>
    <x v="2"/>
    <x v="8"/>
    <s v="CUST1283"/>
    <x v="3"/>
  </r>
  <r>
    <n v="934"/>
    <x v="181"/>
    <x v="5"/>
    <x v="0"/>
    <x v="4"/>
    <n v="10"/>
    <n v="320"/>
    <n v="3200"/>
    <n v="0"/>
    <n v="0"/>
    <n v="3200"/>
    <n v="230"/>
    <n v="900"/>
    <n v="0.28125"/>
    <x v="3"/>
    <x v="1"/>
    <x v="2"/>
    <x v="2"/>
    <s v="CUST1486"/>
    <x v="1"/>
  </r>
  <r>
    <n v="935"/>
    <x v="122"/>
    <x v="3"/>
    <x v="0"/>
    <x v="0"/>
    <n v="2"/>
    <n v="220"/>
    <n v="440"/>
    <n v="0.02"/>
    <n v="8.8000000000000007"/>
    <n v="431.2"/>
    <n v="140"/>
    <n v="151.19999999999999"/>
    <n v="0.35064935064935066"/>
    <x v="0"/>
    <x v="2"/>
    <x v="3"/>
    <x v="0"/>
    <s v="CUST1183"/>
    <x v="3"/>
  </r>
  <r>
    <n v="936"/>
    <x v="302"/>
    <x v="0"/>
    <x v="0"/>
    <x v="2"/>
    <n v="4"/>
    <n v="1250"/>
    <n v="5000"/>
    <n v="0"/>
    <n v="0"/>
    <n v="5000"/>
    <n v="840"/>
    <n v="1640"/>
    <n v="0.32800000000000001"/>
    <x v="0"/>
    <x v="1"/>
    <x v="0"/>
    <x v="7"/>
    <s v="CUST1356"/>
    <x v="0"/>
  </r>
  <r>
    <n v="937"/>
    <x v="127"/>
    <x v="5"/>
    <x v="3"/>
    <x v="0"/>
    <n v="5"/>
    <n v="220"/>
    <n v="1100"/>
    <n v="0"/>
    <n v="0"/>
    <n v="1100"/>
    <n v="140"/>
    <n v="400"/>
    <n v="0.36363636363636365"/>
    <x v="1"/>
    <x v="0"/>
    <x v="0"/>
    <x v="1"/>
    <s v="CUST1319"/>
    <x v="3"/>
  </r>
  <r>
    <n v="938"/>
    <x v="172"/>
    <x v="1"/>
    <x v="2"/>
    <x v="1"/>
    <n v="6"/>
    <n v="1980"/>
    <n v="11880"/>
    <n v="0"/>
    <n v="0"/>
    <n v="11880"/>
    <n v="1600"/>
    <n v="2280"/>
    <n v="0.19191919191919191"/>
    <x v="1"/>
    <x v="1"/>
    <x v="0"/>
    <x v="8"/>
    <s v="CUST1064"/>
    <x v="3"/>
  </r>
  <r>
    <n v="939"/>
    <x v="316"/>
    <x v="5"/>
    <x v="0"/>
    <x v="4"/>
    <n v="8"/>
    <n v="340"/>
    <n v="2720"/>
    <n v="0.05"/>
    <n v="136"/>
    <n v="2584"/>
    <n v="260"/>
    <n v="504"/>
    <n v="0.19504643962848298"/>
    <x v="3"/>
    <x v="1"/>
    <x v="2"/>
    <x v="6"/>
    <s v="CUST1097"/>
    <x v="0"/>
  </r>
  <r>
    <n v="940"/>
    <x v="74"/>
    <x v="0"/>
    <x v="0"/>
    <x v="1"/>
    <n v="10"/>
    <n v="2190"/>
    <n v="21900"/>
    <n v="0.05"/>
    <n v="1095"/>
    <n v="20805"/>
    <n v="1570"/>
    <n v="5105"/>
    <n v="0.24537370824321075"/>
    <x v="4"/>
    <x v="1"/>
    <x v="3"/>
    <x v="0"/>
    <s v="CUST1026"/>
    <x v="3"/>
  </r>
  <r>
    <n v="941"/>
    <x v="170"/>
    <x v="1"/>
    <x v="2"/>
    <x v="0"/>
    <n v="6"/>
    <n v="180"/>
    <n v="1080"/>
    <n v="0.15"/>
    <n v="162"/>
    <n v="918"/>
    <n v="110"/>
    <n v="258"/>
    <n v="0.28104575163398693"/>
    <x v="2"/>
    <x v="1"/>
    <x v="3"/>
    <x v="2"/>
    <s v="CUST1208"/>
    <x v="1"/>
  </r>
  <r>
    <n v="942"/>
    <x v="47"/>
    <x v="5"/>
    <x v="1"/>
    <x v="2"/>
    <n v="7"/>
    <n v="1230"/>
    <n v="8610"/>
    <n v="0"/>
    <n v="0"/>
    <n v="8610"/>
    <n v="810"/>
    <n v="2940"/>
    <n v="0.34146341463414637"/>
    <x v="4"/>
    <x v="1"/>
    <x v="3"/>
    <x v="6"/>
    <s v="CUST1201"/>
    <x v="1"/>
  </r>
  <r>
    <n v="943"/>
    <x v="328"/>
    <x v="0"/>
    <x v="0"/>
    <x v="1"/>
    <n v="7"/>
    <n v="2060"/>
    <n v="14420"/>
    <n v="0.05"/>
    <n v="721"/>
    <n v="13699"/>
    <n v="1410"/>
    <n v="3829"/>
    <n v="0.2795094532447624"/>
    <x v="0"/>
    <x v="1"/>
    <x v="2"/>
    <x v="4"/>
    <s v="CUST1025"/>
    <x v="0"/>
  </r>
  <r>
    <n v="944"/>
    <x v="196"/>
    <x v="1"/>
    <x v="1"/>
    <x v="0"/>
    <n v="5"/>
    <n v="190"/>
    <n v="950"/>
    <n v="0.05"/>
    <n v="47.5"/>
    <n v="902.5"/>
    <n v="140"/>
    <n v="202.5"/>
    <n v="0.22437673130193905"/>
    <x v="4"/>
    <x v="0"/>
    <x v="2"/>
    <x v="6"/>
    <s v="CUST1137"/>
    <x v="1"/>
  </r>
  <r>
    <n v="945"/>
    <x v="165"/>
    <x v="1"/>
    <x v="3"/>
    <x v="1"/>
    <n v="1"/>
    <n v="2380"/>
    <n v="2380"/>
    <n v="0"/>
    <n v="0"/>
    <n v="2380"/>
    <n v="1670"/>
    <n v="710"/>
    <n v="0.29831932773109243"/>
    <x v="4"/>
    <x v="1"/>
    <x v="1"/>
    <x v="9"/>
    <s v="CUST1073"/>
    <x v="2"/>
  </r>
  <r>
    <n v="946"/>
    <x v="74"/>
    <x v="0"/>
    <x v="1"/>
    <x v="1"/>
    <n v="5"/>
    <n v="2160"/>
    <n v="10800"/>
    <n v="0"/>
    <n v="0"/>
    <n v="10800"/>
    <n v="1520"/>
    <n v="3200"/>
    <n v="0.29629629629629628"/>
    <x v="2"/>
    <x v="1"/>
    <x v="1"/>
    <x v="6"/>
    <s v="CUST1155"/>
    <x v="1"/>
  </r>
  <r>
    <n v="947"/>
    <x v="152"/>
    <x v="5"/>
    <x v="1"/>
    <x v="0"/>
    <n v="10"/>
    <n v="220"/>
    <n v="2200"/>
    <n v="0"/>
    <n v="0"/>
    <n v="2200"/>
    <n v="170"/>
    <n v="500"/>
    <n v="0.22727272727272727"/>
    <x v="3"/>
    <x v="1"/>
    <x v="0"/>
    <x v="7"/>
    <s v="CUST1229"/>
    <x v="1"/>
  </r>
  <r>
    <n v="948"/>
    <x v="110"/>
    <x v="2"/>
    <x v="1"/>
    <x v="0"/>
    <n v="7"/>
    <n v="200"/>
    <n v="1400"/>
    <n v="0"/>
    <n v="0"/>
    <n v="1400"/>
    <n v="130"/>
    <n v="490"/>
    <n v="0.35"/>
    <x v="2"/>
    <x v="1"/>
    <x v="1"/>
    <x v="8"/>
    <s v="CUST1123"/>
    <x v="2"/>
  </r>
  <r>
    <n v="949"/>
    <x v="60"/>
    <x v="1"/>
    <x v="0"/>
    <x v="1"/>
    <n v="12"/>
    <n v="2330"/>
    <n v="27960"/>
    <n v="0"/>
    <n v="0"/>
    <n v="27960"/>
    <n v="1380"/>
    <n v="11400"/>
    <n v="0.40772532188841204"/>
    <x v="3"/>
    <x v="1"/>
    <x v="1"/>
    <x v="0"/>
    <s v="CUST1326"/>
    <x v="2"/>
  </r>
  <r>
    <n v="950"/>
    <x v="165"/>
    <x v="0"/>
    <x v="1"/>
    <x v="3"/>
    <n v="6"/>
    <n v="1620"/>
    <n v="9720"/>
    <n v="0.05"/>
    <n v="486"/>
    <n v="9234"/>
    <n v="1040"/>
    <n v="2994"/>
    <n v="0.32423651721897334"/>
    <x v="1"/>
    <x v="1"/>
    <x v="0"/>
    <x v="8"/>
    <s v="CUST1289"/>
    <x v="2"/>
  </r>
  <r>
    <n v="951"/>
    <x v="138"/>
    <x v="5"/>
    <x v="0"/>
    <x v="4"/>
    <n v="1"/>
    <n v="310"/>
    <n v="310"/>
    <n v="0.05"/>
    <n v="15.5"/>
    <n v="294.5"/>
    <n v="230"/>
    <n v="64.5"/>
    <n v="0.21901528013582344"/>
    <x v="0"/>
    <x v="1"/>
    <x v="2"/>
    <x v="8"/>
    <s v="CUST1258"/>
    <x v="3"/>
  </r>
  <r>
    <n v="952"/>
    <x v="240"/>
    <x v="5"/>
    <x v="0"/>
    <x v="0"/>
    <n v="10"/>
    <n v="190"/>
    <n v="1900"/>
    <n v="0.05"/>
    <n v="95"/>
    <n v="1805"/>
    <n v="150"/>
    <n v="305"/>
    <n v="0.16897506925207756"/>
    <x v="0"/>
    <x v="1"/>
    <x v="3"/>
    <x v="8"/>
    <s v="CUST1283"/>
    <x v="3"/>
  </r>
  <r>
    <n v="953"/>
    <x v="94"/>
    <x v="0"/>
    <x v="3"/>
    <x v="4"/>
    <n v="6"/>
    <n v="280"/>
    <n v="1680"/>
    <n v="0"/>
    <n v="0"/>
    <n v="1680"/>
    <n v="180"/>
    <n v="600"/>
    <n v="0.35714285714285715"/>
    <x v="2"/>
    <x v="1"/>
    <x v="2"/>
    <x v="7"/>
    <s v="CUST1111"/>
    <x v="0"/>
  </r>
  <r>
    <n v="954"/>
    <x v="200"/>
    <x v="5"/>
    <x v="1"/>
    <x v="5"/>
    <n v="11"/>
    <n v="210"/>
    <n v="2310"/>
    <n v="0"/>
    <n v="0"/>
    <n v="2310"/>
    <n v="130"/>
    <n v="880"/>
    <n v="0.38095238095238093"/>
    <x v="1"/>
    <x v="1"/>
    <x v="0"/>
    <x v="3"/>
    <s v="CUST1208"/>
    <x v="2"/>
  </r>
  <r>
    <n v="955"/>
    <x v="66"/>
    <x v="1"/>
    <x v="0"/>
    <x v="5"/>
    <n v="12"/>
    <n v="190"/>
    <n v="2280"/>
    <n v="0.1"/>
    <n v="228"/>
    <n v="2052"/>
    <n v="130"/>
    <n v="492"/>
    <n v="0.23976608187134502"/>
    <x v="3"/>
    <x v="1"/>
    <x v="1"/>
    <x v="8"/>
    <s v="CUST1067"/>
    <x v="1"/>
  </r>
  <r>
    <n v="956"/>
    <x v="347"/>
    <x v="4"/>
    <x v="1"/>
    <x v="4"/>
    <n v="6"/>
    <n v="320"/>
    <n v="1920"/>
    <n v="0.15"/>
    <n v="288"/>
    <n v="1632"/>
    <n v="190"/>
    <n v="492"/>
    <n v="0.3014705882352941"/>
    <x v="3"/>
    <x v="1"/>
    <x v="3"/>
    <x v="1"/>
    <s v="CUST1312"/>
    <x v="2"/>
  </r>
  <r>
    <n v="957"/>
    <x v="130"/>
    <x v="2"/>
    <x v="0"/>
    <x v="1"/>
    <n v="6"/>
    <n v="2020"/>
    <n v="12120"/>
    <n v="0"/>
    <n v="0"/>
    <n v="12120"/>
    <n v="1430"/>
    <n v="3540"/>
    <n v="0.29207920792079206"/>
    <x v="2"/>
    <x v="1"/>
    <x v="0"/>
    <x v="7"/>
    <s v="CUST1462"/>
    <x v="0"/>
  </r>
  <r>
    <n v="958"/>
    <x v="73"/>
    <x v="5"/>
    <x v="0"/>
    <x v="0"/>
    <n v="10"/>
    <n v="230"/>
    <n v="2300"/>
    <n v="0"/>
    <n v="0"/>
    <n v="2300"/>
    <n v="190"/>
    <n v="400"/>
    <n v="0.17391304347826086"/>
    <x v="3"/>
    <x v="1"/>
    <x v="1"/>
    <x v="9"/>
    <s v="CUST1251"/>
    <x v="3"/>
  </r>
  <r>
    <n v="959"/>
    <x v="4"/>
    <x v="1"/>
    <x v="1"/>
    <x v="3"/>
    <n v="10"/>
    <n v="1490"/>
    <n v="14900"/>
    <n v="0"/>
    <n v="0"/>
    <n v="14900"/>
    <n v="1040"/>
    <n v="4500"/>
    <n v="0.30201342281879195"/>
    <x v="3"/>
    <x v="1"/>
    <x v="3"/>
    <x v="1"/>
    <s v="CUST1186"/>
    <x v="3"/>
  </r>
  <r>
    <n v="960"/>
    <x v="153"/>
    <x v="1"/>
    <x v="0"/>
    <x v="2"/>
    <n v="4"/>
    <n v="1340"/>
    <n v="5360"/>
    <n v="0.15"/>
    <n v="804"/>
    <n v="4556"/>
    <n v="990"/>
    <n v="596"/>
    <n v="0.13081650570676032"/>
    <x v="1"/>
    <x v="3"/>
    <x v="1"/>
    <x v="8"/>
    <s v="CUST1402"/>
    <x v="3"/>
  </r>
  <r>
    <n v="961"/>
    <x v="278"/>
    <x v="4"/>
    <x v="1"/>
    <x v="0"/>
    <n v="7"/>
    <n v="240"/>
    <n v="1680"/>
    <n v="0"/>
    <n v="0"/>
    <n v="1680"/>
    <n v="170"/>
    <n v="490"/>
    <n v="0.29166666666666669"/>
    <x v="1"/>
    <x v="1"/>
    <x v="1"/>
    <x v="0"/>
    <s v="CUST1398"/>
    <x v="0"/>
  </r>
  <r>
    <n v="962"/>
    <x v="356"/>
    <x v="0"/>
    <x v="1"/>
    <x v="3"/>
    <n v="2"/>
    <n v="1580"/>
    <n v="3160"/>
    <n v="0"/>
    <n v="0"/>
    <n v="3160"/>
    <n v="1060"/>
    <n v="1040"/>
    <n v="0.32911392405063289"/>
    <x v="4"/>
    <x v="1"/>
    <x v="0"/>
    <x v="2"/>
    <s v="CUST1034"/>
    <x v="0"/>
  </r>
  <r>
    <n v="963"/>
    <x v="19"/>
    <x v="1"/>
    <x v="0"/>
    <x v="4"/>
    <n v="1"/>
    <n v="290"/>
    <n v="290"/>
    <n v="0.05"/>
    <n v="14.5"/>
    <n v="275.5"/>
    <n v="200"/>
    <n v="75.5"/>
    <n v="0.27404718693284935"/>
    <x v="1"/>
    <x v="1"/>
    <x v="0"/>
    <x v="3"/>
    <s v="CUST1075"/>
    <x v="1"/>
  </r>
  <r>
    <n v="964"/>
    <x v="78"/>
    <x v="1"/>
    <x v="0"/>
    <x v="5"/>
    <n v="8"/>
    <n v="210"/>
    <n v="1680"/>
    <n v="0.1"/>
    <n v="168"/>
    <n v="1512"/>
    <n v="160"/>
    <n v="232"/>
    <n v="0.15343915343915343"/>
    <x v="2"/>
    <x v="1"/>
    <x v="1"/>
    <x v="7"/>
    <s v="CUST1072"/>
    <x v="3"/>
  </r>
  <r>
    <n v="965"/>
    <x v="260"/>
    <x v="1"/>
    <x v="0"/>
    <x v="1"/>
    <n v="5"/>
    <n v="2110"/>
    <n v="10550"/>
    <n v="0.05"/>
    <n v="527.5"/>
    <n v="10022.5"/>
    <n v="1730"/>
    <n v="1372.5"/>
    <n v="0.13694188076827138"/>
    <x v="0"/>
    <x v="1"/>
    <x v="0"/>
    <x v="4"/>
    <s v="CUST1475"/>
    <x v="1"/>
  </r>
  <r>
    <n v="966"/>
    <x v="146"/>
    <x v="2"/>
    <x v="1"/>
    <x v="2"/>
    <n v="6"/>
    <n v="1240"/>
    <n v="7440"/>
    <n v="0.1"/>
    <n v="744"/>
    <n v="6696"/>
    <n v="840"/>
    <n v="1656"/>
    <n v="0.24731182795698925"/>
    <x v="4"/>
    <x v="1"/>
    <x v="0"/>
    <x v="7"/>
    <s v="CUST1476"/>
    <x v="1"/>
  </r>
  <r>
    <n v="967"/>
    <x v="30"/>
    <x v="3"/>
    <x v="0"/>
    <x v="5"/>
    <n v="5"/>
    <n v="190"/>
    <n v="950"/>
    <n v="0.02"/>
    <n v="19"/>
    <n v="931"/>
    <n v="140"/>
    <n v="231"/>
    <n v="0.24812030075187969"/>
    <x v="0"/>
    <x v="1"/>
    <x v="3"/>
    <x v="2"/>
    <s v="CUST1063"/>
    <x v="1"/>
  </r>
  <r>
    <n v="968"/>
    <x v="304"/>
    <x v="0"/>
    <x v="3"/>
    <x v="0"/>
    <n v="7"/>
    <n v="210"/>
    <n v="1470"/>
    <n v="0"/>
    <n v="0"/>
    <n v="1470"/>
    <n v="140"/>
    <n v="490"/>
    <n v="0.33333333333333331"/>
    <x v="1"/>
    <x v="1"/>
    <x v="0"/>
    <x v="8"/>
    <s v="CUST1203"/>
    <x v="3"/>
  </r>
  <r>
    <n v="969"/>
    <x v="187"/>
    <x v="5"/>
    <x v="3"/>
    <x v="0"/>
    <n v="1"/>
    <n v="240"/>
    <n v="240"/>
    <n v="0.1"/>
    <n v="24"/>
    <n v="216"/>
    <n v="170"/>
    <n v="46"/>
    <n v="0.21296296296296297"/>
    <x v="4"/>
    <x v="1"/>
    <x v="0"/>
    <x v="2"/>
    <s v="CUST1025"/>
    <x v="3"/>
  </r>
  <r>
    <n v="970"/>
    <x v="165"/>
    <x v="2"/>
    <x v="1"/>
    <x v="5"/>
    <n v="12"/>
    <n v="180"/>
    <n v="2160"/>
    <n v="0.05"/>
    <n v="108"/>
    <n v="2052"/>
    <n v="110"/>
    <n v="732"/>
    <n v="0.35672514619883039"/>
    <x v="0"/>
    <x v="1"/>
    <x v="3"/>
    <x v="2"/>
    <s v="CUST1207"/>
    <x v="3"/>
  </r>
  <r>
    <n v="971"/>
    <x v="200"/>
    <x v="3"/>
    <x v="3"/>
    <x v="3"/>
    <n v="9"/>
    <n v="1490"/>
    <n v="13410"/>
    <n v="0"/>
    <n v="0"/>
    <n v="13410"/>
    <n v="1010"/>
    <n v="4320"/>
    <n v="0.32214765100671139"/>
    <x v="4"/>
    <x v="1"/>
    <x v="2"/>
    <x v="6"/>
    <s v="CUST1044"/>
    <x v="1"/>
  </r>
  <r>
    <n v="972"/>
    <x v="216"/>
    <x v="0"/>
    <x v="0"/>
    <x v="4"/>
    <n v="2"/>
    <n v="340"/>
    <n v="680"/>
    <n v="0.05"/>
    <n v="34"/>
    <n v="646"/>
    <n v="260"/>
    <n v="126"/>
    <n v="0.19504643962848298"/>
    <x v="0"/>
    <x v="3"/>
    <x v="1"/>
    <x v="8"/>
    <s v="CUST1160"/>
    <x v="1"/>
  </r>
  <r>
    <n v="973"/>
    <x v="63"/>
    <x v="5"/>
    <x v="2"/>
    <x v="3"/>
    <n v="3"/>
    <n v="1610"/>
    <n v="4830"/>
    <n v="0.15"/>
    <n v="724.5"/>
    <n v="4105.5"/>
    <n v="1160"/>
    <n v="625.5"/>
    <n v="0.15235659481183778"/>
    <x v="2"/>
    <x v="0"/>
    <x v="1"/>
    <x v="8"/>
    <s v="CUST1242"/>
    <x v="3"/>
  </r>
  <r>
    <n v="974"/>
    <x v="10"/>
    <x v="1"/>
    <x v="0"/>
    <x v="4"/>
    <n v="5"/>
    <n v="310"/>
    <n v="1550"/>
    <n v="0.05"/>
    <n v="77.5"/>
    <n v="1472.5"/>
    <n v="250"/>
    <n v="222.5"/>
    <n v="0.15110356536502548"/>
    <x v="1"/>
    <x v="1"/>
    <x v="2"/>
    <x v="6"/>
    <s v="CUST1105"/>
    <x v="3"/>
  </r>
  <r>
    <n v="975"/>
    <x v="64"/>
    <x v="0"/>
    <x v="0"/>
    <x v="1"/>
    <n v="12"/>
    <n v="2080"/>
    <n v="24960"/>
    <n v="0.05"/>
    <n v="1248"/>
    <n v="23712"/>
    <n v="1500"/>
    <n v="5712"/>
    <n v="0.24089068825910931"/>
    <x v="2"/>
    <x v="1"/>
    <x v="3"/>
    <x v="7"/>
    <s v="CUST1247"/>
    <x v="2"/>
  </r>
  <r>
    <n v="976"/>
    <x v="30"/>
    <x v="5"/>
    <x v="1"/>
    <x v="0"/>
    <n v="7"/>
    <n v="220"/>
    <n v="1540"/>
    <n v="0.05"/>
    <n v="77"/>
    <n v="1463"/>
    <n v="180"/>
    <n v="203"/>
    <n v="0.13875598086124402"/>
    <x v="0"/>
    <x v="1"/>
    <x v="3"/>
    <x v="1"/>
    <s v="CUST1442"/>
    <x v="1"/>
  </r>
  <r>
    <n v="977"/>
    <x v="238"/>
    <x v="3"/>
    <x v="1"/>
    <x v="1"/>
    <n v="4"/>
    <n v="2270"/>
    <n v="9080"/>
    <n v="0"/>
    <n v="0"/>
    <n v="9080"/>
    <n v="1510"/>
    <n v="3040"/>
    <n v="0.33480176211453744"/>
    <x v="2"/>
    <x v="1"/>
    <x v="2"/>
    <x v="5"/>
    <s v="CUST1415"/>
    <x v="1"/>
  </r>
  <r>
    <n v="978"/>
    <x v="63"/>
    <x v="0"/>
    <x v="1"/>
    <x v="1"/>
    <n v="2"/>
    <n v="2020"/>
    <n v="4040"/>
    <n v="0.05"/>
    <n v="202"/>
    <n v="3838"/>
    <n v="1530"/>
    <n v="778"/>
    <n v="0.20270974465867639"/>
    <x v="1"/>
    <x v="3"/>
    <x v="0"/>
    <x v="1"/>
    <s v="CUST1052"/>
    <x v="2"/>
  </r>
  <r>
    <n v="979"/>
    <x v="181"/>
    <x v="1"/>
    <x v="0"/>
    <x v="4"/>
    <n v="9"/>
    <n v="270"/>
    <n v="2430"/>
    <n v="0.1"/>
    <n v="243"/>
    <n v="2187"/>
    <n v="190"/>
    <n v="477"/>
    <n v="0.21810699588477367"/>
    <x v="4"/>
    <x v="1"/>
    <x v="2"/>
    <x v="8"/>
    <s v="CUST1321"/>
    <x v="1"/>
  </r>
  <r>
    <n v="980"/>
    <x v="90"/>
    <x v="4"/>
    <x v="0"/>
    <x v="5"/>
    <n v="1"/>
    <n v="190"/>
    <n v="190"/>
    <n v="0.02"/>
    <n v="3.8000000000000003"/>
    <n v="186.2"/>
    <n v="130"/>
    <n v="56.199999999999989"/>
    <n v="0.30182599355531681"/>
    <x v="2"/>
    <x v="1"/>
    <x v="2"/>
    <x v="3"/>
    <s v="CUST1092"/>
    <x v="3"/>
  </r>
  <r>
    <n v="981"/>
    <x v="56"/>
    <x v="4"/>
    <x v="0"/>
    <x v="4"/>
    <n v="6"/>
    <n v="320"/>
    <n v="1920"/>
    <n v="0"/>
    <n v="0"/>
    <n v="1920"/>
    <n v="190"/>
    <n v="780"/>
    <n v="0.40625"/>
    <x v="2"/>
    <x v="1"/>
    <x v="1"/>
    <x v="0"/>
    <s v="CUST1459"/>
    <x v="2"/>
  </r>
  <r>
    <n v="982"/>
    <x v="48"/>
    <x v="0"/>
    <x v="2"/>
    <x v="2"/>
    <n v="3"/>
    <n v="1100"/>
    <n v="3300"/>
    <n v="0"/>
    <n v="0"/>
    <n v="3300"/>
    <n v="670"/>
    <n v="1290"/>
    <n v="0.39090909090909093"/>
    <x v="2"/>
    <x v="1"/>
    <x v="2"/>
    <x v="3"/>
    <s v="CUST1315"/>
    <x v="2"/>
  </r>
  <r>
    <n v="983"/>
    <x v="83"/>
    <x v="5"/>
    <x v="0"/>
    <x v="0"/>
    <n v="4"/>
    <n v="220"/>
    <n v="880"/>
    <n v="0.05"/>
    <n v="44"/>
    <n v="836"/>
    <n v="170"/>
    <n v="156"/>
    <n v="0.18660287081339713"/>
    <x v="4"/>
    <x v="1"/>
    <x v="0"/>
    <x v="1"/>
    <s v="CUST1025"/>
    <x v="1"/>
  </r>
  <r>
    <n v="984"/>
    <x v="362"/>
    <x v="0"/>
    <x v="1"/>
    <x v="3"/>
    <n v="3"/>
    <n v="1360"/>
    <n v="4080"/>
    <n v="0.05"/>
    <n v="204"/>
    <n v="3876"/>
    <n v="900"/>
    <n v="1176"/>
    <n v="0.30340557275541796"/>
    <x v="4"/>
    <x v="1"/>
    <x v="0"/>
    <x v="5"/>
    <s v="CUST1101"/>
    <x v="1"/>
  </r>
  <r>
    <n v="985"/>
    <x v="272"/>
    <x v="1"/>
    <x v="0"/>
    <x v="1"/>
    <n v="5"/>
    <n v="1890"/>
    <n v="9450"/>
    <n v="0.15"/>
    <n v="1417.5"/>
    <n v="8032.5"/>
    <n v="1320"/>
    <n v="1432.5"/>
    <n v="0.17833800186741364"/>
    <x v="1"/>
    <x v="1"/>
    <x v="1"/>
    <x v="6"/>
    <s v="CUST1131"/>
    <x v="2"/>
  </r>
  <r>
    <n v="986"/>
    <x v="105"/>
    <x v="0"/>
    <x v="3"/>
    <x v="4"/>
    <n v="6"/>
    <n v="310"/>
    <n v="1860"/>
    <n v="0"/>
    <n v="0"/>
    <n v="1860"/>
    <n v="180"/>
    <n v="780"/>
    <n v="0.41935483870967744"/>
    <x v="0"/>
    <x v="1"/>
    <x v="0"/>
    <x v="6"/>
    <s v="CUST1330"/>
    <x v="0"/>
  </r>
  <r>
    <n v="987"/>
    <x v="191"/>
    <x v="4"/>
    <x v="0"/>
    <x v="0"/>
    <n v="2"/>
    <n v="200"/>
    <n v="400"/>
    <n v="0.15"/>
    <n v="60"/>
    <n v="340"/>
    <n v="150"/>
    <n v="40"/>
    <n v="0.11764705882352941"/>
    <x v="0"/>
    <x v="1"/>
    <x v="1"/>
    <x v="9"/>
    <s v="CUST1296"/>
    <x v="0"/>
  </r>
  <r>
    <n v="988"/>
    <x v="116"/>
    <x v="4"/>
    <x v="0"/>
    <x v="3"/>
    <n v="6"/>
    <n v="1560"/>
    <n v="9360"/>
    <n v="0.05"/>
    <n v="468"/>
    <n v="8892"/>
    <n v="1130"/>
    <n v="2112"/>
    <n v="0.23751686909581646"/>
    <x v="3"/>
    <x v="1"/>
    <x v="0"/>
    <x v="3"/>
    <s v="CUST1455"/>
    <x v="0"/>
  </r>
  <r>
    <n v="989"/>
    <x v="353"/>
    <x v="5"/>
    <x v="0"/>
    <x v="0"/>
    <n v="6"/>
    <n v="220"/>
    <n v="1320"/>
    <n v="0.05"/>
    <n v="66"/>
    <n v="1254"/>
    <n v="130"/>
    <n v="474"/>
    <n v="0.37799043062200954"/>
    <x v="0"/>
    <x v="1"/>
    <x v="3"/>
    <x v="3"/>
    <s v="CUST1004"/>
    <x v="2"/>
  </r>
  <r>
    <n v="990"/>
    <x v="290"/>
    <x v="1"/>
    <x v="0"/>
    <x v="1"/>
    <n v="1"/>
    <n v="2170"/>
    <n v="2170"/>
    <n v="0.1"/>
    <n v="217"/>
    <n v="1953"/>
    <n v="1320"/>
    <n v="633"/>
    <n v="0.3241167434715822"/>
    <x v="3"/>
    <x v="1"/>
    <x v="1"/>
    <x v="7"/>
    <s v="CUST1320"/>
    <x v="2"/>
  </r>
  <r>
    <n v="991"/>
    <x v="60"/>
    <x v="5"/>
    <x v="3"/>
    <x v="0"/>
    <n v="6"/>
    <n v="220"/>
    <n v="1320"/>
    <n v="0"/>
    <n v="0"/>
    <n v="1320"/>
    <n v="130"/>
    <n v="540"/>
    <n v="0.40909090909090912"/>
    <x v="0"/>
    <x v="1"/>
    <x v="1"/>
    <x v="4"/>
    <s v="CUST1364"/>
    <x v="1"/>
  </r>
  <r>
    <n v="992"/>
    <x v="330"/>
    <x v="4"/>
    <x v="2"/>
    <x v="3"/>
    <n v="6"/>
    <n v="1440"/>
    <n v="8640"/>
    <n v="0"/>
    <n v="0"/>
    <n v="8640"/>
    <n v="890"/>
    <n v="3300"/>
    <n v="0.38194444444444442"/>
    <x v="3"/>
    <x v="1"/>
    <x v="1"/>
    <x v="3"/>
    <s v="CUST1290"/>
    <x v="2"/>
  </r>
  <r>
    <n v="993"/>
    <x v="314"/>
    <x v="2"/>
    <x v="3"/>
    <x v="5"/>
    <n v="7"/>
    <n v="190"/>
    <n v="1330"/>
    <n v="0.15"/>
    <n v="199.5"/>
    <n v="1130.5"/>
    <n v="150"/>
    <n v="80.5"/>
    <n v="7.1207430340557279E-2"/>
    <x v="2"/>
    <x v="1"/>
    <x v="0"/>
    <x v="8"/>
    <s v="CUST1030"/>
    <x v="0"/>
  </r>
  <r>
    <n v="994"/>
    <x v="336"/>
    <x v="2"/>
    <x v="3"/>
    <x v="1"/>
    <n v="3"/>
    <n v="2070"/>
    <n v="6210"/>
    <n v="0.05"/>
    <n v="310.5"/>
    <n v="5899.5"/>
    <n v="1400"/>
    <n v="1699.5"/>
    <n v="0.28807526061530636"/>
    <x v="2"/>
    <x v="1"/>
    <x v="1"/>
    <x v="2"/>
    <s v="CUST1236"/>
    <x v="0"/>
  </r>
  <r>
    <n v="995"/>
    <x v="338"/>
    <x v="3"/>
    <x v="3"/>
    <x v="1"/>
    <n v="10"/>
    <n v="2410"/>
    <n v="24100"/>
    <n v="0.05"/>
    <n v="1205"/>
    <n v="22895"/>
    <n v="1770"/>
    <n v="5195"/>
    <n v="0.22690543786853024"/>
    <x v="2"/>
    <x v="1"/>
    <x v="1"/>
    <x v="9"/>
    <s v="CUST1120"/>
    <x v="3"/>
  </r>
  <r>
    <n v="996"/>
    <x v="16"/>
    <x v="1"/>
    <x v="1"/>
    <x v="0"/>
    <n v="2"/>
    <n v="200"/>
    <n v="400"/>
    <n v="0.05"/>
    <n v="20"/>
    <n v="380"/>
    <n v="150"/>
    <n v="80"/>
    <n v="0.21052631578947367"/>
    <x v="4"/>
    <x v="1"/>
    <x v="2"/>
    <x v="5"/>
    <s v="CUST1237"/>
    <x v="1"/>
  </r>
  <r>
    <n v="997"/>
    <x v="97"/>
    <x v="5"/>
    <x v="0"/>
    <x v="0"/>
    <n v="2"/>
    <n v="220"/>
    <n v="440"/>
    <n v="0.02"/>
    <n v="8.8000000000000007"/>
    <n v="431.2"/>
    <n v="180"/>
    <n v="71.199999999999989"/>
    <n v="0.16512059369202226"/>
    <x v="4"/>
    <x v="1"/>
    <x v="3"/>
    <x v="6"/>
    <s v="CUST1025"/>
    <x v="0"/>
  </r>
  <r>
    <n v="998"/>
    <x v="83"/>
    <x v="3"/>
    <x v="1"/>
    <x v="4"/>
    <n v="3"/>
    <n v="310"/>
    <n v="930"/>
    <n v="0"/>
    <n v="0"/>
    <n v="930"/>
    <n v="210"/>
    <n v="300"/>
    <n v="0.32258064516129031"/>
    <x v="4"/>
    <x v="1"/>
    <x v="2"/>
    <x v="6"/>
    <s v="CUST1032"/>
    <x v="3"/>
  </r>
  <r>
    <n v="999"/>
    <x v="246"/>
    <x v="1"/>
    <x v="0"/>
    <x v="5"/>
    <n v="3"/>
    <n v="200"/>
    <n v="600"/>
    <n v="0.1"/>
    <n v="60"/>
    <n v="540"/>
    <n v="150"/>
    <n v="90"/>
    <n v="0.16666666666666666"/>
    <x v="3"/>
    <x v="1"/>
    <x v="2"/>
    <x v="2"/>
    <s v="CUST1413"/>
    <x v="3"/>
  </r>
  <r>
    <n v="1000"/>
    <x v="55"/>
    <x v="3"/>
    <x v="0"/>
    <x v="0"/>
    <n v="12"/>
    <n v="190"/>
    <n v="2280"/>
    <n v="0.02"/>
    <n v="45.6"/>
    <n v="2234.4"/>
    <n v="110"/>
    <n v="914.40000000000009"/>
    <n v="0.40923737916219122"/>
    <x v="3"/>
    <x v="1"/>
    <x v="2"/>
    <x v="5"/>
    <s v="CUST1186"/>
    <x v="2"/>
  </r>
  <r>
    <n v="1001"/>
    <x v="212"/>
    <x v="3"/>
    <x v="3"/>
    <x v="1"/>
    <n v="12"/>
    <n v="2340"/>
    <n v="28080"/>
    <n v="0.15"/>
    <n v="4212"/>
    <n v="23868"/>
    <n v="1900"/>
    <n v="1068"/>
    <n v="4.4746103569632982E-2"/>
    <x v="2"/>
    <x v="1"/>
    <x v="1"/>
    <x v="0"/>
    <s v="CUST1031"/>
    <x v="0"/>
  </r>
  <r>
    <n v="1002"/>
    <x v="321"/>
    <x v="4"/>
    <x v="0"/>
    <x v="1"/>
    <n v="8"/>
    <n v="2370"/>
    <n v="18960"/>
    <n v="0"/>
    <n v="0"/>
    <n v="18960"/>
    <n v="1390"/>
    <n v="7840"/>
    <n v="0.41350210970464135"/>
    <x v="0"/>
    <x v="1"/>
    <x v="2"/>
    <x v="9"/>
    <s v="CUST1156"/>
    <x v="1"/>
  </r>
  <r>
    <n v="1003"/>
    <x v="0"/>
    <x v="5"/>
    <x v="3"/>
    <x v="1"/>
    <n v="4"/>
    <n v="2370"/>
    <n v="9480"/>
    <n v="0"/>
    <n v="0"/>
    <n v="9480"/>
    <n v="1770"/>
    <n v="2400"/>
    <n v="0.25316455696202533"/>
    <x v="3"/>
    <x v="1"/>
    <x v="1"/>
    <x v="2"/>
    <s v="CUST1398"/>
    <x v="1"/>
  </r>
  <r>
    <n v="1004"/>
    <x v="345"/>
    <x v="3"/>
    <x v="2"/>
    <x v="0"/>
    <n v="10"/>
    <n v="220"/>
    <n v="2200"/>
    <n v="0.05"/>
    <n v="110"/>
    <n v="2090"/>
    <n v="160"/>
    <n v="490"/>
    <n v="0.23444976076555024"/>
    <x v="1"/>
    <x v="1"/>
    <x v="3"/>
    <x v="9"/>
    <s v="CUST1062"/>
    <x v="0"/>
  </r>
  <r>
    <n v="1005"/>
    <x v="21"/>
    <x v="4"/>
    <x v="1"/>
    <x v="5"/>
    <n v="1"/>
    <n v="180"/>
    <n v="180"/>
    <n v="0.02"/>
    <n v="3.6"/>
    <n v="176.4"/>
    <n v="140"/>
    <n v="36.400000000000006"/>
    <n v="0.20634920634920637"/>
    <x v="1"/>
    <x v="1"/>
    <x v="3"/>
    <x v="5"/>
    <s v="CUST1076"/>
    <x v="0"/>
  </r>
  <r>
    <n v="1006"/>
    <x v="66"/>
    <x v="0"/>
    <x v="0"/>
    <x v="1"/>
    <n v="8"/>
    <n v="2030"/>
    <n v="16240"/>
    <n v="0.05"/>
    <n v="812"/>
    <n v="15428"/>
    <n v="1340"/>
    <n v="4708"/>
    <n v="0.30515945035001296"/>
    <x v="4"/>
    <x v="1"/>
    <x v="1"/>
    <x v="8"/>
    <s v="CUST1176"/>
    <x v="0"/>
  </r>
  <r>
    <n v="1007"/>
    <x v="176"/>
    <x v="5"/>
    <x v="0"/>
    <x v="0"/>
    <n v="11"/>
    <n v="210"/>
    <n v="2310"/>
    <n v="0.02"/>
    <n v="46.2"/>
    <n v="2263.8000000000002"/>
    <n v="150"/>
    <n v="613.80000000000018"/>
    <n v="0.2711370262390671"/>
    <x v="3"/>
    <x v="1"/>
    <x v="1"/>
    <x v="2"/>
    <s v="CUST1160"/>
    <x v="1"/>
  </r>
  <r>
    <n v="1008"/>
    <x v="141"/>
    <x v="3"/>
    <x v="3"/>
    <x v="3"/>
    <n v="5"/>
    <n v="1700"/>
    <n v="8500"/>
    <n v="0"/>
    <n v="0"/>
    <n v="8500"/>
    <n v="990"/>
    <n v="3550"/>
    <n v="0.41764705882352943"/>
    <x v="4"/>
    <x v="1"/>
    <x v="3"/>
    <x v="5"/>
    <s v="CUST1491"/>
    <x v="0"/>
  </r>
  <r>
    <n v="1009"/>
    <x v="343"/>
    <x v="1"/>
    <x v="3"/>
    <x v="0"/>
    <n v="5"/>
    <n v="240"/>
    <n v="1200"/>
    <n v="0.05"/>
    <n v="60"/>
    <n v="1140"/>
    <n v="180"/>
    <n v="240"/>
    <n v="0.21052631578947367"/>
    <x v="0"/>
    <x v="1"/>
    <x v="1"/>
    <x v="0"/>
    <s v="CUST1270"/>
    <x v="1"/>
  </r>
  <r>
    <n v="1010"/>
    <x v="33"/>
    <x v="3"/>
    <x v="0"/>
    <x v="0"/>
    <n v="2"/>
    <n v="240"/>
    <n v="480"/>
    <n v="0"/>
    <n v="0"/>
    <n v="480"/>
    <n v="150"/>
    <n v="180"/>
    <n v="0.375"/>
    <x v="3"/>
    <x v="3"/>
    <x v="1"/>
    <x v="8"/>
    <s v="CUST1419"/>
    <x v="1"/>
  </r>
  <r>
    <n v="1011"/>
    <x v="96"/>
    <x v="5"/>
    <x v="1"/>
    <x v="3"/>
    <n v="11"/>
    <n v="1570"/>
    <n v="17270"/>
    <n v="0.15"/>
    <n v="2590.5"/>
    <n v="14679.5"/>
    <n v="920"/>
    <n v="4559.5"/>
    <n v="0.310603222180592"/>
    <x v="4"/>
    <x v="1"/>
    <x v="2"/>
    <x v="3"/>
    <s v="CUST1359"/>
    <x v="3"/>
  </r>
  <r>
    <n v="1012"/>
    <x v="244"/>
    <x v="0"/>
    <x v="1"/>
    <x v="5"/>
    <n v="12"/>
    <n v="180"/>
    <n v="2160"/>
    <n v="0.1"/>
    <n v="216"/>
    <n v="1944"/>
    <n v="130"/>
    <n v="384"/>
    <n v="0.19753086419753085"/>
    <x v="1"/>
    <x v="1"/>
    <x v="2"/>
    <x v="8"/>
    <s v="CUST1192"/>
    <x v="2"/>
  </r>
  <r>
    <n v="1013"/>
    <x v="25"/>
    <x v="0"/>
    <x v="0"/>
    <x v="3"/>
    <n v="4"/>
    <n v="1420"/>
    <n v="5680"/>
    <n v="0.05"/>
    <n v="284"/>
    <n v="5396"/>
    <n v="840"/>
    <n v="2036"/>
    <n v="0.37731653076352856"/>
    <x v="1"/>
    <x v="1"/>
    <x v="1"/>
    <x v="3"/>
    <s v="CUST1099"/>
    <x v="0"/>
  </r>
  <r>
    <n v="1014"/>
    <x v="154"/>
    <x v="1"/>
    <x v="2"/>
    <x v="1"/>
    <n v="11"/>
    <n v="1990"/>
    <n v="21890"/>
    <n v="0.05"/>
    <n v="1094.5"/>
    <n v="20795.5"/>
    <n v="1390"/>
    <n v="5505.5"/>
    <n v="0.26474477651414968"/>
    <x v="4"/>
    <x v="1"/>
    <x v="1"/>
    <x v="1"/>
    <s v="CUST1312"/>
    <x v="3"/>
  </r>
  <r>
    <n v="1015"/>
    <x v="282"/>
    <x v="5"/>
    <x v="1"/>
    <x v="1"/>
    <n v="7"/>
    <n v="2140"/>
    <n v="14980"/>
    <n v="0.02"/>
    <n v="299.60000000000002"/>
    <n v="14680.4"/>
    <n v="1670"/>
    <n v="2990.3999999999996"/>
    <n v="0.203700171657448"/>
    <x v="1"/>
    <x v="1"/>
    <x v="3"/>
    <x v="6"/>
    <s v="CUST1007"/>
    <x v="1"/>
  </r>
  <r>
    <n v="1016"/>
    <x v="124"/>
    <x v="0"/>
    <x v="0"/>
    <x v="2"/>
    <n v="3"/>
    <n v="1130"/>
    <n v="3390"/>
    <n v="0.02"/>
    <n v="67.8"/>
    <n v="3322.2"/>
    <n v="720"/>
    <n v="1162.1999999999998"/>
    <n v="0.34982842694599958"/>
    <x v="3"/>
    <x v="1"/>
    <x v="1"/>
    <x v="7"/>
    <s v="CUST1305"/>
    <x v="3"/>
  </r>
  <r>
    <n v="1017"/>
    <x v="25"/>
    <x v="1"/>
    <x v="0"/>
    <x v="1"/>
    <n v="4"/>
    <n v="2040"/>
    <n v="8160"/>
    <n v="0.05"/>
    <n v="408"/>
    <n v="7752"/>
    <n v="1580"/>
    <n v="1432"/>
    <n v="0.18472652218782248"/>
    <x v="3"/>
    <x v="1"/>
    <x v="0"/>
    <x v="5"/>
    <s v="CUST1039"/>
    <x v="1"/>
  </r>
  <r>
    <n v="1018"/>
    <x v="317"/>
    <x v="2"/>
    <x v="0"/>
    <x v="1"/>
    <n v="6"/>
    <n v="2380"/>
    <n v="14280"/>
    <n v="0"/>
    <n v="0"/>
    <n v="14280"/>
    <n v="1420"/>
    <n v="5760"/>
    <n v="0.40336134453781514"/>
    <x v="4"/>
    <x v="1"/>
    <x v="1"/>
    <x v="7"/>
    <s v="CUST1074"/>
    <x v="1"/>
  </r>
  <r>
    <n v="1019"/>
    <x v="328"/>
    <x v="3"/>
    <x v="0"/>
    <x v="5"/>
    <n v="2"/>
    <n v="180"/>
    <n v="360"/>
    <n v="0.15"/>
    <n v="54"/>
    <n v="306"/>
    <n v="110"/>
    <n v="86"/>
    <n v="0.28104575163398693"/>
    <x v="2"/>
    <x v="1"/>
    <x v="0"/>
    <x v="0"/>
    <s v="CUST1076"/>
    <x v="0"/>
  </r>
  <r>
    <n v="1020"/>
    <x v="30"/>
    <x v="1"/>
    <x v="3"/>
    <x v="5"/>
    <n v="3"/>
    <n v="210"/>
    <n v="630"/>
    <n v="0.1"/>
    <n v="63"/>
    <n v="567"/>
    <n v="130"/>
    <n v="177"/>
    <n v="0.31216931216931215"/>
    <x v="2"/>
    <x v="1"/>
    <x v="0"/>
    <x v="2"/>
    <s v="CUST1388"/>
    <x v="2"/>
  </r>
  <r>
    <n v="1021"/>
    <x v="79"/>
    <x v="0"/>
    <x v="0"/>
    <x v="5"/>
    <n v="3"/>
    <n v="220"/>
    <n v="660"/>
    <n v="0"/>
    <n v="0"/>
    <n v="660"/>
    <n v="150"/>
    <n v="210"/>
    <n v="0.31818181818181818"/>
    <x v="3"/>
    <x v="1"/>
    <x v="2"/>
    <x v="3"/>
    <s v="CUST1162"/>
    <x v="3"/>
  </r>
  <r>
    <n v="1022"/>
    <x v="51"/>
    <x v="5"/>
    <x v="0"/>
    <x v="5"/>
    <n v="3"/>
    <n v="210"/>
    <n v="630"/>
    <n v="0.02"/>
    <n v="12.6"/>
    <n v="617.4"/>
    <n v="150"/>
    <n v="167.39999999999998"/>
    <n v="0.27113702623906705"/>
    <x v="2"/>
    <x v="1"/>
    <x v="1"/>
    <x v="4"/>
    <s v="CUST1201"/>
    <x v="1"/>
  </r>
  <r>
    <n v="1023"/>
    <x v="50"/>
    <x v="4"/>
    <x v="0"/>
    <x v="0"/>
    <n v="5"/>
    <n v="210"/>
    <n v="1050"/>
    <n v="0"/>
    <n v="0"/>
    <n v="1050"/>
    <n v="160"/>
    <n v="250"/>
    <n v="0.23809523809523808"/>
    <x v="4"/>
    <x v="1"/>
    <x v="2"/>
    <x v="1"/>
    <s v="CUST1370"/>
    <x v="2"/>
  </r>
  <r>
    <n v="1024"/>
    <x v="344"/>
    <x v="3"/>
    <x v="3"/>
    <x v="3"/>
    <n v="4"/>
    <n v="1670"/>
    <n v="6680"/>
    <n v="0"/>
    <n v="0"/>
    <n v="6680"/>
    <n v="1150"/>
    <n v="2080"/>
    <n v="0.31137724550898205"/>
    <x v="0"/>
    <x v="0"/>
    <x v="1"/>
    <x v="9"/>
    <s v="CUST1175"/>
    <x v="3"/>
  </r>
  <r>
    <n v="1025"/>
    <x v="1"/>
    <x v="3"/>
    <x v="0"/>
    <x v="2"/>
    <n v="12"/>
    <n v="1240"/>
    <n v="14880"/>
    <n v="0"/>
    <n v="0"/>
    <n v="14880"/>
    <n v="860"/>
    <n v="4560"/>
    <n v="0.30645161290322581"/>
    <x v="3"/>
    <x v="1"/>
    <x v="0"/>
    <x v="0"/>
    <s v="CUST1121"/>
    <x v="2"/>
  </r>
  <r>
    <n v="1026"/>
    <x v="111"/>
    <x v="1"/>
    <x v="0"/>
    <x v="2"/>
    <n v="3"/>
    <n v="1230"/>
    <n v="3690"/>
    <n v="0.05"/>
    <n v="184.5"/>
    <n v="3505.5"/>
    <n v="770"/>
    <n v="1195.5"/>
    <n v="0.34103551561831408"/>
    <x v="4"/>
    <x v="1"/>
    <x v="2"/>
    <x v="0"/>
    <s v="CUST1416"/>
    <x v="3"/>
  </r>
  <r>
    <n v="1027"/>
    <x v="120"/>
    <x v="5"/>
    <x v="3"/>
    <x v="2"/>
    <n v="4"/>
    <n v="1190"/>
    <n v="4760"/>
    <n v="0"/>
    <n v="0"/>
    <n v="4760"/>
    <n v="730"/>
    <n v="1840"/>
    <n v="0.38655462184873951"/>
    <x v="4"/>
    <x v="1"/>
    <x v="1"/>
    <x v="4"/>
    <s v="CUST1269"/>
    <x v="1"/>
  </r>
  <r>
    <n v="1028"/>
    <x v="234"/>
    <x v="1"/>
    <x v="0"/>
    <x v="2"/>
    <n v="6"/>
    <n v="1970"/>
    <n v="11820"/>
    <n v="0.02"/>
    <n v="236.4"/>
    <n v="11583.6"/>
    <n v="1380"/>
    <n v="3303.6000000000004"/>
    <n v="0.28519631202734902"/>
    <x v="2"/>
    <x v="3"/>
    <x v="2"/>
    <x v="2"/>
    <s v="CUST1242"/>
    <x v="0"/>
  </r>
  <r>
    <n v="1029"/>
    <x v="312"/>
    <x v="5"/>
    <x v="0"/>
    <x v="1"/>
    <n v="1"/>
    <n v="1970"/>
    <n v="1970"/>
    <n v="0.05"/>
    <n v="98.5"/>
    <n v="1871.5"/>
    <n v="1570"/>
    <n v="301.5"/>
    <n v="0.16110072134651349"/>
    <x v="2"/>
    <x v="1"/>
    <x v="3"/>
    <x v="3"/>
    <s v="CUST1081"/>
    <x v="0"/>
  </r>
  <r>
    <n v="1030"/>
    <x v="62"/>
    <x v="0"/>
    <x v="0"/>
    <x v="2"/>
    <n v="3"/>
    <n v="1240"/>
    <n v="3720"/>
    <n v="0.15"/>
    <n v="558"/>
    <n v="3162"/>
    <n v="920"/>
    <n v="402"/>
    <n v="0.12713472485768501"/>
    <x v="0"/>
    <x v="1"/>
    <x v="1"/>
    <x v="4"/>
    <s v="CUST1170"/>
    <x v="0"/>
  </r>
  <r>
    <n v="1031"/>
    <x v="349"/>
    <x v="2"/>
    <x v="0"/>
    <x v="5"/>
    <n v="12"/>
    <n v="190"/>
    <n v="2280"/>
    <n v="0.05"/>
    <n v="114"/>
    <n v="2166"/>
    <n v="120"/>
    <n v="726"/>
    <n v="0.33518005540166207"/>
    <x v="3"/>
    <x v="1"/>
    <x v="3"/>
    <x v="4"/>
    <s v="CUST1245"/>
    <x v="3"/>
  </r>
  <r>
    <n v="1032"/>
    <x v="337"/>
    <x v="1"/>
    <x v="2"/>
    <x v="1"/>
    <n v="7"/>
    <n v="2280"/>
    <n v="15960"/>
    <n v="0"/>
    <n v="0"/>
    <n v="15960"/>
    <n v="1370"/>
    <n v="6370"/>
    <n v="0.39912280701754388"/>
    <x v="2"/>
    <x v="1"/>
    <x v="0"/>
    <x v="6"/>
    <s v="CUST1135"/>
    <x v="0"/>
  </r>
  <r>
    <n v="1033"/>
    <x v="242"/>
    <x v="1"/>
    <x v="3"/>
    <x v="5"/>
    <n v="3"/>
    <n v="190"/>
    <n v="570"/>
    <n v="0.05"/>
    <n v="28.5"/>
    <n v="541.5"/>
    <n v="130"/>
    <n v="151.5"/>
    <n v="0.27977839335180055"/>
    <x v="0"/>
    <x v="1"/>
    <x v="0"/>
    <x v="0"/>
    <s v="CUST1202"/>
    <x v="0"/>
  </r>
  <r>
    <n v="1034"/>
    <x v="98"/>
    <x v="1"/>
    <x v="0"/>
    <x v="1"/>
    <n v="6"/>
    <n v="1900"/>
    <n v="11400"/>
    <n v="0.05"/>
    <n v="570"/>
    <n v="10830"/>
    <n v="1200"/>
    <n v="3630"/>
    <n v="0.33518005540166207"/>
    <x v="4"/>
    <x v="1"/>
    <x v="2"/>
    <x v="2"/>
    <s v="CUST1440"/>
    <x v="0"/>
  </r>
  <r>
    <n v="1035"/>
    <x v="355"/>
    <x v="1"/>
    <x v="3"/>
    <x v="3"/>
    <n v="12"/>
    <n v="1440"/>
    <n v="17280"/>
    <n v="0"/>
    <n v="0"/>
    <n v="17280"/>
    <n v="1170"/>
    <n v="3240"/>
    <n v="0.1875"/>
    <x v="4"/>
    <x v="1"/>
    <x v="3"/>
    <x v="0"/>
    <s v="CUST1470"/>
    <x v="1"/>
  </r>
  <r>
    <n v="1036"/>
    <x v="252"/>
    <x v="3"/>
    <x v="3"/>
    <x v="4"/>
    <n v="10"/>
    <n v="290"/>
    <n v="2900"/>
    <n v="0.05"/>
    <n v="145"/>
    <n v="2755"/>
    <n v="180"/>
    <n v="955"/>
    <n v="0.34664246823956441"/>
    <x v="2"/>
    <x v="1"/>
    <x v="3"/>
    <x v="8"/>
    <s v="CUST1132"/>
    <x v="0"/>
  </r>
  <r>
    <n v="1037"/>
    <x v="127"/>
    <x v="5"/>
    <x v="0"/>
    <x v="5"/>
    <n v="2"/>
    <n v="170"/>
    <n v="340"/>
    <n v="0"/>
    <n v="0"/>
    <n v="340"/>
    <n v="120"/>
    <n v="100"/>
    <n v="0.29411764705882354"/>
    <x v="4"/>
    <x v="1"/>
    <x v="2"/>
    <x v="1"/>
    <s v="CUST1427"/>
    <x v="3"/>
  </r>
  <r>
    <n v="1038"/>
    <x v="165"/>
    <x v="3"/>
    <x v="0"/>
    <x v="0"/>
    <n v="4"/>
    <n v="200"/>
    <n v="800"/>
    <n v="0.05"/>
    <n v="40"/>
    <n v="760"/>
    <n v="160"/>
    <n v="120"/>
    <n v="0.15789473684210525"/>
    <x v="1"/>
    <x v="1"/>
    <x v="3"/>
    <x v="8"/>
    <s v="CUST1212"/>
    <x v="0"/>
  </r>
  <r>
    <n v="1039"/>
    <x v="163"/>
    <x v="1"/>
    <x v="0"/>
    <x v="0"/>
    <n v="9"/>
    <n v="210"/>
    <n v="1890"/>
    <n v="0.15"/>
    <n v="283.5"/>
    <n v="1606.5"/>
    <n v="150"/>
    <n v="256.5"/>
    <n v="0.15966386554621848"/>
    <x v="2"/>
    <x v="1"/>
    <x v="2"/>
    <x v="3"/>
    <s v="CUST1036"/>
    <x v="2"/>
  </r>
  <r>
    <n v="1040"/>
    <x v="90"/>
    <x v="5"/>
    <x v="0"/>
    <x v="1"/>
    <n v="1"/>
    <n v="2360"/>
    <n v="2360"/>
    <n v="0.15"/>
    <n v="354"/>
    <n v="2006"/>
    <n v="1660"/>
    <n v="346"/>
    <n v="0.17248255234297108"/>
    <x v="4"/>
    <x v="1"/>
    <x v="3"/>
    <x v="2"/>
    <s v="CUST1207"/>
    <x v="3"/>
  </r>
  <r>
    <n v="1041"/>
    <x v="347"/>
    <x v="1"/>
    <x v="1"/>
    <x v="4"/>
    <n v="11"/>
    <n v="340"/>
    <n v="3740"/>
    <n v="0.02"/>
    <n v="74.8"/>
    <n v="3665.2"/>
    <n v="240"/>
    <n v="1025.1999999999998"/>
    <n v="0.27971188475390152"/>
    <x v="2"/>
    <x v="1"/>
    <x v="3"/>
    <x v="7"/>
    <s v="CUST1146"/>
    <x v="0"/>
  </r>
  <r>
    <n v="1042"/>
    <x v="227"/>
    <x v="2"/>
    <x v="3"/>
    <x v="5"/>
    <n v="9"/>
    <n v="200"/>
    <n v="1800"/>
    <n v="0.15"/>
    <n v="270"/>
    <n v="1530"/>
    <n v="150"/>
    <n v="180"/>
    <n v="0.11764705882352941"/>
    <x v="0"/>
    <x v="0"/>
    <x v="3"/>
    <x v="1"/>
    <s v="CUST1444"/>
    <x v="0"/>
  </r>
  <r>
    <n v="1043"/>
    <x v="36"/>
    <x v="1"/>
    <x v="3"/>
    <x v="0"/>
    <n v="9"/>
    <n v="230"/>
    <n v="2070"/>
    <n v="0.02"/>
    <n v="41.4"/>
    <n v="2028.6"/>
    <n v="170"/>
    <n v="498.59999999999991"/>
    <n v="0.24578527062999109"/>
    <x v="0"/>
    <x v="1"/>
    <x v="3"/>
    <x v="7"/>
    <s v="CUST1033"/>
    <x v="0"/>
  </r>
  <r>
    <n v="1044"/>
    <x v="279"/>
    <x v="4"/>
    <x v="0"/>
    <x v="4"/>
    <n v="11"/>
    <n v="290"/>
    <n v="3190"/>
    <n v="0.05"/>
    <n v="159.5"/>
    <n v="3030.5"/>
    <n v="170"/>
    <n v="1160.5"/>
    <n v="0.38294010889292196"/>
    <x v="4"/>
    <x v="1"/>
    <x v="0"/>
    <x v="5"/>
    <s v="CUST1462"/>
    <x v="3"/>
  </r>
  <r>
    <n v="1045"/>
    <x v="47"/>
    <x v="4"/>
    <x v="1"/>
    <x v="1"/>
    <n v="10"/>
    <n v="2030"/>
    <n v="20300"/>
    <n v="0.05"/>
    <n v="1015"/>
    <n v="19285"/>
    <n v="1460"/>
    <n v="4685"/>
    <n v="0.24293492351568577"/>
    <x v="1"/>
    <x v="0"/>
    <x v="1"/>
    <x v="0"/>
    <s v="CUST1187"/>
    <x v="0"/>
  </r>
  <r>
    <n v="1046"/>
    <x v="224"/>
    <x v="0"/>
    <x v="3"/>
    <x v="2"/>
    <n v="12"/>
    <n v="1370"/>
    <n v="16440"/>
    <n v="0"/>
    <n v="0"/>
    <n v="16440"/>
    <n v="880"/>
    <n v="5880"/>
    <n v="0.35766423357664234"/>
    <x v="4"/>
    <x v="1"/>
    <x v="3"/>
    <x v="2"/>
    <s v="CUST1463"/>
    <x v="3"/>
  </r>
  <r>
    <n v="1047"/>
    <x v="289"/>
    <x v="1"/>
    <x v="1"/>
    <x v="1"/>
    <n v="2"/>
    <n v="1930"/>
    <n v="3860"/>
    <n v="0"/>
    <n v="0"/>
    <n v="3860"/>
    <n v="1360"/>
    <n v="1140"/>
    <n v="0.29533678756476683"/>
    <x v="3"/>
    <x v="1"/>
    <x v="1"/>
    <x v="3"/>
    <s v="CUST1409"/>
    <x v="2"/>
  </r>
  <r>
    <n v="1048"/>
    <x v="97"/>
    <x v="5"/>
    <x v="0"/>
    <x v="2"/>
    <n v="7"/>
    <n v="1270"/>
    <n v="8890"/>
    <n v="0"/>
    <n v="0"/>
    <n v="8890"/>
    <n v="830"/>
    <n v="3080"/>
    <n v="0.34645669291338582"/>
    <x v="1"/>
    <x v="1"/>
    <x v="2"/>
    <x v="8"/>
    <s v="CUST1321"/>
    <x v="3"/>
  </r>
  <r>
    <n v="1049"/>
    <x v="327"/>
    <x v="1"/>
    <x v="0"/>
    <x v="1"/>
    <n v="7"/>
    <n v="1900"/>
    <n v="13300"/>
    <n v="0"/>
    <n v="0"/>
    <n v="13300"/>
    <n v="1250"/>
    <n v="4550"/>
    <n v="0.34210526315789475"/>
    <x v="4"/>
    <x v="1"/>
    <x v="0"/>
    <x v="9"/>
    <s v="CUST1042"/>
    <x v="0"/>
  </r>
  <r>
    <n v="1050"/>
    <x v="12"/>
    <x v="0"/>
    <x v="0"/>
    <x v="2"/>
    <n v="2"/>
    <n v="1320"/>
    <n v="2640"/>
    <n v="0.02"/>
    <n v="52.800000000000004"/>
    <n v="2587.1999999999998"/>
    <n v="800"/>
    <n v="987.19999999999982"/>
    <n v="0.38157081014223865"/>
    <x v="4"/>
    <x v="1"/>
    <x v="0"/>
    <x v="7"/>
    <s v="CUST1059"/>
    <x v="2"/>
  </r>
  <r>
    <n v="1051"/>
    <x v="245"/>
    <x v="1"/>
    <x v="0"/>
    <x v="1"/>
    <n v="9"/>
    <n v="1910"/>
    <n v="17190"/>
    <n v="0.1"/>
    <n v="1719"/>
    <n v="15471"/>
    <n v="1350"/>
    <n v="3321"/>
    <n v="0.21465968586387435"/>
    <x v="2"/>
    <x v="1"/>
    <x v="3"/>
    <x v="0"/>
    <s v="CUST1022"/>
    <x v="3"/>
  </r>
  <r>
    <n v="1052"/>
    <x v="239"/>
    <x v="5"/>
    <x v="0"/>
    <x v="2"/>
    <n v="3"/>
    <n v="1260"/>
    <n v="3780"/>
    <n v="0.05"/>
    <n v="189"/>
    <n v="3591"/>
    <n v="750"/>
    <n v="1341"/>
    <n v="0.37343358395989973"/>
    <x v="4"/>
    <x v="1"/>
    <x v="3"/>
    <x v="5"/>
    <s v="CUST1390"/>
    <x v="2"/>
  </r>
  <r>
    <n v="1053"/>
    <x v="163"/>
    <x v="2"/>
    <x v="2"/>
    <x v="3"/>
    <n v="11"/>
    <n v="1720"/>
    <n v="18920"/>
    <n v="0.1"/>
    <n v="1892"/>
    <n v="17028"/>
    <n v="1080"/>
    <n v="5148"/>
    <n v="0.30232558139534882"/>
    <x v="0"/>
    <x v="1"/>
    <x v="3"/>
    <x v="3"/>
    <s v="CUST1497"/>
    <x v="2"/>
  </r>
  <r>
    <n v="1054"/>
    <x v="322"/>
    <x v="1"/>
    <x v="3"/>
    <x v="5"/>
    <n v="11"/>
    <n v="200"/>
    <n v="2200"/>
    <n v="0"/>
    <n v="0"/>
    <n v="2200"/>
    <n v="130"/>
    <n v="770"/>
    <n v="0.35"/>
    <x v="2"/>
    <x v="1"/>
    <x v="0"/>
    <x v="3"/>
    <s v="CUST1469"/>
    <x v="3"/>
  </r>
  <r>
    <n v="1055"/>
    <x v="9"/>
    <x v="1"/>
    <x v="0"/>
    <x v="1"/>
    <n v="9"/>
    <n v="1980"/>
    <n v="17820"/>
    <n v="0.15"/>
    <n v="2673"/>
    <n v="15147"/>
    <n v="1590"/>
    <n v="837"/>
    <n v="5.5258467023172907E-2"/>
    <x v="4"/>
    <x v="1"/>
    <x v="3"/>
    <x v="9"/>
    <s v="CUST1060"/>
    <x v="3"/>
  </r>
  <r>
    <n v="1056"/>
    <x v="35"/>
    <x v="4"/>
    <x v="0"/>
    <x v="4"/>
    <n v="4"/>
    <n v="330"/>
    <n v="1320"/>
    <n v="0.05"/>
    <n v="66"/>
    <n v="1254"/>
    <n v="240"/>
    <n v="294"/>
    <n v="0.23444976076555024"/>
    <x v="3"/>
    <x v="1"/>
    <x v="2"/>
    <x v="9"/>
    <s v="CUST1119"/>
    <x v="2"/>
  </r>
  <r>
    <n v="1057"/>
    <x v="43"/>
    <x v="5"/>
    <x v="0"/>
    <x v="0"/>
    <n v="9"/>
    <n v="220"/>
    <n v="1980"/>
    <n v="0"/>
    <n v="0"/>
    <n v="1980"/>
    <n v="130"/>
    <n v="810"/>
    <n v="0.40909090909090912"/>
    <x v="2"/>
    <x v="3"/>
    <x v="2"/>
    <x v="5"/>
    <s v="CUST1313"/>
    <x v="1"/>
  </r>
  <r>
    <n v="1058"/>
    <x v="210"/>
    <x v="1"/>
    <x v="3"/>
    <x v="1"/>
    <n v="11"/>
    <n v="2210"/>
    <n v="24310"/>
    <n v="0.02"/>
    <n v="486.2"/>
    <n v="23823.8"/>
    <n v="1320"/>
    <n v="9303.7999999999993"/>
    <n v="0.39052544094560898"/>
    <x v="1"/>
    <x v="1"/>
    <x v="0"/>
    <x v="8"/>
    <s v="CUST1013"/>
    <x v="1"/>
  </r>
  <r>
    <n v="1059"/>
    <x v="97"/>
    <x v="0"/>
    <x v="0"/>
    <x v="1"/>
    <n v="5"/>
    <n v="2370"/>
    <n v="11850"/>
    <n v="0"/>
    <n v="0"/>
    <n v="11850"/>
    <n v="1900"/>
    <n v="2350"/>
    <n v="0.19831223628691982"/>
    <x v="4"/>
    <x v="1"/>
    <x v="0"/>
    <x v="9"/>
    <s v="CUST1330"/>
    <x v="3"/>
  </r>
  <r>
    <n v="1060"/>
    <x v="153"/>
    <x v="2"/>
    <x v="0"/>
    <x v="5"/>
    <n v="4"/>
    <n v="210"/>
    <n v="840"/>
    <n v="0.15"/>
    <n v="126"/>
    <n v="714"/>
    <n v="150"/>
    <n v="114"/>
    <n v="0.15966386554621848"/>
    <x v="0"/>
    <x v="1"/>
    <x v="0"/>
    <x v="5"/>
    <s v="CUST1011"/>
    <x v="2"/>
  </r>
  <r>
    <n v="1061"/>
    <x v="52"/>
    <x v="5"/>
    <x v="3"/>
    <x v="3"/>
    <n v="6"/>
    <n v="1460"/>
    <n v="8760"/>
    <n v="0.05"/>
    <n v="438"/>
    <n v="8322"/>
    <n v="960"/>
    <n v="2562"/>
    <n v="0.30785868781542897"/>
    <x v="0"/>
    <x v="1"/>
    <x v="1"/>
    <x v="2"/>
    <s v="CUST1116"/>
    <x v="2"/>
  </r>
  <r>
    <n v="1062"/>
    <x v="266"/>
    <x v="3"/>
    <x v="3"/>
    <x v="0"/>
    <n v="6"/>
    <n v="200"/>
    <n v="1200"/>
    <n v="0.02"/>
    <n v="24"/>
    <n v="1176"/>
    <n v="140"/>
    <n v="336"/>
    <n v="0.2857142857142857"/>
    <x v="2"/>
    <x v="1"/>
    <x v="2"/>
    <x v="7"/>
    <s v="CUST1252"/>
    <x v="0"/>
  </r>
  <r>
    <n v="1063"/>
    <x v="36"/>
    <x v="1"/>
    <x v="0"/>
    <x v="5"/>
    <n v="12"/>
    <n v="190"/>
    <n v="2280"/>
    <n v="0"/>
    <n v="0"/>
    <n v="2280"/>
    <n v="140"/>
    <n v="600"/>
    <n v="0.26315789473684209"/>
    <x v="1"/>
    <x v="0"/>
    <x v="1"/>
    <x v="9"/>
    <s v="CUST1202"/>
    <x v="3"/>
  </r>
  <r>
    <n v="1064"/>
    <x v="228"/>
    <x v="5"/>
    <x v="0"/>
    <x v="1"/>
    <n v="10"/>
    <n v="2080"/>
    <n v="20800"/>
    <n v="0"/>
    <n v="0"/>
    <n v="20800"/>
    <n v="1610"/>
    <n v="4700"/>
    <n v="0.22596153846153846"/>
    <x v="1"/>
    <x v="2"/>
    <x v="1"/>
    <x v="2"/>
    <s v="CUST1321"/>
    <x v="3"/>
  </r>
  <r>
    <n v="1065"/>
    <x v="160"/>
    <x v="5"/>
    <x v="2"/>
    <x v="0"/>
    <n v="12"/>
    <n v="230"/>
    <n v="2760"/>
    <n v="0.05"/>
    <n v="138"/>
    <n v="2622"/>
    <n v="170"/>
    <n v="582"/>
    <n v="0.2219679633867277"/>
    <x v="2"/>
    <x v="1"/>
    <x v="0"/>
    <x v="1"/>
    <s v="CUST1479"/>
    <x v="3"/>
  </r>
  <r>
    <n v="1066"/>
    <x v="223"/>
    <x v="1"/>
    <x v="0"/>
    <x v="2"/>
    <n v="12"/>
    <n v="1250"/>
    <n v="15000"/>
    <n v="0.1"/>
    <n v="1500"/>
    <n v="13500"/>
    <n v="960"/>
    <n v="1980"/>
    <n v="0.14666666666666667"/>
    <x v="2"/>
    <x v="1"/>
    <x v="1"/>
    <x v="0"/>
    <s v="CUST1230"/>
    <x v="0"/>
  </r>
  <r>
    <n v="1067"/>
    <x v="206"/>
    <x v="1"/>
    <x v="1"/>
    <x v="3"/>
    <n v="8"/>
    <n v="1460"/>
    <n v="11680"/>
    <n v="0"/>
    <n v="0"/>
    <n v="11680"/>
    <n v="1140"/>
    <n v="2560"/>
    <n v="0.21917808219178081"/>
    <x v="2"/>
    <x v="1"/>
    <x v="1"/>
    <x v="9"/>
    <s v="CUST1310"/>
    <x v="3"/>
  </r>
  <r>
    <n v="1068"/>
    <x v="362"/>
    <x v="2"/>
    <x v="0"/>
    <x v="2"/>
    <n v="9"/>
    <n v="1120"/>
    <n v="10080"/>
    <n v="0"/>
    <n v="0"/>
    <n v="10080"/>
    <n v="670"/>
    <n v="4050"/>
    <n v="0.4017857142857143"/>
    <x v="1"/>
    <x v="1"/>
    <x v="2"/>
    <x v="0"/>
    <s v="CUST1123"/>
    <x v="2"/>
  </r>
  <r>
    <n v="1069"/>
    <x v="254"/>
    <x v="2"/>
    <x v="3"/>
    <x v="3"/>
    <n v="8"/>
    <n v="1140"/>
    <n v="9120"/>
    <n v="0.05"/>
    <n v="456"/>
    <n v="8664"/>
    <n v="700"/>
    <n v="3064"/>
    <n v="0.35364727608494922"/>
    <x v="1"/>
    <x v="1"/>
    <x v="2"/>
    <x v="3"/>
    <s v="CUST1035"/>
    <x v="1"/>
  </r>
  <r>
    <n v="1070"/>
    <x v="217"/>
    <x v="2"/>
    <x v="0"/>
    <x v="2"/>
    <n v="6"/>
    <n v="1320"/>
    <n v="7920"/>
    <n v="0.05"/>
    <n v="396"/>
    <n v="7524"/>
    <n v="830"/>
    <n v="2544"/>
    <n v="0.33811802232854865"/>
    <x v="3"/>
    <x v="1"/>
    <x v="3"/>
    <x v="6"/>
    <s v="CUST1033"/>
    <x v="1"/>
  </r>
  <r>
    <n v="1071"/>
    <x v="308"/>
    <x v="4"/>
    <x v="3"/>
    <x v="0"/>
    <n v="4"/>
    <n v="210"/>
    <n v="840"/>
    <n v="0.05"/>
    <n v="42"/>
    <n v="798"/>
    <n v="140"/>
    <n v="238"/>
    <n v="0.2982456140350877"/>
    <x v="0"/>
    <x v="1"/>
    <x v="0"/>
    <x v="8"/>
    <s v="CUST1157"/>
    <x v="2"/>
  </r>
  <r>
    <n v="1072"/>
    <x v="64"/>
    <x v="4"/>
    <x v="1"/>
    <x v="3"/>
    <n v="4"/>
    <n v="1290"/>
    <n v="5160"/>
    <n v="0"/>
    <n v="0"/>
    <n v="5160"/>
    <n v="910"/>
    <n v="1520"/>
    <n v="0.29457364341085274"/>
    <x v="0"/>
    <x v="1"/>
    <x v="0"/>
    <x v="9"/>
    <s v="CUST1139"/>
    <x v="3"/>
  </r>
  <r>
    <n v="1073"/>
    <x v="351"/>
    <x v="1"/>
    <x v="0"/>
    <x v="1"/>
    <n v="11"/>
    <n v="2050"/>
    <n v="22550"/>
    <n v="0.15"/>
    <n v="3382.5"/>
    <n v="19167.5"/>
    <n v="1240"/>
    <n v="5527.5"/>
    <n v="0.28837876614060259"/>
    <x v="0"/>
    <x v="1"/>
    <x v="3"/>
    <x v="0"/>
    <s v="CUST1366"/>
    <x v="2"/>
  </r>
  <r>
    <n v="1074"/>
    <x v="262"/>
    <x v="1"/>
    <x v="0"/>
    <x v="5"/>
    <n v="2"/>
    <n v="180"/>
    <n v="360"/>
    <n v="0"/>
    <n v="0"/>
    <n v="360"/>
    <n v="120"/>
    <n v="120"/>
    <n v="0.33333333333333331"/>
    <x v="3"/>
    <x v="0"/>
    <x v="1"/>
    <x v="0"/>
    <s v="CUST1237"/>
    <x v="0"/>
  </r>
  <r>
    <n v="1075"/>
    <x v="134"/>
    <x v="0"/>
    <x v="1"/>
    <x v="0"/>
    <n v="10"/>
    <n v="180"/>
    <n v="1800"/>
    <n v="0.05"/>
    <n v="90"/>
    <n v="1710"/>
    <n v="120"/>
    <n v="510"/>
    <n v="0.2982456140350877"/>
    <x v="0"/>
    <x v="3"/>
    <x v="2"/>
    <x v="8"/>
    <s v="CUST1163"/>
    <x v="2"/>
  </r>
  <r>
    <n v="1076"/>
    <x v="124"/>
    <x v="5"/>
    <x v="1"/>
    <x v="1"/>
    <n v="6"/>
    <n v="2060"/>
    <n v="12360"/>
    <n v="0"/>
    <n v="0"/>
    <n v="12360"/>
    <n v="1210"/>
    <n v="5100"/>
    <n v="0.41262135922330095"/>
    <x v="2"/>
    <x v="1"/>
    <x v="3"/>
    <x v="3"/>
    <s v="CUST1422"/>
    <x v="2"/>
  </r>
  <r>
    <n v="1077"/>
    <x v="161"/>
    <x v="5"/>
    <x v="0"/>
    <x v="0"/>
    <n v="11"/>
    <n v="190"/>
    <n v="2090"/>
    <n v="0.05"/>
    <n v="104.5"/>
    <n v="1985.5"/>
    <n v="140"/>
    <n v="445.5"/>
    <n v="0.22437673130193905"/>
    <x v="0"/>
    <x v="1"/>
    <x v="1"/>
    <x v="8"/>
    <s v="CUST1414"/>
    <x v="3"/>
  </r>
  <r>
    <n v="1078"/>
    <x v="65"/>
    <x v="5"/>
    <x v="0"/>
    <x v="0"/>
    <n v="1"/>
    <n v="200"/>
    <n v="200"/>
    <n v="0.1"/>
    <n v="20"/>
    <n v="180"/>
    <n v="130"/>
    <n v="50"/>
    <n v="0.27777777777777779"/>
    <x v="2"/>
    <x v="3"/>
    <x v="0"/>
    <x v="5"/>
    <s v="CUST1481"/>
    <x v="0"/>
  </r>
  <r>
    <n v="1079"/>
    <x v="210"/>
    <x v="5"/>
    <x v="0"/>
    <x v="2"/>
    <n v="1"/>
    <n v="1280"/>
    <n v="1280"/>
    <n v="0.15"/>
    <n v="192"/>
    <n v="1088"/>
    <n v="880"/>
    <n v="208"/>
    <n v="0.19117647058823528"/>
    <x v="2"/>
    <x v="1"/>
    <x v="0"/>
    <x v="1"/>
    <s v="CUST1429"/>
    <x v="0"/>
  </r>
  <r>
    <n v="1080"/>
    <x v="46"/>
    <x v="1"/>
    <x v="1"/>
    <x v="1"/>
    <n v="1"/>
    <n v="2300"/>
    <n v="2300"/>
    <n v="0.1"/>
    <n v="230"/>
    <n v="2070"/>
    <n v="1510"/>
    <n v="560"/>
    <n v="0.27053140096618356"/>
    <x v="2"/>
    <x v="1"/>
    <x v="0"/>
    <x v="7"/>
    <s v="CUST1032"/>
    <x v="2"/>
  </r>
  <r>
    <n v="1081"/>
    <x v="27"/>
    <x v="2"/>
    <x v="1"/>
    <x v="1"/>
    <n v="12"/>
    <n v="2340"/>
    <n v="28080"/>
    <n v="0.15"/>
    <n v="4212"/>
    <n v="23868"/>
    <n v="1640"/>
    <n v="4188"/>
    <n v="0.17546505781799898"/>
    <x v="4"/>
    <x v="1"/>
    <x v="3"/>
    <x v="2"/>
    <s v="CUST1376"/>
    <x v="2"/>
  </r>
  <r>
    <n v="1082"/>
    <x v="286"/>
    <x v="1"/>
    <x v="1"/>
    <x v="1"/>
    <n v="2"/>
    <n v="2270"/>
    <n v="4540"/>
    <n v="0.1"/>
    <n v="454"/>
    <n v="4086"/>
    <n v="1690"/>
    <n v="706"/>
    <n v="0.1727851199216838"/>
    <x v="1"/>
    <x v="1"/>
    <x v="1"/>
    <x v="6"/>
    <s v="CUST1199"/>
    <x v="1"/>
  </r>
  <r>
    <n v="1083"/>
    <x v="179"/>
    <x v="5"/>
    <x v="3"/>
    <x v="1"/>
    <n v="1"/>
    <n v="2120"/>
    <n v="2120"/>
    <n v="0"/>
    <n v="0"/>
    <n v="2120"/>
    <n v="1300"/>
    <n v="820"/>
    <n v="0.3867924528301887"/>
    <x v="3"/>
    <x v="1"/>
    <x v="3"/>
    <x v="8"/>
    <s v="CUST1147"/>
    <x v="2"/>
  </r>
  <r>
    <n v="1084"/>
    <x v="197"/>
    <x v="0"/>
    <x v="1"/>
    <x v="0"/>
    <n v="4"/>
    <n v="210"/>
    <n v="840"/>
    <n v="0"/>
    <n v="0"/>
    <n v="840"/>
    <n v="150"/>
    <n v="240"/>
    <n v="0.2857142857142857"/>
    <x v="1"/>
    <x v="1"/>
    <x v="1"/>
    <x v="3"/>
    <s v="CUST1054"/>
    <x v="0"/>
  </r>
  <r>
    <n v="1085"/>
    <x v="147"/>
    <x v="1"/>
    <x v="2"/>
    <x v="1"/>
    <n v="1"/>
    <n v="1910"/>
    <n v="1910"/>
    <n v="0.02"/>
    <n v="38.200000000000003"/>
    <n v="1871.8"/>
    <n v="1310"/>
    <n v="561.79999999999995"/>
    <n v="0.30013890372903085"/>
    <x v="1"/>
    <x v="1"/>
    <x v="2"/>
    <x v="9"/>
    <s v="CUST1399"/>
    <x v="3"/>
  </r>
  <r>
    <n v="1086"/>
    <x v="47"/>
    <x v="3"/>
    <x v="3"/>
    <x v="0"/>
    <n v="6"/>
    <n v="200"/>
    <n v="1200"/>
    <n v="0"/>
    <n v="0"/>
    <n v="1200"/>
    <n v="130"/>
    <n v="420"/>
    <n v="0.35"/>
    <x v="3"/>
    <x v="3"/>
    <x v="2"/>
    <x v="2"/>
    <s v="CUST1385"/>
    <x v="3"/>
  </r>
  <r>
    <n v="1087"/>
    <x v="329"/>
    <x v="2"/>
    <x v="3"/>
    <x v="1"/>
    <n v="9"/>
    <n v="2040"/>
    <n v="18360"/>
    <n v="0.05"/>
    <n v="918"/>
    <n v="17442"/>
    <n v="1560"/>
    <n v="3402"/>
    <n v="0.19504643962848298"/>
    <x v="4"/>
    <x v="1"/>
    <x v="2"/>
    <x v="1"/>
    <s v="CUST1034"/>
    <x v="3"/>
  </r>
  <r>
    <n v="1088"/>
    <x v="270"/>
    <x v="5"/>
    <x v="1"/>
    <x v="3"/>
    <n v="10"/>
    <n v="1620"/>
    <n v="16200"/>
    <n v="0"/>
    <n v="0"/>
    <n v="16200"/>
    <n v="960"/>
    <n v="6600"/>
    <n v="0.40740740740740738"/>
    <x v="1"/>
    <x v="1"/>
    <x v="2"/>
    <x v="3"/>
    <s v="CUST1122"/>
    <x v="2"/>
  </r>
  <r>
    <n v="1089"/>
    <x v="63"/>
    <x v="1"/>
    <x v="3"/>
    <x v="4"/>
    <n v="3"/>
    <n v="310"/>
    <n v="930"/>
    <n v="0.02"/>
    <n v="18.600000000000001"/>
    <n v="911.4"/>
    <n v="210"/>
    <n v="281.39999999999998"/>
    <n v="0.30875576036866359"/>
    <x v="4"/>
    <x v="1"/>
    <x v="0"/>
    <x v="2"/>
    <s v="CUST1131"/>
    <x v="2"/>
  </r>
  <r>
    <n v="1090"/>
    <x v="192"/>
    <x v="5"/>
    <x v="0"/>
    <x v="2"/>
    <n v="3"/>
    <n v="1270"/>
    <n v="3810"/>
    <n v="0.05"/>
    <n v="190.5"/>
    <n v="3619.5"/>
    <n v="1030"/>
    <n v="529.5"/>
    <n v="0.1462909241607957"/>
    <x v="0"/>
    <x v="1"/>
    <x v="3"/>
    <x v="1"/>
    <s v="CUST1352"/>
    <x v="0"/>
  </r>
  <r>
    <n v="1091"/>
    <x v="214"/>
    <x v="2"/>
    <x v="2"/>
    <x v="5"/>
    <n v="8"/>
    <n v="210"/>
    <n v="1680"/>
    <n v="0"/>
    <n v="0"/>
    <n v="1680"/>
    <n v="130"/>
    <n v="640"/>
    <n v="0.38095238095238093"/>
    <x v="0"/>
    <x v="2"/>
    <x v="0"/>
    <x v="8"/>
    <s v="CUST1322"/>
    <x v="2"/>
  </r>
  <r>
    <n v="1092"/>
    <x v="37"/>
    <x v="3"/>
    <x v="0"/>
    <x v="1"/>
    <n v="5"/>
    <n v="1920"/>
    <n v="9600"/>
    <n v="0.15"/>
    <n v="1440"/>
    <n v="8160"/>
    <n v="1430"/>
    <n v="1010"/>
    <n v="0.12377450980392157"/>
    <x v="0"/>
    <x v="1"/>
    <x v="3"/>
    <x v="7"/>
    <s v="CUST1448"/>
    <x v="0"/>
  </r>
  <r>
    <n v="1093"/>
    <x v="35"/>
    <x v="0"/>
    <x v="3"/>
    <x v="3"/>
    <n v="12"/>
    <n v="1400"/>
    <n v="16800"/>
    <n v="0.15"/>
    <n v="2520"/>
    <n v="14280"/>
    <n v="900"/>
    <n v="3480"/>
    <n v="0.24369747899159663"/>
    <x v="3"/>
    <x v="1"/>
    <x v="3"/>
    <x v="5"/>
    <s v="CUST1079"/>
    <x v="3"/>
  </r>
  <r>
    <n v="1094"/>
    <x v="296"/>
    <x v="0"/>
    <x v="2"/>
    <x v="0"/>
    <n v="3"/>
    <n v="240"/>
    <n v="720"/>
    <n v="0.05"/>
    <n v="36"/>
    <n v="684"/>
    <n v="170"/>
    <n v="174"/>
    <n v="0.25438596491228072"/>
    <x v="4"/>
    <x v="1"/>
    <x v="0"/>
    <x v="4"/>
    <s v="CUST1499"/>
    <x v="0"/>
  </r>
  <r>
    <n v="1095"/>
    <x v="355"/>
    <x v="0"/>
    <x v="3"/>
    <x v="5"/>
    <n v="12"/>
    <n v="210"/>
    <n v="2520"/>
    <n v="0"/>
    <n v="0"/>
    <n v="2520"/>
    <n v="140"/>
    <n v="840"/>
    <n v="0.33333333333333331"/>
    <x v="0"/>
    <x v="1"/>
    <x v="0"/>
    <x v="3"/>
    <s v="CUST1222"/>
    <x v="2"/>
  </r>
  <r>
    <n v="1096"/>
    <x v="357"/>
    <x v="1"/>
    <x v="0"/>
    <x v="0"/>
    <n v="1"/>
    <n v="200"/>
    <n v="200"/>
    <n v="0.02"/>
    <n v="4"/>
    <n v="196"/>
    <n v="130"/>
    <n v="66"/>
    <n v="0.33673469387755101"/>
    <x v="4"/>
    <x v="1"/>
    <x v="1"/>
    <x v="3"/>
    <s v="CUST1484"/>
    <x v="0"/>
  </r>
  <r>
    <n v="1097"/>
    <x v="328"/>
    <x v="5"/>
    <x v="3"/>
    <x v="1"/>
    <n v="4"/>
    <n v="2010"/>
    <n v="8040"/>
    <n v="0"/>
    <n v="0"/>
    <n v="8040"/>
    <n v="1310"/>
    <n v="2800"/>
    <n v="0.34825870646766172"/>
    <x v="0"/>
    <x v="2"/>
    <x v="1"/>
    <x v="9"/>
    <s v="CUST1434"/>
    <x v="1"/>
  </r>
  <r>
    <n v="1098"/>
    <x v="80"/>
    <x v="0"/>
    <x v="1"/>
    <x v="1"/>
    <n v="7"/>
    <n v="2170"/>
    <n v="15190"/>
    <n v="0.15"/>
    <n v="2278.5"/>
    <n v="12911.5"/>
    <n v="1460"/>
    <n v="2691.5"/>
    <n v="0.2084575765790187"/>
    <x v="2"/>
    <x v="0"/>
    <x v="1"/>
    <x v="5"/>
    <s v="CUST1304"/>
    <x v="3"/>
  </r>
  <r>
    <n v="1099"/>
    <x v="272"/>
    <x v="5"/>
    <x v="3"/>
    <x v="2"/>
    <n v="12"/>
    <n v="1150"/>
    <n v="13800"/>
    <n v="0"/>
    <n v="0"/>
    <n v="13800"/>
    <n v="690"/>
    <n v="5520"/>
    <n v="0.4"/>
    <x v="4"/>
    <x v="1"/>
    <x v="1"/>
    <x v="5"/>
    <s v="CUST1023"/>
    <x v="1"/>
  </r>
  <r>
    <n v="1100"/>
    <x v="195"/>
    <x v="0"/>
    <x v="3"/>
    <x v="5"/>
    <n v="7"/>
    <n v="190"/>
    <n v="1330"/>
    <n v="0.05"/>
    <n v="66.5"/>
    <n v="1263.5"/>
    <n v="150"/>
    <n v="213.5"/>
    <n v="0.16897506925207756"/>
    <x v="0"/>
    <x v="1"/>
    <x v="3"/>
    <x v="6"/>
    <s v="CUST1369"/>
    <x v="3"/>
  </r>
  <r>
    <n v="1101"/>
    <x v="362"/>
    <x v="1"/>
    <x v="3"/>
    <x v="5"/>
    <n v="11"/>
    <n v="200"/>
    <n v="2200"/>
    <n v="0.15"/>
    <n v="330"/>
    <n v="1870"/>
    <n v="130"/>
    <n v="440"/>
    <n v="0.23529411764705882"/>
    <x v="1"/>
    <x v="1"/>
    <x v="2"/>
    <x v="0"/>
    <s v="CUST1219"/>
    <x v="3"/>
  </r>
  <r>
    <n v="1102"/>
    <x v="287"/>
    <x v="2"/>
    <x v="1"/>
    <x v="4"/>
    <n v="8"/>
    <n v="290"/>
    <n v="2320"/>
    <n v="0.1"/>
    <n v="232"/>
    <n v="2088"/>
    <n v="170"/>
    <n v="728"/>
    <n v="0.34865900383141762"/>
    <x v="1"/>
    <x v="1"/>
    <x v="3"/>
    <x v="6"/>
    <s v="CUST1386"/>
    <x v="0"/>
  </r>
  <r>
    <n v="1103"/>
    <x v="149"/>
    <x v="1"/>
    <x v="1"/>
    <x v="4"/>
    <n v="6"/>
    <n v="330"/>
    <n v="1980"/>
    <n v="0"/>
    <n v="0"/>
    <n v="1980"/>
    <n v="240"/>
    <n v="540"/>
    <n v="0.27272727272727271"/>
    <x v="4"/>
    <x v="2"/>
    <x v="1"/>
    <x v="4"/>
    <s v="CUST1004"/>
    <x v="3"/>
  </r>
  <r>
    <n v="1104"/>
    <x v="21"/>
    <x v="5"/>
    <x v="0"/>
    <x v="0"/>
    <n v="8"/>
    <n v="210"/>
    <n v="1680"/>
    <n v="0"/>
    <n v="0"/>
    <n v="1680"/>
    <n v="120"/>
    <n v="720"/>
    <n v="0.42857142857142855"/>
    <x v="4"/>
    <x v="1"/>
    <x v="3"/>
    <x v="3"/>
    <s v="CUST1065"/>
    <x v="2"/>
  </r>
  <r>
    <n v="1105"/>
    <x v="126"/>
    <x v="1"/>
    <x v="0"/>
    <x v="2"/>
    <n v="8"/>
    <n v="1360"/>
    <n v="10880"/>
    <n v="0"/>
    <n v="0"/>
    <n v="10880"/>
    <n v="840"/>
    <n v="4160"/>
    <n v="0.38235294117647056"/>
    <x v="2"/>
    <x v="2"/>
    <x v="0"/>
    <x v="5"/>
    <s v="CUST1164"/>
    <x v="3"/>
  </r>
  <r>
    <n v="1106"/>
    <x v="290"/>
    <x v="1"/>
    <x v="0"/>
    <x v="5"/>
    <n v="6"/>
    <n v="210"/>
    <n v="1260"/>
    <n v="0"/>
    <n v="0"/>
    <n v="1260"/>
    <n v="170"/>
    <n v="240"/>
    <n v="0.19047619047619047"/>
    <x v="1"/>
    <x v="0"/>
    <x v="0"/>
    <x v="4"/>
    <s v="CUST1014"/>
    <x v="3"/>
  </r>
  <r>
    <n v="1107"/>
    <x v="144"/>
    <x v="5"/>
    <x v="0"/>
    <x v="5"/>
    <n v="7"/>
    <n v="200"/>
    <n v="1400"/>
    <n v="0.05"/>
    <n v="70"/>
    <n v="1330"/>
    <n v="130"/>
    <n v="420"/>
    <n v="0.31578947368421051"/>
    <x v="0"/>
    <x v="1"/>
    <x v="0"/>
    <x v="5"/>
    <s v="CUST1260"/>
    <x v="2"/>
  </r>
  <r>
    <n v="1108"/>
    <x v="152"/>
    <x v="1"/>
    <x v="3"/>
    <x v="3"/>
    <n v="7"/>
    <n v="1650"/>
    <n v="11550"/>
    <n v="0"/>
    <n v="0"/>
    <n v="11550"/>
    <n v="1340"/>
    <n v="2170"/>
    <n v="0.18787878787878787"/>
    <x v="4"/>
    <x v="3"/>
    <x v="0"/>
    <x v="2"/>
    <s v="CUST1415"/>
    <x v="0"/>
  </r>
  <r>
    <n v="1109"/>
    <x v="27"/>
    <x v="0"/>
    <x v="3"/>
    <x v="5"/>
    <n v="12"/>
    <n v="180"/>
    <n v="2160"/>
    <n v="0.02"/>
    <n v="43.2"/>
    <n v="2116.8000000000002"/>
    <n v="150"/>
    <n v="316.80000000000018"/>
    <n v="0.14965986394557831"/>
    <x v="3"/>
    <x v="1"/>
    <x v="1"/>
    <x v="4"/>
    <s v="CUST1030"/>
    <x v="1"/>
  </r>
  <r>
    <n v="1110"/>
    <x v="121"/>
    <x v="4"/>
    <x v="0"/>
    <x v="3"/>
    <n v="4"/>
    <n v="1590"/>
    <n v="6360"/>
    <n v="0.15"/>
    <n v="954"/>
    <n v="5406"/>
    <n v="930"/>
    <n v="1686"/>
    <n v="0.31187569367369589"/>
    <x v="2"/>
    <x v="1"/>
    <x v="1"/>
    <x v="7"/>
    <s v="CUST1465"/>
    <x v="3"/>
  </r>
  <r>
    <n v="1111"/>
    <x v="0"/>
    <x v="1"/>
    <x v="1"/>
    <x v="5"/>
    <n v="3"/>
    <n v="180"/>
    <n v="540"/>
    <n v="0.1"/>
    <n v="54"/>
    <n v="486"/>
    <n v="130"/>
    <n v="96"/>
    <n v="0.19753086419753085"/>
    <x v="4"/>
    <x v="2"/>
    <x v="0"/>
    <x v="6"/>
    <s v="CUST1159"/>
    <x v="2"/>
  </r>
  <r>
    <n v="1112"/>
    <x v="18"/>
    <x v="4"/>
    <x v="0"/>
    <x v="3"/>
    <n v="12"/>
    <n v="1460"/>
    <n v="17520"/>
    <n v="0"/>
    <n v="0"/>
    <n v="17520"/>
    <n v="980"/>
    <n v="5760"/>
    <n v="0.32876712328767121"/>
    <x v="0"/>
    <x v="1"/>
    <x v="1"/>
    <x v="4"/>
    <s v="CUST1163"/>
    <x v="1"/>
  </r>
  <r>
    <n v="1113"/>
    <x v="241"/>
    <x v="3"/>
    <x v="0"/>
    <x v="3"/>
    <n v="6"/>
    <n v="1610"/>
    <n v="9660"/>
    <n v="0"/>
    <n v="0"/>
    <n v="9660"/>
    <n v="1090"/>
    <n v="3120"/>
    <n v="0.32298136645962733"/>
    <x v="2"/>
    <x v="1"/>
    <x v="2"/>
    <x v="6"/>
    <s v="CUST1214"/>
    <x v="0"/>
  </r>
  <r>
    <n v="1114"/>
    <x v="287"/>
    <x v="2"/>
    <x v="2"/>
    <x v="4"/>
    <n v="6"/>
    <n v="340"/>
    <n v="2040"/>
    <n v="0.02"/>
    <n v="40.800000000000004"/>
    <n v="1999.2"/>
    <n v="280"/>
    <n v="319.20000000000005"/>
    <n v="0.1596638655462185"/>
    <x v="0"/>
    <x v="1"/>
    <x v="1"/>
    <x v="9"/>
    <s v="CUST1325"/>
    <x v="0"/>
  </r>
  <r>
    <n v="1115"/>
    <x v="320"/>
    <x v="5"/>
    <x v="0"/>
    <x v="5"/>
    <n v="11"/>
    <n v="200"/>
    <n v="2200"/>
    <n v="0.15"/>
    <n v="330"/>
    <n v="1870"/>
    <n v="140"/>
    <n v="330"/>
    <n v="0.17647058823529413"/>
    <x v="4"/>
    <x v="1"/>
    <x v="2"/>
    <x v="0"/>
    <s v="CUST1373"/>
    <x v="3"/>
  </r>
  <r>
    <n v="1116"/>
    <x v="49"/>
    <x v="0"/>
    <x v="0"/>
    <x v="1"/>
    <n v="3"/>
    <n v="2380"/>
    <n v="7140"/>
    <n v="0"/>
    <n v="0"/>
    <n v="7140"/>
    <n v="1770"/>
    <n v="1830"/>
    <n v="0.25630252100840334"/>
    <x v="1"/>
    <x v="1"/>
    <x v="3"/>
    <x v="0"/>
    <s v="CUST1472"/>
    <x v="0"/>
  </r>
  <r>
    <n v="1117"/>
    <x v="207"/>
    <x v="5"/>
    <x v="1"/>
    <x v="4"/>
    <n v="9"/>
    <n v="330"/>
    <n v="2970"/>
    <n v="0"/>
    <n v="0"/>
    <n v="2970"/>
    <n v="250"/>
    <n v="720"/>
    <n v="0.24242424242424243"/>
    <x v="3"/>
    <x v="0"/>
    <x v="2"/>
    <x v="4"/>
    <s v="CUST1016"/>
    <x v="1"/>
  </r>
  <r>
    <n v="1118"/>
    <x v="185"/>
    <x v="4"/>
    <x v="1"/>
    <x v="0"/>
    <n v="3"/>
    <n v="190"/>
    <n v="570"/>
    <n v="0"/>
    <n v="0"/>
    <n v="570"/>
    <n v="150"/>
    <n v="120"/>
    <n v="0.21052631578947367"/>
    <x v="1"/>
    <x v="1"/>
    <x v="1"/>
    <x v="9"/>
    <s v="CUST1216"/>
    <x v="2"/>
  </r>
  <r>
    <n v="1119"/>
    <x v="281"/>
    <x v="2"/>
    <x v="2"/>
    <x v="3"/>
    <n v="3"/>
    <n v="1420"/>
    <n v="4260"/>
    <n v="0.15"/>
    <n v="639"/>
    <n v="3621"/>
    <n v="1040"/>
    <n v="501"/>
    <n v="0.13835956917978459"/>
    <x v="4"/>
    <x v="1"/>
    <x v="2"/>
    <x v="5"/>
    <s v="CUST1377"/>
    <x v="1"/>
  </r>
  <r>
    <n v="1120"/>
    <x v="189"/>
    <x v="0"/>
    <x v="0"/>
    <x v="4"/>
    <n v="4"/>
    <n v="320"/>
    <n v="1280"/>
    <n v="0.15"/>
    <n v="192"/>
    <n v="1088"/>
    <n v="210"/>
    <n v="248"/>
    <n v="0.22794117647058823"/>
    <x v="3"/>
    <x v="1"/>
    <x v="1"/>
    <x v="9"/>
    <s v="CUST1181"/>
    <x v="2"/>
  </r>
  <r>
    <n v="1121"/>
    <x v="92"/>
    <x v="0"/>
    <x v="0"/>
    <x v="1"/>
    <n v="6"/>
    <n v="2300"/>
    <n v="13800"/>
    <n v="0.05"/>
    <n v="690"/>
    <n v="13110"/>
    <n v="1440"/>
    <n v="4470"/>
    <n v="0.34096109839816935"/>
    <x v="0"/>
    <x v="1"/>
    <x v="2"/>
    <x v="5"/>
    <s v="CUST1096"/>
    <x v="3"/>
  </r>
  <r>
    <n v="1122"/>
    <x v="7"/>
    <x v="0"/>
    <x v="3"/>
    <x v="5"/>
    <n v="10"/>
    <n v="210"/>
    <n v="2100"/>
    <n v="0"/>
    <n v="0"/>
    <n v="2100"/>
    <n v="130"/>
    <n v="800"/>
    <n v="0.38095238095238093"/>
    <x v="4"/>
    <x v="1"/>
    <x v="2"/>
    <x v="5"/>
    <s v="CUST1240"/>
    <x v="2"/>
  </r>
  <r>
    <n v="1123"/>
    <x v="334"/>
    <x v="1"/>
    <x v="0"/>
    <x v="1"/>
    <n v="9"/>
    <n v="2380"/>
    <n v="21420"/>
    <n v="0.05"/>
    <n v="1071"/>
    <n v="20349"/>
    <n v="1590"/>
    <n v="6039"/>
    <n v="0.29677134011499334"/>
    <x v="4"/>
    <x v="1"/>
    <x v="2"/>
    <x v="6"/>
    <s v="CUST1265"/>
    <x v="0"/>
  </r>
  <r>
    <n v="1124"/>
    <x v="185"/>
    <x v="1"/>
    <x v="1"/>
    <x v="4"/>
    <n v="7"/>
    <n v="280"/>
    <n v="1960"/>
    <n v="0.1"/>
    <n v="196"/>
    <n v="1764"/>
    <n v="170"/>
    <n v="574"/>
    <n v="0.32539682539682541"/>
    <x v="3"/>
    <x v="1"/>
    <x v="3"/>
    <x v="5"/>
    <s v="CUST1493"/>
    <x v="2"/>
  </r>
  <r>
    <n v="1125"/>
    <x v="234"/>
    <x v="5"/>
    <x v="2"/>
    <x v="4"/>
    <n v="1"/>
    <n v="320"/>
    <n v="320"/>
    <n v="0.05"/>
    <n v="16"/>
    <n v="304"/>
    <n v="220"/>
    <n v="84"/>
    <n v="0.27631578947368424"/>
    <x v="4"/>
    <x v="1"/>
    <x v="1"/>
    <x v="7"/>
    <s v="CUST1316"/>
    <x v="3"/>
  </r>
  <r>
    <n v="1126"/>
    <x v="9"/>
    <x v="5"/>
    <x v="0"/>
    <x v="1"/>
    <n v="12"/>
    <n v="2100"/>
    <n v="25200"/>
    <n v="0"/>
    <n v="0"/>
    <n v="25200"/>
    <n v="1520"/>
    <n v="6960"/>
    <n v="0.27619047619047621"/>
    <x v="4"/>
    <x v="1"/>
    <x v="3"/>
    <x v="1"/>
    <s v="CUST1031"/>
    <x v="0"/>
  </r>
  <r>
    <n v="1127"/>
    <x v="264"/>
    <x v="5"/>
    <x v="0"/>
    <x v="3"/>
    <n v="2"/>
    <n v="1580"/>
    <n v="3160"/>
    <n v="0.1"/>
    <n v="316"/>
    <n v="2844"/>
    <n v="1060"/>
    <n v="724"/>
    <n v="0.25457102672292548"/>
    <x v="2"/>
    <x v="1"/>
    <x v="1"/>
    <x v="9"/>
    <s v="CUST1013"/>
    <x v="2"/>
  </r>
  <r>
    <n v="1128"/>
    <x v="153"/>
    <x v="1"/>
    <x v="0"/>
    <x v="1"/>
    <n v="5"/>
    <n v="2040"/>
    <n v="10200"/>
    <n v="0.15"/>
    <n v="1530"/>
    <n v="8670"/>
    <n v="1220"/>
    <n v="2570"/>
    <n v="0.2964244521337947"/>
    <x v="0"/>
    <x v="3"/>
    <x v="3"/>
    <x v="5"/>
    <s v="CUST1068"/>
    <x v="0"/>
  </r>
  <r>
    <n v="1129"/>
    <x v="96"/>
    <x v="5"/>
    <x v="0"/>
    <x v="0"/>
    <n v="6"/>
    <n v="220"/>
    <n v="1320"/>
    <n v="0.15"/>
    <n v="198"/>
    <n v="1122"/>
    <n v="160"/>
    <n v="162"/>
    <n v="0.14438502673796791"/>
    <x v="0"/>
    <x v="0"/>
    <x v="3"/>
    <x v="4"/>
    <s v="CUST1410"/>
    <x v="0"/>
  </r>
  <r>
    <n v="1130"/>
    <x v="44"/>
    <x v="2"/>
    <x v="0"/>
    <x v="3"/>
    <n v="11"/>
    <n v="1520"/>
    <n v="16720"/>
    <n v="0.02"/>
    <n v="334.40000000000003"/>
    <n v="16385.599999999999"/>
    <n v="1150"/>
    <n v="3735.5999999999985"/>
    <n v="0.22798066595059069"/>
    <x v="0"/>
    <x v="1"/>
    <x v="2"/>
    <x v="9"/>
    <s v="CUST1461"/>
    <x v="1"/>
  </r>
  <r>
    <n v="1131"/>
    <x v="157"/>
    <x v="3"/>
    <x v="3"/>
    <x v="3"/>
    <n v="5"/>
    <n v="1480"/>
    <n v="7400"/>
    <n v="0"/>
    <n v="0"/>
    <n v="7400"/>
    <n v="1150"/>
    <n v="1650"/>
    <n v="0.22297297297297297"/>
    <x v="2"/>
    <x v="1"/>
    <x v="3"/>
    <x v="4"/>
    <s v="CUST1293"/>
    <x v="0"/>
  </r>
  <r>
    <n v="1132"/>
    <x v="183"/>
    <x v="0"/>
    <x v="1"/>
    <x v="5"/>
    <n v="1"/>
    <n v="210"/>
    <n v="210"/>
    <n v="0.02"/>
    <n v="4.2"/>
    <n v="205.8"/>
    <n v="160"/>
    <n v="45.800000000000011"/>
    <n v="0.22254616132167157"/>
    <x v="3"/>
    <x v="1"/>
    <x v="1"/>
    <x v="2"/>
    <s v="CUST1095"/>
    <x v="2"/>
  </r>
  <r>
    <n v="1133"/>
    <x v="139"/>
    <x v="1"/>
    <x v="3"/>
    <x v="5"/>
    <n v="6"/>
    <n v="210"/>
    <n v="1260"/>
    <n v="0"/>
    <n v="0"/>
    <n v="1260"/>
    <n v="120"/>
    <n v="540"/>
    <n v="0.42857142857142855"/>
    <x v="1"/>
    <x v="1"/>
    <x v="0"/>
    <x v="7"/>
    <s v="CUST1402"/>
    <x v="1"/>
  </r>
  <r>
    <n v="1134"/>
    <x v="92"/>
    <x v="1"/>
    <x v="3"/>
    <x v="0"/>
    <n v="2"/>
    <n v="240"/>
    <n v="480"/>
    <n v="0.1"/>
    <n v="48"/>
    <n v="432"/>
    <n v="160"/>
    <n v="112"/>
    <n v="0.25925925925925924"/>
    <x v="1"/>
    <x v="1"/>
    <x v="3"/>
    <x v="5"/>
    <s v="CUST1384"/>
    <x v="3"/>
  </r>
  <r>
    <n v="1135"/>
    <x v="231"/>
    <x v="1"/>
    <x v="1"/>
    <x v="0"/>
    <n v="6"/>
    <n v="210"/>
    <n v="1260"/>
    <n v="0.1"/>
    <n v="126"/>
    <n v="1134"/>
    <n v="120"/>
    <n v="414"/>
    <n v="0.36507936507936506"/>
    <x v="4"/>
    <x v="1"/>
    <x v="1"/>
    <x v="7"/>
    <s v="CUST1244"/>
    <x v="2"/>
  </r>
  <r>
    <n v="1136"/>
    <x v="335"/>
    <x v="5"/>
    <x v="0"/>
    <x v="4"/>
    <n v="7"/>
    <n v="320"/>
    <n v="2240"/>
    <n v="0.05"/>
    <n v="112"/>
    <n v="2128"/>
    <n v="200"/>
    <n v="728"/>
    <n v="0.34210526315789475"/>
    <x v="4"/>
    <x v="1"/>
    <x v="3"/>
    <x v="1"/>
    <s v="CUST1460"/>
    <x v="3"/>
  </r>
  <r>
    <n v="1137"/>
    <x v="324"/>
    <x v="4"/>
    <x v="1"/>
    <x v="4"/>
    <n v="12"/>
    <n v="300"/>
    <n v="3600"/>
    <n v="0.05"/>
    <n v="180"/>
    <n v="3420"/>
    <n v="240"/>
    <n v="540"/>
    <n v="0.15789473684210525"/>
    <x v="1"/>
    <x v="1"/>
    <x v="2"/>
    <x v="5"/>
    <s v="CUST1328"/>
    <x v="2"/>
  </r>
  <r>
    <n v="1138"/>
    <x v="169"/>
    <x v="4"/>
    <x v="1"/>
    <x v="1"/>
    <n v="11"/>
    <n v="2040"/>
    <n v="22440"/>
    <n v="0.02"/>
    <n v="448.8"/>
    <n v="21991.200000000001"/>
    <n v="1330"/>
    <n v="7361.2000000000007"/>
    <n v="0.334733893557423"/>
    <x v="2"/>
    <x v="2"/>
    <x v="3"/>
    <x v="6"/>
    <s v="CUST1210"/>
    <x v="0"/>
  </r>
  <r>
    <n v="1139"/>
    <x v="148"/>
    <x v="1"/>
    <x v="1"/>
    <x v="3"/>
    <n v="4"/>
    <n v="1390"/>
    <n v="5560"/>
    <n v="0.15"/>
    <n v="834"/>
    <n v="4726"/>
    <n v="860"/>
    <n v="1286"/>
    <n v="0.27211172238679643"/>
    <x v="0"/>
    <x v="1"/>
    <x v="0"/>
    <x v="9"/>
    <s v="CUST1466"/>
    <x v="2"/>
  </r>
  <r>
    <n v="1140"/>
    <x v="59"/>
    <x v="5"/>
    <x v="0"/>
    <x v="3"/>
    <n v="5"/>
    <n v="1650"/>
    <n v="8250"/>
    <n v="0.05"/>
    <n v="412.5"/>
    <n v="7837.5"/>
    <n v="1120"/>
    <n v="2237.5"/>
    <n v="0.28548644338118023"/>
    <x v="1"/>
    <x v="1"/>
    <x v="2"/>
    <x v="8"/>
    <s v="CUST1071"/>
    <x v="0"/>
  </r>
  <r>
    <n v="1141"/>
    <x v="67"/>
    <x v="1"/>
    <x v="0"/>
    <x v="2"/>
    <n v="12"/>
    <n v="1320"/>
    <n v="15840"/>
    <n v="0.02"/>
    <n v="316.8"/>
    <n v="15523.2"/>
    <n v="920"/>
    <n v="4483.2000000000007"/>
    <n v="0.28880643166357456"/>
    <x v="4"/>
    <x v="1"/>
    <x v="1"/>
    <x v="8"/>
    <s v="CUST1011"/>
    <x v="2"/>
  </r>
  <r>
    <n v="1142"/>
    <x v="3"/>
    <x v="0"/>
    <x v="1"/>
    <x v="5"/>
    <n v="2"/>
    <n v="200"/>
    <n v="400"/>
    <n v="0.05"/>
    <n v="20"/>
    <n v="380"/>
    <n v="160"/>
    <n v="60"/>
    <n v="0.15789473684210525"/>
    <x v="4"/>
    <x v="1"/>
    <x v="3"/>
    <x v="8"/>
    <s v="CUST1039"/>
    <x v="0"/>
  </r>
  <r>
    <n v="1143"/>
    <x v="194"/>
    <x v="1"/>
    <x v="0"/>
    <x v="5"/>
    <n v="8"/>
    <n v="200"/>
    <n v="1600"/>
    <n v="0"/>
    <n v="0"/>
    <n v="1600"/>
    <n v="120"/>
    <n v="640"/>
    <n v="0.4"/>
    <x v="0"/>
    <x v="1"/>
    <x v="2"/>
    <x v="7"/>
    <s v="CUST1366"/>
    <x v="2"/>
  </r>
  <r>
    <n v="1144"/>
    <x v="277"/>
    <x v="0"/>
    <x v="2"/>
    <x v="0"/>
    <n v="2"/>
    <n v="240"/>
    <n v="480"/>
    <n v="0.05"/>
    <n v="24"/>
    <n v="456"/>
    <n v="190"/>
    <n v="76"/>
    <n v="0.16666666666666666"/>
    <x v="4"/>
    <x v="1"/>
    <x v="1"/>
    <x v="4"/>
    <s v="CUST1062"/>
    <x v="2"/>
  </r>
  <r>
    <n v="1145"/>
    <x v="134"/>
    <x v="2"/>
    <x v="0"/>
    <x v="2"/>
    <n v="3"/>
    <n v="1120"/>
    <n v="3360"/>
    <n v="0.15"/>
    <n v="504"/>
    <n v="2856"/>
    <n v="800"/>
    <n v="456"/>
    <n v="0.15966386554621848"/>
    <x v="3"/>
    <x v="1"/>
    <x v="1"/>
    <x v="6"/>
    <s v="CUST1357"/>
    <x v="3"/>
  </r>
  <r>
    <n v="1146"/>
    <x v="344"/>
    <x v="1"/>
    <x v="0"/>
    <x v="1"/>
    <n v="8"/>
    <n v="2270"/>
    <n v="18160"/>
    <n v="0.05"/>
    <n v="908"/>
    <n v="17252"/>
    <n v="1470"/>
    <n v="5492"/>
    <n v="0.31833990261998607"/>
    <x v="0"/>
    <x v="1"/>
    <x v="2"/>
    <x v="8"/>
    <s v="CUST1297"/>
    <x v="3"/>
  </r>
  <r>
    <n v="1147"/>
    <x v="140"/>
    <x v="0"/>
    <x v="0"/>
    <x v="5"/>
    <n v="1"/>
    <n v="170"/>
    <n v="170"/>
    <n v="0.05"/>
    <n v="8.5"/>
    <n v="161.5"/>
    <n v="110"/>
    <n v="51.5"/>
    <n v="0.31888544891640869"/>
    <x v="3"/>
    <x v="1"/>
    <x v="0"/>
    <x v="5"/>
    <s v="CUST1491"/>
    <x v="0"/>
  </r>
  <r>
    <n v="1148"/>
    <x v="288"/>
    <x v="1"/>
    <x v="1"/>
    <x v="5"/>
    <n v="12"/>
    <n v="210"/>
    <n v="2520"/>
    <n v="0.02"/>
    <n v="50.4"/>
    <n v="2469.6"/>
    <n v="140"/>
    <n v="789.59999999999991"/>
    <n v="0.31972789115646255"/>
    <x v="1"/>
    <x v="1"/>
    <x v="2"/>
    <x v="5"/>
    <s v="CUST1125"/>
    <x v="0"/>
  </r>
  <r>
    <n v="1149"/>
    <x v="23"/>
    <x v="0"/>
    <x v="0"/>
    <x v="0"/>
    <n v="2"/>
    <n v="210"/>
    <n v="420"/>
    <n v="0.05"/>
    <n v="21"/>
    <n v="399"/>
    <n v="130"/>
    <n v="139"/>
    <n v="0.34837092731829572"/>
    <x v="0"/>
    <x v="1"/>
    <x v="2"/>
    <x v="9"/>
    <s v="CUST1176"/>
    <x v="3"/>
  </r>
  <r>
    <n v="1150"/>
    <x v="4"/>
    <x v="5"/>
    <x v="1"/>
    <x v="4"/>
    <n v="8"/>
    <n v="270"/>
    <n v="2160"/>
    <n v="0.02"/>
    <n v="43.2"/>
    <n v="2116.8000000000002"/>
    <n v="190"/>
    <n v="596.80000000000018"/>
    <n v="0.28193499622071055"/>
    <x v="1"/>
    <x v="1"/>
    <x v="1"/>
    <x v="3"/>
    <s v="CUST1046"/>
    <x v="1"/>
  </r>
  <r>
    <n v="1151"/>
    <x v="28"/>
    <x v="5"/>
    <x v="1"/>
    <x v="4"/>
    <n v="3"/>
    <n v="320"/>
    <n v="960"/>
    <n v="0"/>
    <n v="0"/>
    <n v="960"/>
    <n v="250"/>
    <n v="210"/>
    <n v="0.21875"/>
    <x v="3"/>
    <x v="1"/>
    <x v="1"/>
    <x v="3"/>
    <s v="CUST1105"/>
    <x v="2"/>
  </r>
  <r>
    <n v="1152"/>
    <x v="235"/>
    <x v="2"/>
    <x v="0"/>
    <x v="5"/>
    <n v="12"/>
    <n v="190"/>
    <n v="2280"/>
    <n v="0.1"/>
    <n v="228"/>
    <n v="2052"/>
    <n v="120"/>
    <n v="612"/>
    <n v="0.2982456140350877"/>
    <x v="0"/>
    <x v="1"/>
    <x v="3"/>
    <x v="3"/>
    <s v="CUST1005"/>
    <x v="0"/>
  </r>
  <r>
    <n v="1153"/>
    <x v="196"/>
    <x v="4"/>
    <x v="2"/>
    <x v="5"/>
    <n v="7"/>
    <n v="170"/>
    <n v="1190"/>
    <n v="0.1"/>
    <n v="119"/>
    <n v="1071"/>
    <n v="130"/>
    <n v="161"/>
    <n v="0.15032679738562091"/>
    <x v="4"/>
    <x v="1"/>
    <x v="2"/>
    <x v="8"/>
    <s v="CUST1431"/>
    <x v="0"/>
  </r>
  <r>
    <n v="1154"/>
    <x v="173"/>
    <x v="4"/>
    <x v="2"/>
    <x v="4"/>
    <n v="12"/>
    <n v="320"/>
    <n v="3840"/>
    <n v="0"/>
    <n v="0"/>
    <n v="3840"/>
    <n v="250"/>
    <n v="840"/>
    <n v="0.21875"/>
    <x v="1"/>
    <x v="1"/>
    <x v="2"/>
    <x v="7"/>
    <s v="CUST1388"/>
    <x v="2"/>
  </r>
  <r>
    <n v="1155"/>
    <x v="114"/>
    <x v="4"/>
    <x v="1"/>
    <x v="0"/>
    <n v="10"/>
    <n v="190"/>
    <n v="1900"/>
    <n v="0"/>
    <n v="0"/>
    <n v="1900"/>
    <n v="120"/>
    <n v="700"/>
    <n v="0.36842105263157893"/>
    <x v="2"/>
    <x v="1"/>
    <x v="2"/>
    <x v="5"/>
    <s v="CUST1315"/>
    <x v="1"/>
  </r>
  <r>
    <n v="1156"/>
    <x v="97"/>
    <x v="4"/>
    <x v="0"/>
    <x v="3"/>
    <n v="10"/>
    <n v="1580"/>
    <n v="15800"/>
    <n v="0.02"/>
    <n v="316"/>
    <n v="15484"/>
    <n v="1020"/>
    <n v="5284"/>
    <n v="0.34125548953758716"/>
    <x v="4"/>
    <x v="0"/>
    <x v="1"/>
    <x v="5"/>
    <s v="CUST1015"/>
    <x v="0"/>
  </r>
  <r>
    <n v="1157"/>
    <x v="222"/>
    <x v="1"/>
    <x v="1"/>
    <x v="2"/>
    <n v="12"/>
    <n v="1260"/>
    <n v="15120"/>
    <n v="0.02"/>
    <n v="302.40000000000003"/>
    <n v="14817.6"/>
    <n v="770"/>
    <n v="5577.6"/>
    <n v="0.37641723356009071"/>
    <x v="0"/>
    <x v="1"/>
    <x v="2"/>
    <x v="7"/>
    <s v="CUST1070"/>
    <x v="3"/>
  </r>
  <r>
    <n v="1158"/>
    <x v="223"/>
    <x v="1"/>
    <x v="0"/>
    <x v="2"/>
    <n v="11"/>
    <n v="1270"/>
    <n v="13970"/>
    <n v="0.02"/>
    <n v="279.40000000000003"/>
    <n v="13690.6"/>
    <n v="780"/>
    <n v="5110.6000000000004"/>
    <n v="0.37329262413626868"/>
    <x v="1"/>
    <x v="0"/>
    <x v="2"/>
    <x v="3"/>
    <s v="CUST1276"/>
    <x v="1"/>
  </r>
  <r>
    <n v="1159"/>
    <x v="333"/>
    <x v="3"/>
    <x v="3"/>
    <x v="3"/>
    <n v="12"/>
    <n v="1670"/>
    <n v="20040"/>
    <n v="0"/>
    <n v="0"/>
    <n v="20040"/>
    <n v="1180"/>
    <n v="5880"/>
    <n v="0.29341317365269459"/>
    <x v="1"/>
    <x v="1"/>
    <x v="0"/>
    <x v="4"/>
    <s v="CUST1043"/>
    <x v="3"/>
  </r>
  <r>
    <n v="1160"/>
    <x v="90"/>
    <x v="0"/>
    <x v="3"/>
    <x v="4"/>
    <n v="3"/>
    <n v="310"/>
    <n v="930"/>
    <n v="0.15"/>
    <n v="139.5"/>
    <n v="790.5"/>
    <n v="200"/>
    <n v="190.5"/>
    <n v="0.24098671726755219"/>
    <x v="0"/>
    <x v="1"/>
    <x v="2"/>
    <x v="8"/>
    <s v="CUST1001"/>
    <x v="2"/>
  </r>
  <r>
    <n v="1161"/>
    <x v="44"/>
    <x v="1"/>
    <x v="0"/>
    <x v="3"/>
    <n v="8"/>
    <n v="1410"/>
    <n v="11280"/>
    <n v="0.05"/>
    <n v="564"/>
    <n v="10716"/>
    <n v="920"/>
    <n v="3356"/>
    <n v="0.31317655841731989"/>
    <x v="0"/>
    <x v="1"/>
    <x v="3"/>
    <x v="1"/>
    <s v="CUST1340"/>
    <x v="1"/>
  </r>
  <r>
    <n v="1162"/>
    <x v="259"/>
    <x v="1"/>
    <x v="0"/>
    <x v="5"/>
    <n v="2"/>
    <n v="200"/>
    <n v="400"/>
    <n v="0.1"/>
    <n v="40"/>
    <n v="360"/>
    <n v="140"/>
    <n v="80"/>
    <n v="0.22222222222222221"/>
    <x v="2"/>
    <x v="1"/>
    <x v="3"/>
    <x v="4"/>
    <s v="CUST1156"/>
    <x v="1"/>
  </r>
  <r>
    <n v="1163"/>
    <x v="270"/>
    <x v="1"/>
    <x v="2"/>
    <x v="5"/>
    <n v="10"/>
    <n v="220"/>
    <n v="2200"/>
    <n v="0"/>
    <n v="0"/>
    <n v="2200"/>
    <n v="160"/>
    <n v="600"/>
    <n v="0.27272727272727271"/>
    <x v="0"/>
    <x v="1"/>
    <x v="1"/>
    <x v="1"/>
    <s v="CUST1283"/>
    <x v="0"/>
  </r>
  <r>
    <n v="1164"/>
    <x v="259"/>
    <x v="1"/>
    <x v="0"/>
    <x v="5"/>
    <n v="8"/>
    <n v="220"/>
    <n v="1760"/>
    <n v="0.1"/>
    <n v="176"/>
    <n v="1584"/>
    <n v="140"/>
    <n v="464"/>
    <n v="0.29292929292929293"/>
    <x v="3"/>
    <x v="1"/>
    <x v="2"/>
    <x v="5"/>
    <s v="CUST1398"/>
    <x v="1"/>
  </r>
  <r>
    <n v="1165"/>
    <x v="273"/>
    <x v="3"/>
    <x v="0"/>
    <x v="2"/>
    <n v="9"/>
    <n v="1220"/>
    <n v="10980"/>
    <n v="0.05"/>
    <n v="549"/>
    <n v="10431"/>
    <n v="810"/>
    <n v="3141"/>
    <n v="0.30112165660051771"/>
    <x v="3"/>
    <x v="1"/>
    <x v="0"/>
    <x v="1"/>
    <s v="CUST1231"/>
    <x v="1"/>
  </r>
  <r>
    <n v="1166"/>
    <x v="305"/>
    <x v="2"/>
    <x v="1"/>
    <x v="3"/>
    <n v="1"/>
    <n v="1630"/>
    <n v="1630"/>
    <n v="0"/>
    <n v="0"/>
    <n v="1630"/>
    <n v="1060"/>
    <n v="570"/>
    <n v="0.34969325153374231"/>
    <x v="3"/>
    <x v="1"/>
    <x v="3"/>
    <x v="7"/>
    <s v="CUST1371"/>
    <x v="3"/>
  </r>
  <r>
    <n v="1167"/>
    <x v="302"/>
    <x v="5"/>
    <x v="2"/>
    <x v="2"/>
    <n v="10"/>
    <n v="1350"/>
    <n v="13500"/>
    <n v="0.05"/>
    <n v="675"/>
    <n v="12825"/>
    <n v="1100"/>
    <n v="1825"/>
    <n v="0.14230019493177387"/>
    <x v="3"/>
    <x v="3"/>
    <x v="3"/>
    <x v="3"/>
    <s v="CUST1012"/>
    <x v="1"/>
  </r>
  <r>
    <n v="1168"/>
    <x v="41"/>
    <x v="2"/>
    <x v="0"/>
    <x v="0"/>
    <n v="3"/>
    <n v="200"/>
    <n v="600"/>
    <n v="0.1"/>
    <n v="60"/>
    <n v="540"/>
    <n v="160"/>
    <n v="60"/>
    <n v="0.1111111111111111"/>
    <x v="4"/>
    <x v="1"/>
    <x v="3"/>
    <x v="6"/>
    <s v="CUST1358"/>
    <x v="2"/>
  </r>
  <r>
    <n v="1169"/>
    <x v="243"/>
    <x v="0"/>
    <x v="1"/>
    <x v="3"/>
    <n v="1"/>
    <n v="1660"/>
    <n v="1660"/>
    <n v="0.05"/>
    <n v="83"/>
    <n v="1577"/>
    <n v="1150"/>
    <n v="427"/>
    <n v="0.27076727964489539"/>
    <x v="2"/>
    <x v="1"/>
    <x v="3"/>
    <x v="2"/>
    <s v="CUST1124"/>
    <x v="2"/>
  </r>
  <r>
    <n v="1170"/>
    <x v="81"/>
    <x v="1"/>
    <x v="0"/>
    <x v="4"/>
    <n v="5"/>
    <n v="320"/>
    <n v="1600"/>
    <n v="0"/>
    <n v="0"/>
    <n v="1600"/>
    <n v="220"/>
    <n v="500"/>
    <n v="0.3125"/>
    <x v="2"/>
    <x v="1"/>
    <x v="2"/>
    <x v="1"/>
    <s v="CUST1498"/>
    <x v="3"/>
  </r>
  <r>
    <n v="1171"/>
    <x v="272"/>
    <x v="0"/>
    <x v="1"/>
    <x v="4"/>
    <n v="9"/>
    <n v="340"/>
    <n v="3060"/>
    <n v="0"/>
    <n v="0"/>
    <n v="3060"/>
    <n v="270"/>
    <n v="630"/>
    <n v="0.20588235294117646"/>
    <x v="1"/>
    <x v="1"/>
    <x v="1"/>
    <x v="3"/>
    <s v="CUST1249"/>
    <x v="0"/>
  </r>
  <r>
    <n v="1172"/>
    <x v="257"/>
    <x v="0"/>
    <x v="0"/>
    <x v="5"/>
    <n v="9"/>
    <n v="210"/>
    <n v="1890"/>
    <n v="0.1"/>
    <n v="189"/>
    <n v="1701"/>
    <n v="150"/>
    <n v="351"/>
    <n v="0.20634920634920634"/>
    <x v="4"/>
    <x v="1"/>
    <x v="2"/>
    <x v="2"/>
    <s v="CUST1418"/>
    <x v="3"/>
  </r>
  <r>
    <n v="1173"/>
    <x v="103"/>
    <x v="0"/>
    <x v="0"/>
    <x v="3"/>
    <n v="9"/>
    <n v="1610"/>
    <n v="14490"/>
    <n v="0.1"/>
    <n v="1449"/>
    <n v="13041"/>
    <n v="1000"/>
    <n v="4041"/>
    <n v="0.30986887508626637"/>
    <x v="0"/>
    <x v="1"/>
    <x v="3"/>
    <x v="0"/>
    <s v="CUST1331"/>
    <x v="2"/>
  </r>
  <r>
    <n v="1174"/>
    <x v="85"/>
    <x v="1"/>
    <x v="0"/>
    <x v="1"/>
    <n v="8"/>
    <n v="2340"/>
    <n v="18720"/>
    <n v="0.02"/>
    <n v="374.40000000000003"/>
    <n v="18345.599999999999"/>
    <n v="1530"/>
    <n v="6105.5999999999985"/>
    <n v="0.33281004709576134"/>
    <x v="2"/>
    <x v="1"/>
    <x v="3"/>
    <x v="4"/>
    <s v="CUST1344"/>
    <x v="3"/>
  </r>
  <r>
    <n v="1175"/>
    <x v="106"/>
    <x v="0"/>
    <x v="3"/>
    <x v="0"/>
    <n v="12"/>
    <n v="200"/>
    <n v="2400"/>
    <n v="0"/>
    <n v="0"/>
    <n v="2400"/>
    <n v="140"/>
    <n v="720"/>
    <n v="0.3"/>
    <x v="0"/>
    <x v="1"/>
    <x v="3"/>
    <x v="9"/>
    <s v="CUST1168"/>
    <x v="2"/>
  </r>
  <r>
    <n v="1176"/>
    <x v="363"/>
    <x v="5"/>
    <x v="0"/>
    <x v="1"/>
    <n v="4"/>
    <n v="2410"/>
    <n v="9640"/>
    <n v="0.1"/>
    <n v="964"/>
    <n v="8676"/>
    <n v="1640"/>
    <n v="2116"/>
    <n v="0.24389119409866297"/>
    <x v="3"/>
    <x v="1"/>
    <x v="1"/>
    <x v="9"/>
    <s v="CUST1403"/>
    <x v="1"/>
  </r>
  <r>
    <n v="1177"/>
    <x v="306"/>
    <x v="0"/>
    <x v="1"/>
    <x v="2"/>
    <n v="3"/>
    <n v="1200"/>
    <n v="3600"/>
    <n v="0.02"/>
    <n v="72"/>
    <n v="3528"/>
    <n v="840"/>
    <n v="1008"/>
    <n v="0.2857142857142857"/>
    <x v="1"/>
    <x v="1"/>
    <x v="1"/>
    <x v="5"/>
    <s v="CUST1436"/>
    <x v="3"/>
  </r>
  <r>
    <n v="1178"/>
    <x v="220"/>
    <x v="0"/>
    <x v="0"/>
    <x v="4"/>
    <n v="9"/>
    <n v="300"/>
    <n v="2700"/>
    <n v="0.05"/>
    <n v="135"/>
    <n v="2565"/>
    <n v="240"/>
    <n v="405"/>
    <n v="0.15789473684210525"/>
    <x v="0"/>
    <x v="0"/>
    <x v="3"/>
    <x v="5"/>
    <s v="CUST1438"/>
    <x v="1"/>
  </r>
  <r>
    <n v="1179"/>
    <x v="132"/>
    <x v="0"/>
    <x v="1"/>
    <x v="4"/>
    <n v="5"/>
    <n v="330"/>
    <n v="1650"/>
    <n v="0.05"/>
    <n v="82.5"/>
    <n v="1567.5"/>
    <n v="210"/>
    <n v="517.5"/>
    <n v="0.33014354066985646"/>
    <x v="2"/>
    <x v="1"/>
    <x v="2"/>
    <x v="9"/>
    <s v="CUST1423"/>
    <x v="2"/>
  </r>
  <r>
    <n v="1180"/>
    <x v="1"/>
    <x v="0"/>
    <x v="1"/>
    <x v="1"/>
    <n v="5"/>
    <n v="2010"/>
    <n v="10050"/>
    <n v="0"/>
    <n v="0"/>
    <n v="10050"/>
    <n v="1550"/>
    <n v="2300"/>
    <n v="0.22885572139303484"/>
    <x v="3"/>
    <x v="1"/>
    <x v="0"/>
    <x v="3"/>
    <s v="CUST1073"/>
    <x v="3"/>
  </r>
  <r>
    <n v="1181"/>
    <x v="210"/>
    <x v="0"/>
    <x v="3"/>
    <x v="0"/>
    <n v="9"/>
    <n v="220"/>
    <n v="1980"/>
    <n v="0"/>
    <n v="0"/>
    <n v="1980"/>
    <n v="170"/>
    <n v="450"/>
    <n v="0.22727272727272727"/>
    <x v="2"/>
    <x v="1"/>
    <x v="0"/>
    <x v="3"/>
    <s v="CUST1189"/>
    <x v="2"/>
  </r>
  <r>
    <n v="1182"/>
    <x v="359"/>
    <x v="5"/>
    <x v="0"/>
    <x v="3"/>
    <n v="11"/>
    <n v="1470"/>
    <n v="16170"/>
    <n v="0.05"/>
    <n v="808.5"/>
    <n v="15361.5"/>
    <n v="940"/>
    <n v="5021.5"/>
    <n v="0.32688865019692087"/>
    <x v="2"/>
    <x v="1"/>
    <x v="3"/>
    <x v="6"/>
    <s v="CUST1226"/>
    <x v="1"/>
  </r>
  <r>
    <n v="1183"/>
    <x v="42"/>
    <x v="2"/>
    <x v="1"/>
    <x v="0"/>
    <n v="12"/>
    <n v="210"/>
    <n v="2520"/>
    <n v="0.02"/>
    <n v="50.4"/>
    <n v="2469.6"/>
    <n v="160"/>
    <n v="549.59999999999991"/>
    <n v="0.22254616132167149"/>
    <x v="2"/>
    <x v="1"/>
    <x v="0"/>
    <x v="9"/>
    <s v="CUST1356"/>
    <x v="1"/>
  </r>
  <r>
    <n v="1184"/>
    <x v="29"/>
    <x v="1"/>
    <x v="3"/>
    <x v="1"/>
    <n v="4"/>
    <n v="2310"/>
    <n v="9240"/>
    <n v="0.02"/>
    <n v="184.8"/>
    <n v="9055.2000000000007"/>
    <n v="1380"/>
    <n v="3535.2000000000007"/>
    <n v="0.39040551285449249"/>
    <x v="0"/>
    <x v="1"/>
    <x v="0"/>
    <x v="0"/>
    <s v="CUST1323"/>
    <x v="3"/>
  </r>
  <r>
    <n v="1185"/>
    <x v="262"/>
    <x v="4"/>
    <x v="2"/>
    <x v="3"/>
    <n v="10"/>
    <n v="1630"/>
    <n v="16300"/>
    <n v="0.02"/>
    <n v="326"/>
    <n v="15974"/>
    <n v="960"/>
    <n v="6374"/>
    <n v="0.39902341304620009"/>
    <x v="4"/>
    <x v="1"/>
    <x v="2"/>
    <x v="0"/>
    <s v="CUST1196"/>
    <x v="3"/>
  </r>
  <r>
    <n v="1186"/>
    <x v="40"/>
    <x v="3"/>
    <x v="3"/>
    <x v="0"/>
    <n v="1"/>
    <n v="210"/>
    <n v="210"/>
    <n v="0.05"/>
    <n v="10.5"/>
    <n v="199.5"/>
    <n v="130"/>
    <n v="69.5"/>
    <n v="0.34837092731829572"/>
    <x v="2"/>
    <x v="1"/>
    <x v="2"/>
    <x v="7"/>
    <s v="CUST1219"/>
    <x v="2"/>
  </r>
  <r>
    <n v="1187"/>
    <x v="358"/>
    <x v="1"/>
    <x v="3"/>
    <x v="4"/>
    <n v="10"/>
    <n v="340"/>
    <n v="3400"/>
    <n v="0.05"/>
    <n v="170"/>
    <n v="3230"/>
    <n v="220"/>
    <n v="1030"/>
    <n v="0.31888544891640869"/>
    <x v="1"/>
    <x v="1"/>
    <x v="2"/>
    <x v="9"/>
    <s v="CUST1064"/>
    <x v="1"/>
  </r>
  <r>
    <n v="1188"/>
    <x v="295"/>
    <x v="5"/>
    <x v="1"/>
    <x v="4"/>
    <n v="8"/>
    <n v="300"/>
    <n v="2400"/>
    <n v="0.05"/>
    <n v="120"/>
    <n v="2280"/>
    <n v="240"/>
    <n v="360"/>
    <n v="0.15789473684210525"/>
    <x v="0"/>
    <x v="1"/>
    <x v="0"/>
    <x v="3"/>
    <s v="CUST1328"/>
    <x v="3"/>
  </r>
  <r>
    <n v="1189"/>
    <x v="225"/>
    <x v="5"/>
    <x v="0"/>
    <x v="1"/>
    <n v="12"/>
    <n v="2040"/>
    <n v="24480"/>
    <n v="0.02"/>
    <n v="489.6"/>
    <n v="23990.400000000001"/>
    <n v="1640"/>
    <n v="4310.4000000000015"/>
    <n v="0.17967186874749905"/>
    <x v="1"/>
    <x v="1"/>
    <x v="2"/>
    <x v="8"/>
    <s v="CUST1175"/>
    <x v="0"/>
  </r>
  <r>
    <n v="1190"/>
    <x v="154"/>
    <x v="5"/>
    <x v="0"/>
    <x v="5"/>
    <n v="2"/>
    <n v="200"/>
    <n v="400"/>
    <n v="0.15"/>
    <n v="60"/>
    <n v="340"/>
    <n v="150"/>
    <n v="40"/>
    <n v="0.11764705882352941"/>
    <x v="2"/>
    <x v="1"/>
    <x v="3"/>
    <x v="3"/>
    <s v="CUST1443"/>
    <x v="1"/>
  </r>
  <r>
    <n v="1191"/>
    <x v="222"/>
    <x v="5"/>
    <x v="1"/>
    <x v="0"/>
    <n v="6"/>
    <n v="210"/>
    <n v="1260"/>
    <n v="0.02"/>
    <n v="25.2"/>
    <n v="1234.8"/>
    <n v="170"/>
    <n v="214.79999999999995"/>
    <n v="0.17395529640427596"/>
    <x v="4"/>
    <x v="1"/>
    <x v="2"/>
    <x v="2"/>
    <s v="CUST1353"/>
    <x v="1"/>
  </r>
  <r>
    <n v="1192"/>
    <x v="139"/>
    <x v="2"/>
    <x v="0"/>
    <x v="1"/>
    <n v="5"/>
    <n v="2410"/>
    <n v="12050"/>
    <n v="0.02"/>
    <n v="241"/>
    <n v="11809"/>
    <n v="1930"/>
    <n v="2159"/>
    <n v="0.18282665763400796"/>
    <x v="0"/>
    <x v="1"/>
    <x v="3"/>
    <x v="7"/>
    <s v="CUST1447"/>
    <x v="3"/>
  </r>
  <r>
    <n v="1193"/>
    <x v="292"/>
    <x v="0"/>
    <x v="2"/>
    <x v="5"/>
    <n v="11"/>
    <n v="200"/>
    <n v="2200"/>
    <n v="0.05"/>
    <n v="110"/>
    <n v="2090"/>
    <n v="130"/>
    <n v="660"/>
    <n v="0.31578947368421051"/>
    <x v="0"/>
    <x v="1"/>
    <x v="0"/>
    <x v="4"/>
    <s v="CUST1272"/>
    <x v="1"/>
  </r>
  <r>
    <n v="1194"/>
    <x v="273"/>
    <x v="1"/>
    <x v="0"/>
    <x v="4"/>
    <n v="7"/>
    <n v="280"/>
    <n v="1960"/>
    <n v="0"/>
    <n v="0"/>
    <n v="1960"/>
    <n v="230"/>
    <n v="350"/>
    <n v="0.17857142857142858"/>
    <x v="0"/>
    <x v="1"/>
    <x v="1"/>
    <x v="0"/>
    <s v="CUST1475"/>
    <x v="1"/>
  </r>
  <r>
    <n v="1195"/>
    <x v="129"/>
    <x v="5"/>
    <x v="0"/>
    <x v="0"/>
    <n v="2"/>
    <n v="220"/>
    <n v="440"/>
    <n v="0"/>
    <n v="0"/>
    <n v="440"/>
    <n v="140"/>
    <n v="160"/>
    <n v="0.36363636363636365"/>
    <x v="2"/>
    <x v="1"/>
    <x v="3"/>
    <x v="7"/>
    <s v="CUST1215"/>
    <x v="3"/>
  </r>
  <r>
    <n v="1196"/>
    <x v="273"/>
    <x v="4"/>
    <x v="0"/>
    <x v="3"/>
    <n v="8"/>
    <n v="1690"/>
    <n v="13520"/>
    <n v="0.1"/>
    <n v="1352"/>
    <n v="12168"/>
    <n v="1040"/>
    <n v="3848"/>
    <n v="0.31623931623931623"/>
    <x v="0"/>
    <x v="1"/>
    <x v="0"/>
    <x v="3"/>
    <s v="CUST1216"/>
    <x v="2"/>
  </r>
  <r>
    <n v="1197"/>
    <x v="77"/>
    <x v="1"/>
    <x v="1"/>
    <x v="1"/>
    <n v="9"/>
    <n v="2390"/>
    <n v="21510"/>
    <n v="0.05"/>
    <n v="1075.5"/>
    <n v="20434.5"/>
    <n v="1900"/>
    <n v="3334.5"/>
    <n v="0.16317991631799164"/>
    <x v="2"/>
    <x v="1"/>
    <x v="3"/>
    <x v="5"/>
    <s v="CUST1300"/>
    <x v="3"/>
  </r>
  <r>
    <n v="1198"/>
    <x v="78"/>
    <x v="5"/>
    <x v="0"/>
    <x v="4"/>
    <n v="6"/>
    <n v="280"/>
    <n v="1680"/>
    <n v="0"/>
    <n v="0"/>
    <n v="1680"/>
    <n v="200"/>
    <n v="480"/>
    <n v="0.2857142857142857"/>
    <x v="1"/>
    <x v="2"/>
    <x v="1"/>
    <x v="3"/>
    <s v="CUST1105"/>
    <x v="3"/>
  </r>
  <r>
    <n v="1199"/>
    <x v="193"/>
    <x v="4"/>
    <x v="0"/>
    <x v="5"/>
    <n v="1"/>
    <n v="190"/>
    <n v="190"/>
    <n v="0.05"/>
    <n v="9.5"/>
    <n v="180.5"/>
    <n v="140"/>
    <n v="40.5"/>
    <n v="0.22437673130193905"/>
    <x v="1"/>
    <x v="1"/>
    <x v="3"/>
    <x v="1"/>
    <s v="CUST1002"/>
    <x v="1"/>
  </r>
  <r>
    <n v="1200"/>
    <x v="87"/>
    <x v="0"/>
    <x v="1"/>
    <x v="3"/>
    <n v="8"/>
    <n v="1720"/>
    <n v="13760"/>
    <n v="0.02"/>
    <n v="275.2"/>
    <n v="13484.8"/>
    <n v="1310"/>
    <n v="3004.7999999999993"/>
    <n v="0.222828666350261"/>
    <x v="4"/>
    <x v="1"/>
    <x v="3"/>
    <x v="0"/>
    <s v="CUST1500"/>
    <x v="3"/>
  </r>
  <r>
    <n v="1201"/>
    <x v="346"/>
    <x v="5"/>
    <x v="0"/>
    <x v="1"/>
    <n v="12"/>
    <n v="1970"/>
    <n v="23640"/>
    <n v="0.05"/>
    <n v="1182"/>
    <n v="22458"/>
    <n v="1490"/>
    <n v="4578"/>
    <n v="0.20384718140528987"/>
    <x v="2"/>
    <x v="1"/>
    <x v="0"/>
    <x v="2"/>
    <s v="CUST1176"/>
    <x v="3"/>
  </r>
  <r>
    <n v="1202"/>
    <x v="6"/>
    <x v="5"/>
    <x v="0"/>
    <x v="0"/>
    <n v="4"/>
    <n v="230"/>
    <n v="920"/>
    <n v="0.02"/>
    <n v="18.400000000000002"/>
    <n v="901.6"/>
    <n v="190"/>
    <n v="141.60000000000002"/>
    <n v="0.15705412599822541"/>
    <x v="0"/>
    <x v="1"/>
    <x v="0"/>
    <x v="0"/>
    <s v="CUST1244"/>
    <x v="1"/>
  </r>
  <r>
    <n v="1203"/>
    <x v="322"/>
    <x v="1"/>
    <x v="0"/>
    <x v="0"/>
    <n v="12"/>
    <n v="210"/>
    <n v="2520"/>
    <n v="0.05"/>
    <n v="126"/>
    <n v="2394"/>
    <n v="160"/>
    <n v="474"/>
    <n v="0.19799498746867167"/>
    <x v="0"/>
    <x v="1"/>
    <x v="0"/>
    <x v="3"/>
    <s v="CUST1095"/>
    <x v="1"/>
  </r>
  <r>
    <n v="1204"/>
    <x v="312"/>
    <x v="1"/>
    <x v="2"/>
    <x v="0"/>
    <n v="7"/>
    <n v="190"/>
    <n v="1330"/>
    <n v="0"/>
    <n v="0"/>
    <n v="1330"/>
    <n v="120"/>
    <n v="490"/>
    <n v="0.36842105263157893"/>
    <x v="2"/>
    <x v="1"/>
    <x v="2"/>
    <x v="3"/>
    <s v="CUST1437"/>
    <x v="3"/>
  </r>
  <r>
    <n v="1205"/>
    <x v="131"/>
    <x v="0"/>
    <x v="0"/>
    <x v="0"/>
    <n v="5"/>
    <n v="200"/>
    <n v="1000"/>
    <n v="0"/>
    <n v="0"/>
    <n v="1000"/>
    <n v="120"/>
    <n v="400"/>
    <n v="0.4"/>
    <x v="4"/>
    <x v="1"/>
    <x v="0"/>
    <x v="6"/>
    <s v="CUST1033"/>
    <x v="3"/>
  </r>
  <r>
    <n v="1206"/>
    <x v="235"/>
    <x v="2"/>
    <x v="1"/>
    <x v="0"/>
    <n v="12"/>
    <n v="210"/>
    <n v="2520"/>
    <n v="0.05"/>
    <n v="126"/>
    <n v="2394"/>
    <n v="140"/>
    <n v="714"/>
    <n v="0.2982456140350877"/>
    <x v="4"/>
    <x v="1"/>
    <x v="0"/>
    <x v="0"/>
    <s v="CUST1442"/>
    <x v="3"/>
  </r>
  <r>
    <n v="1207"/>
    <x v="72"/>
    <x v="1"/>
    <x v="3"/>
    <x v="0"/>
    <n v="8"/>
    <n v="200"/>
    <n v="1600"/>
    <n v="0"/>
    <n v="0"/>
    <n v="1600"/>
    <n v="140"/>
    <n v="480"/>
    <n v="0.3"/>
    <x v="2"/>
    <x v="1"/>
    <x v="1"/>
    <x v="7"/>
    <s v="CUST1036"/>
    <x v="1"/>
  </r>
  <r>
    <n v="1208"/>
    <x v="111"/>
    <x v="0"/>
    <x v="1"/>
    <x v="3"/>
    <n v="9"/>
    <n v="1320"/>
    <n v="11880"/>
    <n v="0"/>
    <n v="0"/>
    <n v="11880"/>
    <n v="880"/>
    <n v="3960"/>
    <n v="0.33333333333333331"/>
    <x v="2"/>
    <x v="1"/>
    <x v="1"/>
    <x v="1"/>
    <s v="CUST1342"/>
    <x v="0"/>
  </r>
  <r>
    <n v="1209"/>
    <x v="306"/>
    <x v="0"/>
    <x v="1"/>
    <x v="0"/>
    <n v="6"/>
    <n v="210"/>
    <n v="1260"/>
    <n v="0"/>
    <n v="0"/>
    <n v="1260"/>
    <n v="170"/>
    <n v="240"/>
    <n v="0.19047619047619047"/>
    <x v="2"/>
    <x v="2"/>
    <x v="3"/>
    <x v="1"/>
    <s v="CUST1105"/>
    <x v="2"/>
  </r>
  <r>
    <n v="1210"/>
    <x v="78"/>
    <x v="1"/>
    <x v="3"/>
    <x v="0"/>
    <n v="2"/>
    <n v="220"/>
    <n v="440"/>
    <n v="0.05"/>
    <n v="22"/>
    <n v="418"/>
    <n v="130"/>
    <n v="158"/>
    <n v="0.37799043062200954"/>
    <x v="1"/>
    <x v="1"/>
    <x v="2"/>
    <x v="6"/>
    <s v="CUST1051"/>
    <x v="2"/>
  </r>
  <r>
    <n v="1211"/>
    <x v="103"/>
    <x v="1"/>
    <x v="1"/>
    <x v="0"/>
    <n v="9"/>
    <n v="200"/>
    <n v="1800"/>
    <n v="0.15"/>
    <n v="270"/>
    <n v="1530"/>
    <n v="150"/>
    <n v="180"/>
    <n v="0.11764705882352941"/>
    <x v="1"/>
    <x v="1"/>
    <x v="3"/>
    <x v="0"/>
    <s v="CUST1364"/>
    <x v="2"/>
  </r>
  <r>
    <n v="1212"/>
    <x v="203"/>
    <x v="0"/>
    <x v="0"/>
    <x v="4"/>
    <n v="9"/>
    <n v="290"/>
    <n v="2610"/>
    <n v="0.02"/>
    <n v="52.2"/>
    <n v="2557.8000000000002"/>
    <n v="180"/>
    <n v="937.80000000000018"/>
    <n v="0.36664320900774106"/>
    <x v="1"/>
    <x v="1"/>
    <x v="2"/>
    <x v="6"/>
    <s v="CUST1500"/>
    <x v="3"/>
  </r>
  <r>
    <n v="1213"/>
    <x v="35"/>
    <x v="1"/>
    <x v="3"/>
    <x v="4"/>
    <n v="11"/>
    <n v="290"/>
    <n v="3190"/>
    <n v="0.15"/>
    <n v="478.5"/>
    <n v="2711.5"/>
    <n v="180"/>
    <n v="731.5"/>
    <n v="0.26977687626774849"/>
    <x v="0"/>
    <x v="1"/>
    <x v="0"/>
    <x v="3"/>
    <s v="CUST1121"/>
    <x v="2"/>
  </r>
  <r>
    <n v="1214"/>
    <x v="2"/>
    <x v="1"/>
    <x v="1"/>
    <x v="0"/>
    <n v="7"/>
    <n v="190"/>
    <n v="1330"/>
    <n v="0"/>
    <n v="0"/>
    <n v="1330"/>
    <n v="110"/>
    <n v="560"/>
    <n v="0.42105263157894735"/>
    <x v="3"/>
    <x v="1"/>
    <x v="0"/>
    <x v="0"/>
    <s v="CUST1382"/>
    <x v="1"/>
  </r>
  <r>
    <n v="1215"/>
    <x v="193"/>
    <x v="3"/>
    <x v="3"/>
    <x v="3"/>
    <n v="1"/>
    <n v="1690"/>
    <n v="1690"/>
    <n v="0.15"/>
    <n v="253.5"/>
    <n v="1436.5"/>
    <n v="1250"/>
    <n v="186.5"/>
    <n v="0.12982944657152801"/>
    <x v="3"/>
    <x v="1"/>
    <x v="1"/>
    <x v="8"/>
    <s v="CUST1474"/>
    <x v="3"/>
  </r>
  <r>
    <n v="1216"/>
    <x v="363"/>
    <x v="3"/>
    <x v="0"/>
    <x v="5"/>
    <n v="10"/>
    <n v="210"/>
    <n v="2100"/>
    <n v="0"/>
    <n v="0"/>
    <n v="2100"/>
    <n v="150"/>
    <n v="600"/>
    <n v="0.2857142857142857"/>
    <x v="4"/>
    <x v="1"/>
    <x v="1"/>
    <x v="4"/>
    <s v="CUST1114"/>
    <x v="3"/>
  </r>
  <r>
    <n v="1217"/>
    <x v="189"/>
    <x v="5"/>
    <x v="0"/>
    <x v="1"/>
    <n v="5"/>
    <n v="2230"/>
    <n v="11150"/>
    <n v="0.02"/>
    <n v="223"/>
    <n v="10927"/>
    <n v="1520"/>
    <n v="3327"/>
    <n v="0.30447515329001557"/>
    <x v="2"/>
    <x v="1"/>
    <x v="2"/>
    <x v="8"/>
    <s v="CUST1019"/>
    <x v="3"/>
  </r>
  <r>
    <n v="1218"/>
    <x v="263"/>
    <x v="0"/>
    <x v="3"/>
    <x v="0"/>
    <n v="11"/>
    <n v="220"/>
    <n v="2420"/>
    <n v="0"/>
    <n v="0"/>
    <n v="2420"/>
    <n v="160"/>
    <n v="660"/>
    <n v="0.27272727272727271"/>
    <x v="1"/>
    <x v="1"/>
    <x v="0"/>
    <x v="8"/>
    <s v="CUST1307"/>
    <x v="0"/>
  </r>
  <r>
    <n v="1219"/>
    <x v="350"/>
    <x v="1"/>
    <x v="1"/>
    <x v="1"/>
    <n v="12"/>
    <n v="1890"/>
    <n v="22680"/>
    <n v="0.05"/>
    <n v="1134"/>
    <n v="21546"/>
    <n v="1170"/>
    <n v="7506"/>
    <n v="0.34837092731829572"/>
    <x v="2"/>
    <x v="1"/>
    <x v="2"/>
    <x v="2"/>
    <s v="CUST1156"/>
    <x v="2"/>
  </r>
  <r>
    <n v="1220"/>
    <x v="208"/>
    <x v="0"/>
    <x v="1"/>
    <x v="0"/>
    <n v="11"/>
    <n v="220"/>
    <n v="2420"/>
    <n v="0.02"/>
    <n v="48.4"/>
    <n v="2371.6"/>
    <n v="150"/>
    <n v="721.59999999999991"/>
    <n v="0.30426716141001853"/>
    <x v="3"/>
    <x v="0"/>
    <x v="2"/>
    <x v="7"/>
    <s v="CUST1054"/>
    <x v="2"/>
  </r>
  <r>
    <n v="1221"/>
    <x v="116"/>
    <x v="2"/>
    <x v="1"/>
    <x v="2"/>
    <n v="2"/>
    <n v="1090"/>
    <n v="2180"/>
    <n v="0"/>
    <n v="0"/>
    <n v="2180"/>
    <n v="720"/>
    <n v="740"/>
    <n v="0.33944954128440369"/>
    <x v="1"/>
    <x v="1"/>
    <x v="2"/>
    <x v="1"/>
    <s v="CUST1399"/>
    <x v="1"/>
  </r>
  <r>
    <n v="1222"/>
    <x v="119"/>
    <x v="1"/>
    <x v="0"/>
    <x v="1"/>
    <n v="12"/>
    <n v="2320"/>
    <n v="27840"/>
    <n v="0.15"/>
    <n v="4176"/>
    <n v="23664"/>
    <n v="1820"/>
    <n v="1824"/>
    <n v="7.7079107505070993E-2"/>
    <x v="0"/>
    <x v="1"/>
    <x v="2"/>
    <x v="2"/>
    <s v="CUST1159"/>
    <x v="1"/>
  </r>
  <r>
    <n v="1223"/>
    <x v="103"/>
    <x v="1"/>
    <x v="1"/>
    <x v="5"/>
    <n v="3"/>
    <n v="190"/>
    <n v="570"/>
    <n v="0"/>
    <n v="0"/>
    <n v="570"/>
    <n v="150"/>
    <n v="120"/>
    <n v="0.21052631578947367"/>
    <x v="4"/>
    <x v="1"/>
    <x v="2"/>
    <x v="2"/>
    <s v="CUST1451"/>
    <x v="1"/>
  </r>
  <r>
    <n v="1224"/>
    <x v="307"/>
    <x v="3"/>
    <x v="0"/>
    <x v="0"/>
    <n v="9"/>
    <n v="220"/>
    <n v="1980"/>
    <n v="0.15"/>
    <n v="297"/>
    <n v="1683"/>
    <n v="140"/>
    <n v="423"/>
    <n v="0.25133689839572193"/>
    <x v="0"/>
    <x v="1"/>
    <x v="0"/>
    <x v="7"/>
    <s v="CUST1205"/>
    <x v="2"/>
  </r>
  <r>
    <n v="1225"/>
    <x v="110"/>
    <x v="4"/>
    <x v="0"/>
    <x v="2"/>
    <n v="9"/>
    <n v="1180"/>
    <n v="10620"/>
    <n v="0.1"/>
    <n v="1062"/>
    <n v="9558"/>
    <n v="820"/>
    <n v="2178"/>
    <n v="0.22787193973634651"/>
    <x v="2"/>
    <x v="3"/>
    <x v="0"/>
    <x v="3"/>
    <s v="CUST1329"/>
    <x v="1"/>
  </r>
  <r>
    <n v="1226"/>
    <x v="166"/>
    <x v="5"/>
    <x v="1"/>
    <x v="4"/>
    <n v="11"/>
    <n v="330"/>
    <n v="3630"/>
    <n v="0.05"/>
    <n v="181.5"/>
    <n v="3448.5"/>
    <n v="270"/>
    <n v="478.5"/>
    <n v="0.13875598086124402"/>
    <x v="3"/>
    <x v="1"/>
    <x v="3"/>
    <x v="2"/>
    <s v="CUST1204"/>
    <x v="3"/>
  </r>
  <r>
    <n v="1227"/>
    <x v="290"/>
    <x v="4"/>
    <x v="3"/>
    <x v="3"/>
    <n v="11"/>
    <n v="1480"/>
    <n v="16280"/>
    <n v="0"/>
    <n v="0"/>
    <n v="16280"/>
    <n v="900"/>
    <n v="6380"/>
    <n v="0.39189189189189189"/>
    <x v="3"/>
    <x v="1"/>
    <x v="0"/>
    <x v="0"/>
    <s v="CUST1237"/>
    <x v="1"/>
  </r>
  <r>
    <n v="1228"/>
    <x v="30"/>
    <x v="1"/>
    <x v="1"/>
    <x v="0"/>
    <n v="7"/>
    <n v="180"/>
    <n v="1260"/>
    <n v="0"/>
    <n v="0"/>
    <n v="1260"/>
    <n v="130"/>
    <n v="350"/>
    <n v="0.27777777777777779"/>
    <x v="3"/>
    <x v="1"/>
    <x v="1"/>
    <x v="2"/>
    <s v="CUST1134"/>
    <x v="2"/>
  </r>
  <r>
    <n v="1229"/>
    <x v="259"/>
    <x v="5"/>
    <x v="0"/>
    <x v="4"/>
    <n v="11"/>
    <n v="340"/>
    <n v="3740"/>
    <n v="0.02"/>
    <n v="74.8"/>
    <n v="3665.2"/>
    <n v="270"/>
    <n v="695.19999999999982"/>
    <n v="0.18967587034813921"/>
    <x v="0"/>
    <x v="1"/>
    <x v="0"/>
    <x v="7"/>
    <s v="CUST1223"/>
    <x v="3"/>
  </r>
  <r>
    <n v="1230"/>
    <x v="128"/>
    <x v="5"/>
    <x v="1"/>
    <x v="4"/>
    <n v="5"/>
    <n v="320"/>
    <n v="1600"/>
    <n v="0.02"/>
    <n v="32"/>
    <n v="1568"/>
    <n v="230"/>
    <n v="418"/>
    <n v="0.26658163265306123"/>
    <x v="2"/>
    <x v="1"/>
    <x v="0"/>
    <x v="8"/>
    <s v="CUST1116"/>
    <x v="0"/>
  </r>
  <r>
    <n v="1231"/>
    <x v="318"/>
    <x v="5"/>
    <x v="0"/>
    <x v="4"/>
    <n v="4"/>
    <n v="310"/>
    <n v="1240"/>
    <n v="0.05"/>
    <n v="62"/>
    <n v="1178"/>
    <n v="220"/>
    <n v="298"/>
    <n v="0.25297113752122241"/>
    <x v="4"/>
    <x v="1"/>
    <x v="1"/>
    <x v="8"/>
    <s v="CUST1085"/>
    <x v="2"/>
  </r>
  <r>
    <n v="1232"/>
    <x v="363"/>
    <x v="3"/>
    <x v="1"/>
    <x v="5"/>
    <n v="1"/>
    <n v="200"/>
    <n v="200"/>
    <n v="0.02"/>
    <n v="4"/>
    <n v="196"/>
    <n v="120"/>
    <n v="76"/>
    <n v="0.38775510204081631"/>
    <x v="4"/>
    <x v="1"/>
    <x v="1"/>
    <x v="7"/>
    <s v="CUST1353"/>
    <x v="3"/>
  </r>
  <r>
    <n v="1233"/>
    <x v="101"/>
    <x v="0"/>
    <x v="0"/>
    <x v="5"/>
    <n v="10"/>
    <n v="220"/>
    <n v="2200"/>
    <n v="0.1"/>
    <n v="220"/>
    <n v="1980"/>
    <n v="140"/>
    <n v="580"/>
    <n v="0.29292929292929293"/>
    <x v="0"/>
    <x v="1"/>
    <x v="1"/>
    <x v="5"/>
    <s v="CUST1135"/>
    <x v="2"/>
  </r>
  <r>
    <n v="1234"/>
    <x v="70"/>
    <x v="0"/>
    <x v="3"/>
    <x v="1"/>
    <n v="7"/>
    <n v="2290"/>
    <n v="16030"/>
    <n v="0.15"/>
    <n v="2404.5"/>
    <n v="13625.5"/>
    <n v="1810"/>
    <n v="955.5"/>
    <n v="7.0125866940662723E-2"/>
    <x v="0"/>
    <x v="1"/>
    <x v="0"/>
    <x v="3"/>
    <s v="CUST1015"/>
    <x v="1"/>
  </r>
  <r>
    <n v="1235"/>
    <x v="351"/>
    <x v="3"/>
    <x v="0"/>
    <x v="4"/>
    <n v="10"/>
    <n v="320"/>
    <n v="3200"/>
    <n v="0.05"/>
    <n v="160"/>
    <n v="3040"/>
    <n v="210"/>
    <n v="940"/>
    <n v="0.30921052631578949"/>
    <x v="2"/>
    <x v="1"/>
    <x v="1"/>
    <x v="7"/>
    <s v="CUST1363"/>
    <x v="1"/>
  </r>
  <r>
    <n v="1236"/>
    <x v="175"/>
    <x v="5"/>
    <x v="0"/>
    <x v="2"/>
    <n v="9"/>
    <n v="1250"/>
    <n v="11250"/>
    <n v="0"/>
    <n v="0"/>
    <n v="11250"/>
    <n v="1010"/>
    <n v="2160"/>
    <n v="0.192"/>
    <x v="4"/>
    <x v="1"/>
    <x v="0"/>
    <x v="7"/>
    <s v="CUST1409"/>
    <x v="3"/>
  </r>
  <r>
    <n v="1237"/>
    <x v="206"/>
    <x v="1"/>
    <x v="3"/>
    <x v="0"/>
    <n v="11"/>
    <n v="190"/>
    <n v="2090"/>
    <n v="0.05"/>
    <n v="104.5"/>
    <n v="1985.5"/>
    <n v="120"/>
    <n v="665.5"/>
    <n v="0.33518005540166207"/>
    <x v="3"/>
    <x v="3"/>
    <x v="2"/>
    <x v="1"/>
    <s v="CUST1052"/>
    <x v="0"/>
  </r>
  <r>
    <n v="1238"/>
    <x v="55"/>
    <x v="1"/>
    <x v="0"/>
    <x v="4"/>
    <n v="4"/>
    <n v="340"/>
    <n v="1360"/>
    <n v="0.05"/>
    <n v="68"/>
    <n v="1292"/>
    <n v="220"/>
    <n v="412"/>
    <n v="0.31888544891640869"/>
    <x v="0"/>
    <x v="1"/>
    <x v="1"/>
    <x v="7"/>
    <s v="CUST1171"/>
    <x v="0"/>
  </r>
  <r>
    <n v="1239"/>
    <x v="92"/>
    <x v="5"/>
    <x v="0"/>
    <x v="4"/>
    <n v="12"/>
    <n v="340"/>
    <n v="4080"/>
    <n v="0"/>
    <n v="0"/>
    <n v="4080"/>
    <n v="240"/>
    <n v="1200"/>
    <n v="0.29411764705882354"/>
    <x v="3"/>
    <x v="1"/>
    <x v="3"/>
    <x v="2"/>
    <s v="CUST1054"/>
    <x v="1"/>
  </r>
  <r>
    <n v="1240"/>
    <x v="260"/>
    <x v="0"/>
    <x v="3"/>
    <x v="2"/>
    <n v="8"/>
    <n v="1140"/>
    <n v="9120"/>
    <n v="0"/>
    <n v="0"/>
    <n v="9120"/>
    <n v="890"/>
    <n v="2000"/>
    <n v="0.21929824561403508"/>
    <x v="1"/>
    <x v="3"/>
    <x v="2"/>
    <x v="6"/>
    <s v="CUST1205"/>
    <x v="3"/>
  </r>
  <r>
    <n v="1241"/>
    <x v="91"/>
    <x v="0"/>
    <x v="3"/>
    <x v="0"/>
    <n v="9"/>
    <n v="220"/>
    <n v="1980"/>
    <n v="0"/>
    <n v="0"/>
    <n v="1980"/>
    <n v="160"/>
    <n v="540"/>
    <n v="0.27272727272727271"/>
    <x v="3"/>
    <x v="1"/>
    <x v="0"/>
    <x v="7"/>
    <s v="CUST1366"/>
    <x v="3"/>
  </r>
  <r>
    <n v="1242"/>
    <x v="179"/>
    <x v="1"/>
    <x v="0"/>
    <x v="5"/>
    <n v="5"/>
    <n v="200"/>
    <n v="1000"/>
    <n v="0.15"/>
    <n v="150"/>
    <n v="850"/>
    <n v="160"/>
    <n v="50"/>
    <n v="5.8823529411764705E-2"/>
    <x v="2"/>
    <x v="1"/>
    <x v="2"/>
    <x v="6"/>
    <s v="CUST1196"/>
    <x v="0"/>
  </r>
  <r>
    <n v="1243"/>
    <x v="171"/>
    <x v="0"/>
    <x v="3"/>
    <x v="0"/>
    <n v="1"/>
    <n v="220"/>
    <n v="220"/>
    <n v="0.15"/>
    <n v="33"/>
    <n v="187"/>
    <n v="130"/>
    <n v="57"/>
    <n v="0.30481283422459893"/>
    <x v="0"/>
    <x v="1"/>
    <x v="2"/>
    <x v="5"/>
    <s v="CUST1235"/>
    <x v="1"/>
  </r>
  <r>
    <n v="1244"/>
    <x v="223"/>
    <x v="0"/>
    <x v="0"/>
    <x v="3"/>
    <n v="6"/>
    <n v="1570"/>
    <n v="9420"/>
    <n v="0.1"/>
    <n v="942"/>
    <n v="8478"/>
    <n v="1280"/>
    <n v="798"/>
    <n v="9.4125973106864824E-2"/>
    <x v="1"/>
    <x v="1"/>
    <x v="3"/>
    <x v="2"/>
    <s v="CUST1043"/>
    <x v="0"/>
  </r>
  <r>
    <n v="1245"/>
    <x v="116"/>
    <x v="5"/>
    <x v="1"/>
    <x v="2"/>
    <n v="2"/>
    <n v="1090"/>
    <n v="2180"/>
    <n v="0"/>
    <n v="0"/>
    <n v="2180"/>
    <n v="700"/>
    <n v="780"/>
    <n v="0.3577981651376147"/>
    <x v="3"/>
    <x v="1"/>
    <x v="0"/>
    <x v="4"/>
    <s v="CUST1236"/>
    <x v="1"/>
  </r>
  <r>
    <n v="1246"/>
    <x v="281"/>
    <x v="1"/>
    <x v="1"/>
    <x v="2"/>
    <n v="8"/>
    <n v="1090"/>
    <n v="8720"/>
    <n v="0.02"/>
    <n v="174.4"/>
    <n v="8545.6"/>
    <n v="740"/>
    <n v="2625.6000000000004"/>
    <n v="0.3072458341134619"/>
    <x v="4"/>
    <x v="1"/>
    <x v="2"/>
    <x v="2"/>
    <s v="CUST1289"/>
    <x v="2"/>
  </r>
  <r>
    <n v="1247"/>
    <x v="206"/>
    <x v="2"/>
    <x v="2"/>
    <x v="1"/>
    <n v="4"/>
    <n v="2020"/>
    <n v="8080"/>
    <n v="0.05"/>
    <n v="404"/>
    <n v="7676"/>
    <n v="1500"/>
    <n v="1676"/>
    <n v="0.21834288692027098"/>
    <x v="3"/>
    <x v="1"/>
    <x v="2"/>
    <x v="2"/>
    <s v="CUST1178"/>
    <x v="2"/>
  </r>
  <r>
    <n v="1248"/>
    <x v="190"/>
    <x v="1"/>
    <x v="1"/>
    <x v="2"/>
    <n v="5"/>
    <n v="1240"/>
    <n v="6200"/>
    <n v="0.05"/>
    <n v="310"/>
    <n v="5890"/>
    <n v="770"/>
    <n v="2040"/>
    <n v="0.3463497453310696"/>
    <x v="2"/>
    <x v="1"/>
    <x v="2"/>
    <x v="7"/>
    <s v="CUST1076"/>
    <x v="2"/>
  </r>
  <r>
    <n v="1249"/>
    <x v="80"/>
    <x v="5"/>
    <x v="0"/>
    <x v="5"/>
    <n v="8"/>
    <n v="190"/>
    <n v="1520"/>
    <n v="0.05"/>
    <n v="76"/>
    <n v="1444"/>
    <n v="120"/>
    <n v="484"/>
    <n v="0.33518005540166207"/>
    <x v="4"/>
    <x v="3"/>
    <x v="0"/>
    <x v="5"/>
    <s v="CUST1030"/>
    <x v="3"/>
  </r>
  <r>
    <n v="1250"/>
    <x v="163"/>
    <x v="0"/>
    <x v="3"/>
    <x v="0"/>
    <n v="4"/>
    <n v="210"/>
    <n v="840"/>
    <n v="0.05"/>
    <n v="42"/>
    <n v="798"/>
    <n v="170"/>
    <n v="118"/>
    <n v="0.14786967418546365"/>
    <x v="2"/>
    <x v="1"/>
    <x v="0"/>
    <x v="9"/>
    <s v="CUST1329"/>
    <x v="2"/>
  </r>
  <r>
    <n v="1251"/>
    <x v="286"/>
    <x v="0"/>
    <x v="0"/>
    <x v="1"/>
    <n v="12"/>
    <n v="2320"/>
    <n v="27840"/>
    <n v="0.05"/>
    <n v="1392"/>
    <n v="26448"/>
    <n v="1770"/>
    <n v="5208"/>
    <n v="0.19691470054446461"/>
    <x v="0"/>
    <x v="1"/>
    <x v="1"/>
    <x v="4"/>
    <s v="CUST1323"/>
    <x v="0"/>
  </r>
  <r>
    <n v="1252"/>
    <x v="22"/>
    <x v="5"/>
    <x v="0"/>
    <x v="4"/>
    <n v="4"/>
    <n v="280"/>
    <n v="1120"/>
    <n v="0.02"/>
    <n v="22.400000000000002"/>
    <n v="1097.5999999999999"/>
    <n v="170"/>
    <n v="417.59999999999991"/>
    <n v="0.38046647230320696"/>
    <x v="4"/>
    <x v="1"/>
    <x v="3"/>
    <x v="7"/>
    <s v="CUST1111"/>
    <x v="2"/>
  </r>
  <r>
    <n v="1253"/>
    <x v="292"/>
    <x v="1"/>
    <x v="3"/>
    <x v="1"/>
    <n v="5"/>
    <n v="2000"/>
    <n v="10000"/>
    <n v="0.02"/>
    <n v="200"/>
    <n v="9800"/>
    <n v="1180"/>
    <n v="3900"/>
    <n v="0.39795918367346939"/>
    <x v="2"/>
    <x v="1"/>
    <x v="1"/>
    <x v="3"/>
    <s v="CUST1343"/>
    <x v="0"/>
  </r>
  <r>
    <n v="1254"/>
    <x v="200"/>
    <x v="2"/>
    <x v="0"/>
    <x v="0"/>
    <n v="10"/>
    <n v="210"/>
    <n v="2100"/>
    <n v="0"/>
    <n v="0"/>
    <n v="2100"/>
    <n v="160"/>
    <n v="500"/>
    <n v="0.23809523809523808"/>
    <x v="4"/>
    <x v="1"/>
    <x v="2"/>
    <x v="5"/>
    <s v="CUST1008"/>
    <x v="0"/>
  </r>
  <r>
    <n v="1255"/>
    <x v="235"/>
    <x v="5"/>
    <x v="0"/>
    <x v="2"/>
    <n v="2"/>
    <n v="1190"/>
    <n v="2380"/>
    <n v="0"/>
    <n v="0"/>
    <n v="2380"/>
    <n v="740"/>
    <n v="900"/>
    <n v="0.37815126050420167"/>
    <x v="1"/>
    <x v="1"/>
    <x v="1"/>
    <x v="3"/>
    <s v="CUST1258"/>
    <x v="3"/>
  </r>
  <r>
    <n v="1256"/>
    <x v="82"/>
    <x v="4"/>
    <x v="0"/>
    <x v="0"/>
    <n v="10"/>
    <n v="220"/>
    <n v="2200"/>
    <n v="0"/>
    <n v="0"/>
    <n v="2200"/>
    <n v="140"/>
    <n v="800"/>
    <n v="0.36363636363636365"/>
    <x v="2"/>
    <x v="1"/>
    <x v="2"/>
    <x v="9"/>
    <s v="CUST1223"/>
    <x v="2"/>
  </r>
  <r>
    <n v="1257"/>
    <x v="165"/>
    <x v="0"/>
    <x v="3"/>
    <x v="0"/>
    <n v="11"/>
    <n v="210"/>
    <n v="2310"/>
    <n v="0.05"/>
    <n v="115.5"/>
    <n v="2194.5"/>
    <n v="160"/>
    <n v="434.5"/>
    <n v="0.19799498746867167"/>
    <x v="4"/>
    <x v="1"/>
    <x v="0"/>
    <x v="1"/>
    <s v="CUST1297"/>
    <x v="1"/>
  </r>
  <r>
    <n v="1258"/>
    <x v="250"/>
    <x v="5"/>
    <x v="0"/>
    <x v="0"/>
    <n v="10"/>
    <n v="200"/>
    <n v="2000"/>
    <n v="0"/>
    <n v="0"/>
    <n v="2000"/>
    <n v="130"/>
    <n v="700"/>
    <n v="0.35"/>
    <x v="1"/>
    <x v="1"/>
    <x v="2"/>
    <x v="5"/>
    <s v="CUST1470"/>
    <x v="0"/>
  </r>
  <r>
    <n v="1259"/>
    <x v="206"/>
    <x v="5"/>
    <x v="0"/>
    <x v="0"/>
    <n v="5"/>
    <n v="220"/>
    <n v="1100"/>
    <n v="0.15"/>
    <n v="165"/>
    <n v="935"/>
    <n v="150"/>
    <n v="185"/>
    <n v="0.19786096256684493"/>
    <x v="1"/>
    <x v="1"/>
    <x v="0"/>
    <x v="2"/>
    <s v="CUST1053"/>
    <x v="0"/>
  </r>
  <r>
    <n v="1260"/>
    <x v="318"/>
    <x v="0"/>
    <x v="2"/>
    <x v="3"/>
    <n v="4"/>
    <n v="1640"/>
    <n v="6560"/>
    <n v="0.05"/>
    <n v="328"/>
    <n v="6232"/>
    <n v="1290"/>
    <n v="1072"/>
    <n v="0.17201540436456997"/>
    <x v="3"/>
    <x v="1"/>
    <x v="1"/>
    <x v="7"/>
    <s v="CUST1448"/>
    <x v="2"/>
  </r>
  <r>
    <n v="1261"/>
    <x v="312"/>
    <x v="0"/>
    <x v="0"/>
    <x v="5"/>
    <n v="12"/>
    <n v="220"/>
    <n v="2640"/>
    <n v="0"/>
    <n v="0"/>
    <n v="2640"/>
    <n v="160"/>
    <n v="720"/>
    <n v="0.27272727272727271"/>
    <x v="0"/>
    <x v="1"/>
    <x v="3"/>
    <x v="3"/>
    <s v="CUST1074"/>
    <x v="2"/>
  </r>
  <r>
    <n v="1262"/>
    <x v="103"/>
    <x v="4"/>
    <x v="3"/>
    <x v="4"/>
    <n v="6"/>
    <n v="330"/>
    <n v="1980"/>
    <n v="0"/>
    <n v="0"/>
    <n v="1980"/>
    <n v="210"/>
    <n v="720"/>
    <n v="0.36363636363636365"/>
    <x v="1"/>
    <x v="1"/>
    <x v="3"/>
    <x v="3"/>
    <s v="CUST1055"/>
    <x v="3"/>
  </r>
  <r>
    <n v="1263"/>
    <x v="159"/>
    <x v="5"/>
    <x v="0"/>
    <x v="2"/>
    <n v="9"/>
    <n v="2320"/>
    <n v="20880"/>
    <n v="0.05"/>
    <n v="1044"/>
    <n v="19836"/>
    <n v="1690"/>
    <n v="4626"/>
    <n v="0.23321234119782214"/>
    <x v="4"/>
    <x v="1"/>
    <x v="1"/>
    <x v="3"/>
    <s v="CUST1169"/>
    <x v="1"/>
  </r>
  <r>
    <n v="1264"/>
    <x v="148"/>
    <x v="5"/>
    <x v="2"/>
    <x v="5"/>
    <n v="1"/>
    <n v="200"/>
    <n v="200"/>
    <n v="0"/>
    <n v="0"/>
    <n v="200"/>
    <n v="130"/>
    <n v="70"/>
    <n v="0.35"/>
    <x v="0"/>
    <x v="1"/>
    <x v="0"/>
    <x v="0"/>
    <s v="CUST1369"/>
    <x v="2"/>
  </r>
  <r>
    <n v="1265"/>
    <x v="279"/>
    <x v="1"/>
    <x v="2"/>
    <x v="5"/>
    <n v="12"/>
    <n v="200"/>
    <n v="2400"/>
    <n v="0.02"/>
    <n v="48"/>
    <n v="2352"/>
    <n v="160"/>
    <n v="432"/>
    <n v="0.18367346938775511"/>
    <x v="3"/>
    <x v="1"/>
    <x v="0"/>
    <x v="2"/>
    <s v="CUST1391"/>
    <x v="0"/>
  </r>
  <r>
    <n v="1266"/>
    <x v="334"/>
    <x v="2"/>
    <x v="0"/>
    <x v="1"/>
    <n v="11"/>
    <n v="1960"/>
    <n v="21560"/>
    <n v="0"/>
    <n v="0"/>
    <n v="21560"/>
    <n v="1490"/>
    <n v="5170"/>
    <n v="0.23979591836734693"/>
    <x v="4"/>
    <x v="1"/>
    <x v="2"/>
    <x v="5"/>
    <s v="CUST1422"/>
    <x v="2"/>
  </r>
  <r>
    <n v="1267"/>
    <x v="182"/>
    <x v="4"/>
    <x v="0"/>
    <x v="5"/>
    <n v="10"/>
    <n v="190"/>
    <n v="1900"/>
    <n v="0"/>
    <n v="0"/>
    <n v="1900"/>
    <n v="140"/>
    <n v="500"/>
    <n v="0.26315789473684209"/>
    <x v="4"/>
    <x v="1"/>
    <x v="1"/>
    <x v="0"/>
    <s v="CUST1409"/>
    <x v="0"/>
  </r>
  <r>
    <n v="1268"/>
    <x v="305"/>
    <x v="1"/>
    <x v="0"/>
    <x v="4"/>
    <n v="7"/>
    <n v="330"/>
    <n v="2310"/>
    <n v="0.02"/>
    <n v="46.2"/>
    <n v="2263.8000000000002"/>
    <n v="220"/>
    <n v="723.80000000000018"/>
    <n v="0.31972789115646266"/>
    <x v="3"/>
    <x v="1"/>
    <x v="3"/>
    <x v="7"/>
    <s v="CUST1177"/>
    <x v="2"/>
  </r>
  <r>
    <n v="1269"/>
    <x v="198"/>
    <x v="5"/>
    <x v="1"/>
    <x v="3"/>
    <n v="9"/>
    <n v="1600"/>
    <n v="14400"/>
    <n v="0.1"/>
    <n v="1440"/>
    <n v="12960"/>
    <n v="1110"/>
    <n v="2970"/>
    <n v="0.22916666666666666"/>
    <x v="2"/>
    <x v="1"/>
    <x v="1"/>
    <x v="5"/>
    <s v="CUST1189"/>
    <x v="2"/>
  </r>
  <r>
    <n v="1270"/>
    <x v="22"/>
    <x v="1"/>
    <x v="0"/>
    <x v="4"/>
    <n v="5"/>
    <n v="330"/>
    <n v="1650"/>
    <n v="0"/>
    <n v="0"/>
    <n v="1650"/>
    <n v="260"/>
    <n v="350"/>
    <n v="0.21212121212121213"/>
    <x v="1"/>
    <x v="1"/>
    <x v="1"/>
    <x v="7"/>
    <s v="CUST1349"/>
    <x v="0"/>
  </r>
  <r>
    <n v="1271"/>
    <x v="332"/>
    <x v="0"/>
    <x v="3"/>
    <x v="0"/>
    <n v="1"/>
    <n v="190"/>
    <n v="190"/>
    <n v="0.02"/>
    <n v="3.8000000000000003"/>
    <n v="186.2"/>
    <n v="150"/>
    <n v="36.199999999999989"/>
    <n v="0.19441460794844248"/>
    <x v="3"/>
    <x v="1"/>
    <x v="0"/>
    <x v="1"/>
    <s v="CUST1294"/>
    <x v="0"/>
  </r>
  <r>
    <n v="1272"/>
    <x v="296"/>
    <x v="1"/>
    <x v="0"/>
    <x v="4"/>
    <n v="8"/>
    <n v="290"/>
    <n v="2320"/>
    <n v="0"/>
    <n v="0"/>
    <n v="2320"/>
    <n v="190"/>
    <n v="800"/>
    <n v="0.34482758620689657"/>
    <x v="4"/>
    <x v="1"/>
    <x v="1"/>
    <x v="1"/>
    <s v="CUST1343"/>
    <x v="2"/>
  </r>
  <r>
    <n v="1273"/>
    <x v="220"/>
    <x v="0"/>
    <x v="0"/>
    <x v="4"/>
    <n v="10"/>
    <n v="320"/>
    <n v="3200"/>
    <n v="0"/>
    <n v="0"/>
    <n v="3200"/>
    <n v="230"/>
    <n v="900"/>
    <n v="0.28125"/>
    <x v="4"/>
    <x v="1"/>
    <x v="2"/>
    <x v="7"/>
    <s v="CUST1240"/>
    <x v="2"/>
  </r>
  <r>
    <n v="1274"/>
    <x v="246"/>
    <x v="1"/>
    <x v="0"/>
    <x v="5"/>
    <n v="10"/>
    <n v="200"/>
    <n v="2000"/>
    <n v="0"/>
    <n v="0"/>
    <n v="2000"/>
    <n v="160"/>
    <n v="400"/>
    <n v="0.2"/>
    <x v="2"/>
    <x v="1"/>
    <x v="0"/>
    <x v="4"/>
    <s v="CUST1112"/>
    <x v="3"/>
  </r>
  <r>
    <n v="1275"/>
    <x v="262"/>
    <x v="4"/>
    <x v="0"/>
    <x v="1"/>
    <n v="4"/>
    <n v="2060"/>
    <n v="8240"/>
    <n v="0.05"/>
    <n v="412"/>
    <n v="7828"/>
    <n v="1440"/>
    <n v="2068"/>
    <n v="0.2641798671435871"/>
    <x v="3"/>
    <x v="1"/>
    <x v="0"/>
    <x v="2"/>
    <s v="CUST1080"/>
    <x v="1"/>
  </r>
  <r>
    <n v="1276"/>
    <x v="291"/>
    <x v="0"/>
    <x v="3"/>
    <x v="1"/>
    <n v="9"/>
    <n v="1970"/>
    <n v="17730"/>
    <n v="0"/>
    <n v="0"/>
    <n v="17730"/>
    <n v="1520"/>
    <n v="4050"/>
    <n v="0.22842639593908629"/>
    <x v="1"/>
    <x v="1"/>
    <x v="3"/>
    <x v="3"/>
    <s v="CUST1076"/>
    <x v="1"/>
  </r>
  <r>
    <n v="1277"/>
    <x v="201"/>
    <x v="5"/>
    <x v="0"/>
    <x v="0"/>
    <n v="10"/>
    <n v="230"/>
    <n v="2300"/>
    <n v="0.02"/>
    <n v="46"/>
    <n v="2254"/>
    <n v="150"/>
    <n v="754"/>
    <n v="0.33451641526175685"/>
    <x v="2"/>
    <x v="1"/>
    <x v="1"/>
    <x v="4"/>
    <s v="CUST1097"/>
    <x v="1"/>
  </r>
  <r>
    <n v="1278"/>
    <x v="63"/>
    <x v="3"/>
    <x v="3"/>
    <x v="0"/>
    <n v="2"/>
    <n v="190"/>
    <n v="380"/>
    <n v="0.05"/>
    <n v="19"/>
    <n v="361"/>
    <n v="130"/>
    <n v="101"/>
    <n v="0.27977839335180055"/>
    <x v="0"/>
    <x v="1"/>
    <x v="3"/>
    <x v="7"/>
    <s v="CUST1480"/>
    <x v="2"/>
  </r>
  <r>
    <n v="1279"/>
    <x v="294"/>
    <x v="3"/>
    <x v="3"/>
    <x v="3"/>
    <n v="4"/>
    <n v="1480"/>
    <n v="5920"/>
    <n v="0.02"/>
    <n v="118.4"/>
    <n v="5801.6"/>
    <n v="1160"/>
    <n v="1161.6000000000004"/>
    <n v="0.2002206287920574"/>
    <x v="1"/>
    <x v="1"/>
    <x v="3"/>
    <x v="7"/>
    <s v="CUST1463"/>
    <x v="3"/>
  </r>
  <r>
    <n v="1280"/>
    <x v="174"/>
    <x v="5"/>
    <x v="0"/>
    <x v="0"/>
    <n v="2"/>
    <n v="210"/>
    <n v="420"/>
    <n v="0.02"/>
    <n v="8.4"/>
    <n v="411.6"/>
    <n v="170"/>
    <n v="71.600000000000023"/>
    <n v="0.17395529640427604"/>
    <x v="4"/>
    <x v="1"/>
    <x v="2"/>
    <x v="5"/>
    <s v="CUST1243"/>
    <x v="2"/>
  </r>
  <r>
    <n v="1281"/>
    <x v="57"/>
    <x v="3"/>
    <x v="2"/>
    <x v="3"/>
    <n v="1"/>
    <n v="1620"/>
    <n v="1620"/>
    <n v="0.1"/>
    <n v="162"/>
    <n v="1458"/>
    <n v="1130"/>
    <n v="328"/>
    <n v="0.22496570644718794"/>
    <x v="3"/>
    <x v="1"/>
    <x v="3"/>
    <x v="3"/>
    <s v="CUST1306"/>
    <x v="3"/>
  </r>
  <r>
    <n v="1282"/>
    <x v="61"/>
    <x v="3"/>
    <x v="3"/>
    <x v="0"/>
    <n v="7"/>
    <n v="210"/>
    <n v="1470"/>
    <n v="0.1"/>
    <n v="147"/>
    <n v="1323"/>
    <n v="140"/>
    <n v="343"/>
    <n v="0.25925925925925924"/>
    <x v="1"/>
    <x v="1"/>
    <x v="2"/>
    <x v="2"/>
    <s v="CUST1079"/>
    <x v="2"/>
  </r>
  <r>
    <n v="1283"/>
    <x v="225"/>
    <x v="1"/>
    <x v="3"/>
    <x v="0"/>
    <n v="6"/>
    <n v="220"/>
    <n v="1320"/>
    <n v="0.05"/>
    <n v="66"/>
    <n v="1254"/>
    <n v="180"/>
    <n v="174"/>
    <n v="0.13875598086124402"/>
    <x v="3"/>
    <x v="1"/>
    <x v="3"/>
    <x v="7"/>
    <s v="CUST1333"/>
    <x v="3"/>
  </r>
  <r>
    <n v="1284"/>
    <x v="321"/>
    <x v="0"/>
    <x v="0"/>
    <x v="4"/>
    <n v="5"/>
    <n v="270"/>
    <n v="1350"/>
    <n v="0"/>
    <n v="0"/>
    <n v="1350"/>
    <n v="200"/>
    <n v="350"/>
    <n v="0.25925925925925924"/>
    <x v="0"/>
    <x v="3"/>
    <x v="0"/>
    <x v="5"/>
    <s v="CUST1006"/>
    <x v="0"/>
  </r>
  <r>
    <n v="1285"/>
    <x v="156"/>
    <x v="0"/>
    <x v="0"/>
    <x v="3"/>
    <n v="1"/>
    <n v="1540"/>
    <n v="1540"/>
    <n v="0"/>
    <n v="0"/>
    <n v="1540"/>
    <n v="920"/>
    <n v="620"/>
    <n v="0.40259740259740262"/>
    <x v="4"/>
    <x v="1"/>
    <x v="3"/>
    <x v="0"/>
    <s v="CUST1217"/>
    <x v="0"/>
  </r>
  <r>
    <n v="1286"/>
    <x v="96"/>
    <x v="3"/>
    <x v="1"/>
    <x v="3"/>
    <n v="6"/>
    <n v="1580"/>
    <n v="9480"/>
    <n v="0"/>
    <n v="0"/>
    <n v="9480"/>
    <n v="1160"/>
    <n v="2520"/>
    <n v="0.26582278481012656"/>
    <x v="0"/>
    <x v="1"/>
    <x v="2"/>
    <x v="0"/>
    <s v="CUST1221"/>
    <x v="0"/>
  </r>
  <r>
    <n v="1287"/>
    <x v="272"/>
    <x v="3"/>
    <x v="1"/>
    <x v="5"/>
    <n v="7"/>
    <n v="200"/>
    <n v="1400"/>
    <n v="0"/>
    <n v="0"/>
    <n v="1400"/>
    <n v="140"/>
    <n v="420"/>
    <n v="0.3"/>
    <x v="3"/>
    <x v="2"/>
    <x v="0"/>
    <x v="2"/>
    <s v="CUST1209"/>
    <x v="0"/>
  </r>
  <r>
    <n v="1288"/>
    <x v="218"/>
    <x v="0"/>
    <x v="3"/>
    <x v="3"/>
    <n v="10"/>
    <n v="1720"/>
    <n v="17200"/>
    <n v="0.15"/>
    <n v="2580"/>
    <n v="14620"/>
    <n v="1290"/>
    <n v="1720"/>
    <n v="0.11764705882352941"/>
    <x v="2"/>
    <x v="1"/>
    <x v="2"/>
    <x v="4"/>
    <s v="CUST1268"/>
    <x v="2"/>
  </r>
  <r>
    <n v="1289"/>
    <x v="359"/>
    <x v="5"/>
    <x v="0"/>
    <x v="5"/>
    <n v="8"/>
    <n v="210"/>
    <n v="1680"/>
    <n v="0.05"/>
    <n v="84"/>
    <n v="1596"/>
    <n v="150"/>
    <n v="396"/>
    <n v="0.24812030075187969"/>
    <x v="3"/>
    <x v="1"/>
    <x v="2"/>
    <x v="6"/>
    <s v="CUST1052"/>
    <x v="1"/>
  </r>
  <r>
    <n v="1290"/>
    <x v="294"/>
    <x v="0"/>
    <x v="0"/>
    <x v="4"/>
    <n v="2"/>
    <n v="280"/>
    <n v="560"/>
    <n v="0"/>
    <n v="0"/>
    <n v="560"/>
    <n v="200"/>
    <n v="160"/>
    <n v="0.2857142857142857"/>
    <x v="0"/>
    <x v="1"/>
    <x v="1"/>
    <x v="3"/>
    <s v="CUST1442"/>
    <x v="1"/>
  </r>
  <r>
    <n v="1291"/>
    <x v="105"/>
    <x v="5"/>
    <x v="0"/>
    <x v="4"/>
    <n v="4"/>
    <n v="300"/>
    <n v="1200"/>
    <n v="0"/>
    <n v="0"/>
    <n v="1200"/>
    <n v="230"/>
    <n v="280"/>
    <n v="0.23333333333333334"/>
    <x v="1"/>
    <x v="1"/>
    <x v="1"/>
    <x v="7"/>
    <s v="CUST1214"/>
    <x v="3"/>
  </r>
  <r>
    <n v="1292"/>
    <x v="17"/>
    <x v="3"/>
    <x v="2"/>
    <x v="0"/>
    <n v="2"/>
    <n v="210"/>
    <n v="420"/>
    <n v="0"/>
    <n v="0"/>
    <n v="420"/>
    <n v="140"/>
    <n v="140"/>
    <n v="0.33333333333333331"/>
    <x v="0"/>
    <x v="3"/>
    <x v="3"/>
    <x v="8"/>
    <s v="CUST1010"/>
    <x v="3"/>
  </r>
  <r>
    <n v="1293"/>
    <x v="95"/>
    <x v="3"/>
    <x v="0"/>
    <x v="4"/>
    <n v="3"/>
    <n v="280"/>
    <n v="840"/>
    <n v="0"/>
    <n v="0"/>
    <n v="840"/>
    <n v="200"/>
    <n v="240"/>
    <n v="0.2857142857142857"/>
    <x v="2"/>
    <x v="1"/>
    <x v="0"/>
    <x v="6"/>
    <s v="CUST1461"/>
    <x v="0"/>
  </r>
  <r>
    <n v="1294"/>
    <x v="356"/>
    <x v="4"/>
    <x v="0"/>
    <x v="3"/>
    <n v="7"/>
    <n v="1450"/>
    <n v="10150"/>
    <n v="0"/>
    <n v="0"/>
    <n v="10150"/>
    <n v="860"/>
    <n v="4130"/>
    <n v="0.40689655172413791"/>
    <x v="2"/>
    <x v="1"/>
    <x v="3"/>
    <x v="4"/>
    <s v="CUST1061"/>
    <x v="2"/>
  </r>
  <r>
    <n v="1295"/>
    <x v="42"/>
    <x v="1"/>
    <x v="2"/>
    <x v="1"/>
    <n v="8"/>
    <n v="2010"/>
    <n v="16080"/>
    <n v="0"/>
    <n v="0"/>
    <n v="16080"/>
    <n v="1390"/>
    <n v="4960"/>
    <n v="0.30845771144278605"/>
    <x v="4"/>
    <x v="1"/>
    <x v="3"/>
    <x v="6"/>
    <s v="CUST1221"/>
    <x v="2"/>
  </r>
  <r>
    <n v="1296"/>
    <x v="24"/>
    <x v="1"/>
    <x v="3"/>
    <x v="5"/>
    <n v="7"/>
    <n v="200"/>
    <n v="1400"/>
    <n v="0"/>
    <n v="0"/>
    <n v="1400"/>
    <n v="120"/>
    <n v="560"/>
    <n v="0.4"/>
    <x v="4"/>
    <x v="2"/>
    <x v="0"/>
    <x v="1"/>
    <s v="CUST1048"/>
    <x v="2"/>
  </r>
  <r>
    <n v="1297"/>
    <x v="83"/>
    <x v="0"/>
    <x v="0"/>
    <x v="3"/>
    <n v="1"/>
    <n v="1370"/>
    <n v="1370"/>
    <n v="0"/>
    <n v="0"/>
    <n v="1370"/>
    <n v="850"/>
    <n v="520"/>
    <n v="0.37956204379562042"/>
    <x v="3"/>
    <x v="1"/>
    <x v="1"/>
    <x v="4"/>
    <s v="CUST1133"/>
    <x v="2"/>
  </r>
  <r>
    <n v="1298"/>
    <x v="274"/>
    <x v="1"/>
    <x v="1"/>
    <x v="1"/>
    <n v="12"/>
    <n v="1980"/>
    <n v="23760"/>
    <n v="0"/>
    <n v="0"/>
    <n v="23760"/>
    <n v="1530"/>
    <n v="5400"/>
    <n v="0.22727272727272727"/>
    <x v="3"/>
    <x v="1"/>
    <x v="2"/>
    <x v="1"/>
    <s v="CUST1186"/>
    <x v="2"/>
  </r>
  <r>
    <n v="1299"/>
    <x v="69"/>
    <x v="3"/>
    <x v="3"/>
    <x v="4"/>
    <n v="4"/>
    <n v="300"/>
    <n v="1200"/>
    <n v="0"/>
    <n v="0"/>
    <n v="1200"/>
    <n v="180"/>
    <n v="480"/>
    <n v="0.4"/>
    <x v="4"/>
    <x v="1"/>
    <x v="1"/>
    <x v="6"/>
    <s v="CUST1006"/>
    <x v="1"/>
  </r>
  <r>
    <n v="1300"/>
    <x v="208"/>
    <x v="2"/>
    <x v="3"/>
    <x v="0"/>
    <n v="4"/>
    <n v="220"/>
    <n v="880"/>
    <n v="0.05"/>
    <n v="44"/>
    <n v="836"/>
    <n v="140"/>
    <n v="276"/>
    <n v="0.33014354066985646"/>
    <x v="4"/>
    <x v="1"/>
    <x v="1"/>
    <x v="8"/>
    <s v="CUST1425"/>
    <x v="3"/>
  </r>
  <r>
    <n v="1301"/>
    <x v="197"/>
    <x v="1"/>
    <x v="0"/>
    <x v="4"/>
    <n v="10"/>
    <n v="320"/>
    <n v="3200"/>
    <n v="0.15"/>
    <n v="480"/>
    <n v="2720"/>
    <n v="220"/>
    <n v="520"/>
    <n v="0.19117647058823528"/>
    <x v="4"/>
    <x v="1"/>
    <x v="2"/>
    <x v="7"/>
    <s v="CUST1493"/>
    <x v="0"/>
  </r>
  <r>
    <n v="1302"/>
    <x v="75"/>
    <x v="2"/>
    <x v="0"/>
    <x v="0"/>
    <n v="4"/>
    <n v="230"/>
    <n v="920"/>
    <n v="0"/>
    <n v="0"/>
    <n v="920"/>
    <n v="170"/>
    <n v="240"/>
    <n v="0.2608695652173913"/>
    <x v="1"/>
    <x v="1"/>
    <x v="3"/>
    <x v="7"/>
    <s v="CUST1369"/>
    <x v="2"/>
  </r>
  <r>
    <n v="1303"/>
    <x v="193"/>
    <x v="3"/>
    <x v="0"/>
    <x v="0"/>
    <n v="5"/>
    <n v="240"/>
    <n v="1200"/>
    <n v="0.05"/>
    <n v="60"/>
    <n v="1140"/>
    <n v="170"/>
    <n v="290"/>
    <n v="0.25438596491228072"/>
    <x v="1"/>
    <x v="1"/>
    <x v="3"/>
    <x v="3"/>
    <s v="CUST1049"/>
    <x v="2"/>
  </r>
  <r>
    <n v="1304"/>
    <x v="4"/>
    <x v="1"/>
    <x v="0"/>
    <x v="5"/>
    <n v="2"/>
    <n v="200"/>
    <n v="400"/>
    <n v="0"/>
    <n v="0"/>
    <n v="400"/>
    <n v="160"/>
    <n v="80"/>
    <n v="0.2"/>
    <x v="3"/>
    <x v="1"/>
    <x v="0"/>
    <x v="9"/>
    <s v="CUST1055"/>
    <x v="2"/>
  </r>
  <r>
    <n v="1305"/>
    <x v="177"/>
    <x v="4"/>
    <x v="0"/>
    <x v="2"/>
    <n v="10"/>
    <n v="1190"/>
    <n v="11900"/>
    <n v="0.05"/>
    <n v="595"/>
    <n v="11305"/>
    <n v="820"/>
    <n v="3105"/>
    <n v="0.27465723131357805"/>
    <x v="2"/>
    <x v="1"/>
    <x v="1"/>
    <x v="9"/>
    <s v="CUST1451"/>
    <x v="1"/>
  </r>
  <r>
    <n v="1306"/>
    <x v="8"/>
    <x v="2"/>
    <x v="3"/>
    <x v="3"/>
    <n v="10"/>
    <n v="1570"/>
    <n v="15700"/>
    <n v="0"/>
    <n v="0"/>
    <n v="15700"/>
    <n v="1160"/>
    <n v="4100"/>
    <n v="0.26114649681528662"/>
    <x v="2"/>
    <x v="1"/>
    <x v="2"/>
    <x v="1"/>
    <s v="CUST1397"/>
    <x v="1"/>
  </r>
  <r>
    <n v="1307"/>
    <x v="81"/>
    <x v="1"/>
    <x v="3"/>
    <x v="3"/>
    <n v="9"/>
    <n v="1640"/>
    <n v="14760"/>
    <n v="0.02"/>
    <n v="295.2"/>
    <n v="14464.8"/>
    <n v="1110"/>
    <n v="4474.7999999999993"/>
    <n v="0.30935788949726228"/>
    <x v="1"/>
    <x v="2"/>
    <x v="1"/>
    <x v="3"/>
    <s v="CUST1240"/>
    <x v="3"/>
  </r>
  <r>
    <n v="1308"/>
    <x v="88"/>
    <x v="5"/>
    <x v="1"/>
    <x v="4"/>
    <n v="8"/>
    <n v="340"/>
    <n v="2720"/>
    <n v="0.1"/>
    <n v="272"/>
    <n v="2448"/>
    <n v="240"/>
    <n v="528"/>
    <n v="0.21568627450980393"/>
    <x v="4"/>
    <x v="0"/>
    <x v="3"/>
    <x v="2"/>
    <s v="CUST1286"/>
    <x v="0"/>
  </r>
  <r>
    <n v="1309"/>
    <x v="197"/>
    <x v="4"/>
    <x v="0"/>
    <x v="1"/>
    <n v="3"/>
    <n v="2160"/>
    <n v="6480"/>
    <n v="0.05"/>
    <n v="324"/>
    <n v="6156"/>
    <n v="1740"/>
    <n v="936"/>
    <n v="0.15204678362573099"/>
    <x v="3"/>
    <x v="1"/>
    <x v="1"/>
    <x v="8"/>
    <s v="CUST1292"/>
    <x v="2"/>
  </r>
  <r>
    <n v="1310"/>
    <x v="143"/>
    <x v="0"/>
    <x v="0"/>
    <x v="0"/>
    <n v="9"/>
    <n v="220"/>
    <n v="1980"/>
    <n v="0"/>
    <n v="0"/>
    <n v="1980"/>
    <n v="140"/>
    <n v="720"/>
    <n v="0.36363636363636365"/>
    <x v="4"/>
    <x v="1"/>
    <x v="0"/>
    <x v="7"/>
    <s v="CUST1050"/>
    <x v="0"/>
  </r>
  <r>
    <n v="1311"/>
    <x v="9"/>
    <x v="5"/>
    <x v="3"/>
    <x v="2"/>
    <n v="11"/>
    <n v="1910"/>
    <n v="21010"/>
    <n v="0"/>
    <n v="0"/>
    <n v="21010"/>
    <n v="1350"/>
    <n v="6160"/>
    <n v="0.29319371727748689"/>
    <x v="0"/>
    <x v="1"/>
    <x v="1"/>
    <x v="2"/>
    <s v="CUST1384"/>
    <x v="1"/>
  </r>
  <r>
    <n v="1312"/>
    <x v="153"/>
    <x v="0"/>
    <x v="0"/>
    <x v="2"/>
    <n v="2"/>
    <n v="1120"/>
    <n v="2240"/>
    <n v="0"/>
    <n v="0"/>
    <n v="2240"/>
    <n v="780"/>
    <n v="680"/>
    <n v="0.30357142857142855"/>
    <x v="3"/>
    <x v="1"/>
    <x v="3"/>
    <x v="1"/>
    <s v="CUST1009"/>
    <x v="3"/>
  </r>
  <r>
    <n v="1313"/>
    <x v="352"/>
    <x v="5"/>
    <x v="3"/>
    <x v="0"/>
    <n v="6"/>
    <n v="190"/>
    <n v="1140"/>
    <n v="0"/>
    <n v="0"/>
    <n v="1140"/>
    <n v="150"/>
    <n v="240"/>
    <n v="0.21052631578947367"/>
    <x v="4"/>
    <x v="2"/>
    <x v="0"/>
    <x v="3"/>
    <s v="CUST1473"/>
    <x v="0"/>
  </r>
  <r>
    <n v="1314"/>
    <x v="215"/>
    <x v="5"/>
    <x v="0"/>
    <x v="0"/>
    <n v="9"/>
    <n v="190"/>
    <n v="1710"/>
    <n v="0"/>
    <n v="0"/>
    <n v="1710"/>
    <n v="130"/>
    <n v="540"/>
    <n v="0.31578947368421051"/>
    <x v="1"/>
    <x v="1"/>
    <x v="2"/>
    <x v="7"/>
    <s v="CUST1205"/>
    <x v="1"/>
  </r>
  <r>
    <n v="1315"/>
    <x v="288"/>
    <x v="3"/>
    <x v="1"/>
    <x v="2"/>
    <n v="9"/>
    <n v="1100"/>
    <n v="9900"/>
    <n v="0"/>
    <n v="0"/>
    <n v="9900"/>
    <n v="780"/>
    <n v="2880"/>
    <n v="0.29090909090909089"/>
    <x v="1"/>
    <x v="1"/>
    <x v="1"/>
    <x v="3"/>
    <s v="CUST1110"/>
    <x v="2"/>
  </r>
  <r>
    <n v="1316"/>
    <x v="267"/>
    <x v="0"/>
    <x v="1"/>
    <x v="4"/>
    <n v="6"/>
    <n v="320"/>
    <n v="1920"/>
    <n v="0.15"/>
    <n v="288"/>
    <n v="1632"/>
    <n v="240"/>
    <n v="192"/>
    <n v="0.11764705882352941"/>
    <x v="1"/>
    <x v="1"/>
    <x v="2"/>
    <x v="3"/>
    <s v="CUST1073"/>
    <x v="0"/>
  </r>
  <r>
    <n v="1317"/>
    <x v="170"/>
    <x v="5"/>
    <x v="0"/>
    <x v="5"/>
    <n v="7"/>
    <n v="210"/>
    <n v="1470"/>
    <n v="0.1"/>
    <n v="147"/>
    <n v="1323"/>
    <n v="160"/>
    <n v="203"/>
    <n v="0.15343915343915343"/>
    <x v="1"/>
    <x v="1"/>
    <x v="2"/>
    <x v="2"/>
    <s v="CUST1324"/>
    <x v="0"/>
  </r>
  <r>
    <n v="1318"/>
    <x v="294"/>
    <x v="5"/>
    <x v="0"/>
    <x v="0"/>
    <n v="10"/>
    <n v="200"/>
    <n v="2000"/>
    <n v="0.05"/>
    <n v="100"/>
    <n v="1900"/>
    <n v="150"/>
    <n v="400"/>
    <n v="0.21052631578947367"/>
    <x v="1"/>
    <x v="3"/>
    <x v="2"/>
    <x v="8"/>
    <s v="CUST1038"/>
    <x v="1"/>
  </r>
  <r>
    <n v="1319"/>
    <x v="276"/>
    <x v="1"/>
    <x v="0"/>
    <x v="1"/>
    <n v="2"/>
    <n v="2150"/>
    <n v="4300"/>
    <n v="0.15"/>
    <n v="645"/>
    <n v="3655"/>
    <n v="1620"/>
    <n v="415"/>
    <n v="0.11354309165526676"/>
    <x v="3"/>
    <x v="1"/>
    <x v="0"/>
    <x v="0"/>
    <s v="CUST1500"/>
    <x v="3"/>
  </r>
  <r>
    <n v="1320"/>
    <x v="91"/>
    <x v="1"/>
    <x v="2"/>
    <x v="4"/>
    <n v="7"/>
    <n v="280"/>
    <n v="1960"/>
    <n v="0.05"/>
    <n v="98"/>
    <n v="1862"/>
    <n v="200"/>
    <n v="462"/>
    <n v="0.24812030075187969"/>
    <x v="4"/>
    <x v="1"/>
    <x v="3"/>
    <x v="5"/>
    <s v="CUST1217"/>
    <x v="0"/>
  </r>
  <r>
    <n v="1321"/>
    <x v="358"/>
    <x v="0"/>
    <x v="3"/>
    <x v="0"/>
    <n v="2"/>
    <n v="230"/>
    <n v="460"/>
    <n v="0.05"/>
    <n v="23"/>
    <n v="437"/>
    <n v="150"/>
    <n v="137"/>
    <n v="0.31350114416475972"/>
    <x v="4"/>
    <x v="2"/>
    <x v="0"/>
    <x v="2"/>
    <s v="CUST1269"/>
    <x v="1"/>
  </r>
  <r>
    <n v="1322"/>
    <x v="116"/>
    <x v="5"/>
    <x v="1"/>
    <x v="0"/>
    <n v="9"/>
    <n v="240"/>
    <n v="2160"/>
    <n v="0.05"/>
    <n v="108"/>
    <n v="2052"/>
    <n v="150"/>
    <n v="702"/>
    <n v="0.34210526315789475"/>
    <x v="1"/>
    <x v="1"/>
    <x v="1"/>
    <x v="2"/>
    <s v="CUST1069"/>
    <x v="0"/>
  </r>
  <r>
    <n v="1323"/>
    <x v="252"/>
    <x v="5"/>
    <x v="3"/>
    <x v="5"/>
    <n v="2"/>
    <n v="190"/>
    <n v="380"/>
    <n v="0.15"/>
    <n v="57"/>
    <n v="323"/>
    <n v="150"/>
    <n v="23"/>
    <n v="7.1207430340557279E-2"/>
    <x v="3"/>
    <x v="1"/>
    <x v="1"/>
    <x v="8"/>
    <s v="CUST1179"/>
    <x v="0"/>
  </r>
  <r>
    <n v="1324"/>
    <x v="237"/>
    <x v="0"/>
    <x v="1"/>
    <x v="0"/>
    <n v="5"/>
    <n v="230"/>
    <n v="1150"/>
    <n v="0.1"/>
    <n v="115"/>
    <n v="1035"/>
    <n v="180"/>
    <n v="135"/>
    <n v="0.13043478260869565"/>
    <x v="2"/>
    <x v="1"/>
    <x v="2"/>
    <x v="3"/>
    <s v="CUST1160"/>
    <x v="1"/>
  </r>
  <r>
    <n v="1325"/>
    <x v="360"/>
    <x v="0"/>
    <x v="0"/>
    <x v="1"/>
    <n v="5"/>
    <n v="2170"/>
    <n v="10850"/>
    <n v="0"/>
    <n v="0"/>
    <n v="10850"/>
    <n v="1590"/>
    <n v="2900"/>
    <n v="0.26728110599078342"/>
    <x v="2"/>
    <x v="1"/>
    <x v="3"/>
    <x v="2"/>
    <s v="CUST1394"/>
    <x v="2"/>
  </r>
  <r>
    <n v="1326"/>
    <x v="92"/>
    <x v="3"/>
    <x v="0"/>
    <x v="3"/>
    <n v="9"/>
    <n v="1610"/>
    <n v="14490"/>
    <n v="0.15"/>
    <n v="2173.5"/>
    <n v="12316.5"/>
    <n v="1080"/>
    <n v="2596.5"/>
    <n v="0.21081476068688346"/>
    <x v="1"/>
    <x v="1"/>
    <x v="1"/>
    <x v="2"/>
    <s v="CUST1126"/>
    <x v="1"/>
  </r>
  <r>
    <n v="1327"/>
    <x v="150"/>
    <x v="2"/>
    <x v="0"/>
    <x v="4"/>
    <n v="12"/>
    <n v="310"/>
    <n v="3720"/>
    <n v="0.02"/>
    <n v="74.400000000000006"/>
    <n v="3645.6"/>
    <n v="250"/>
    <n v="645.59999999999991"/>
    <n v="0.17709019091507569"/>
    <x v="0"/>
    <x v="1"/>
    <x v="3"/>
    <x v="5"/>
    <s v="CUST1198"/>
    <x v="3"/>
  </r>
  <r>
    <n v="1328"/>
    <x v="194"/>
    <x v="0"/>
    <x v="3"/>
    <x v="0"/>
    <n v="2"/>
    <n v="190"/>
    <n v="380"/>
    <n v="0.1"/>
    <n v="38"/>
    <n v="342"/>
    <n v="130"/>
    <n v="82"/>
    <n v="0.23976608187134502"/>
    <x v="4"/>
    <x v="1"/>
    <x v="2"/>
    <x v="7"/>
    <s v="CUST1413"/>
    <x v="1"/>
  </r>
  <r>
    <n v="1329"/>
    <x v="226"/>
    <x v="0"/>
    <x v="0"/>
    <x v="0"/>
    <n v="1"/>
    <n v="210"/>
    <n v="210"/>
    <n v="0"/>
    <n v="0"/>
    <n v="210"/>
    <n v="140"/>
    <n v="70"/>
    <n v="0.33333333333333331"/>
    <x v="3"/>
    <x v="1"/>
    <x v="1"/>
    <x v="5"/>
    <s v="CUST1301"/>
    <x v="2"/>
  </r>
  <r>
    <n v="1330"/>
    <x v="278"/>
    <x v="0"/>
    <x v="1"/>
    <x v="2"/>
    <n v="5"/>
    <n v="1350"/>
    <n v="6750"/>
    <n v="0.05"/>
    <n v="337.5"/>
    <n v="6412.5"/>
    <n v="910"/>
    <n v="1862.5"/>
    <n v="0.29044834307992201"/>
    <x v="4"/>
    <x v="1"/>
    <x v="1"/>
    <x v="5"/>
    <s v="CUST1425"/>
    <x v="3"/>
  </r>
  <r>
    <n v="1331"/>
    <x v="103"/>
    <x v="5"/>
    <x v="0"/>
    <x v="4"/>
    <n v="3"/>
    <n v="270"/>
    <n v="810"/>
    <n v="0.15"/>
    <n v="121.5"/>
    <n v="688.5"/>
    <n v="190"/>
    <n v="118.5"/>
    <n v="0.17211328976034859"/>
    <x v="2"/>
    <x v="1"/>
    <x v="0"/>
    <x v="5"/>
    <s v="CUST1204"/>
    <x v="0"/>
  </r>
  <r>
    <n v="1332"/>
    <x v="221"/>
    <x v="0"/>
    <x v="0"/>
    <x v="0"/>
    <n v="3"/>
    <n v="210"/>
    <n v="630"/>
    <n v="0"/>
    <n v="0"/>
    <n v="630"/>
    <n v="160"/>
    <n v="150"/>
    <n v="0.23809523809523808"/>
    <x v="4"/>
    <x v="1"/>
    <x v="0"/>
    <x v="7"/>
    <s v="CUST1266"/>
    <x v="1"/>
  </r>
  <r>
    <n v="1333"/>
    <x v="354"/>
    <x v="2"/>
    <x v="0"/>
    <x v="1"/>
    <n v="11"/>
    <n v="2330"/>
    <n v="25630"/>
    <n v="0.15"/>
    <n v="3844.5"/>
    <n v="21785.5"/>
    <n v="1900"/>
    <n v="885.5"/>
    <n v="4.0646301439030551E-2"/>
    <x v="3"/>
    <x v="1"/>
    <x v="2"/>
    <x v="5"/>
    <s v="CUST1339"/>
    <x v="2"/>
  </r>
  <r>
    <n v="1334"/>
    <x v="273"/>
    <x v="5"/>
    <x v="1"/>
    <x v="0"/>
    <n v="7"/>
    <n v="240"/>
    <n v="1680"/>
    <n v="0"/>
    <n v="0"/>
    <n v="1680"/>
    <n v="140"/>
    <n v="700"/>
    <n v="0.41666666666666669"/>
    <x v="0"/>
    <x v="1"/>
    <x v="1"/>
    <x v="5"/>
    <s v="CUST1093"/>
    <x v="0"/>
  </r>
  <r>
    <n v="1335"/>
    <x v="130"/>
    <x v="5"/>
    <x v="1"/>
    <x v="1"/>
    <n v="8"/>
    <n v="2370"/>
    <n v="18960"/>
    <n v="0.02"/>
    <n v="379.2"/>
    <n v="18580.8"/>
    <n v="1560"/>
    <n v="6100.7999999999993"/>
    <n v="0.32833893050891239"/>
    <x v="3"/>
    <x v="1"/>
    <x v="1"/>
    <x v="6"/>
    <s v="CUST1005"/>
    <x v="2"/>
  </r>
  <r>
    <n v="1336"/>
    <x v="24"/>
    <x v="1"/>
    <x v="0"/>
    <x v="1"/>
    <n v="3"/>
    <n v="2400"/>
    <n v="7200"/>
    <n v="0.05"/>
    <n v="360"/>
    <n v="6840"/>
    <n v="1550"/>
    <n v="2190"/>
    <n v="0.32017543859649122"/>
    <x v="2"/>
    <x v="1"/>
    <x v="2"/>
    <x v="1"/>
    <s v="CUST1221"/>
    <x v="0"/>
  </r>
  <r>
    <n v="1337"/>
    <x v="269"/>
    <x v="1"/>
    <x v="0"/>
    <x v="0"/>
    <n v="11"/>
    <n v="200"/>
    <n v="2200"/>
    <n v="0"/>
    <n v="0"/>
    <n v="2200"/>
    <n v="140"/>
    <n v="660"/>
    <n v="0.3"/>
    <x v="0"/>
    <x v="1"/>
    <x v="0"/>
    <x v="8"/>
    <s v="CUST1016"/>
    <x v="2"/>
  </r>
  <r>
    <n v="1338"/>
    <x v="107"/>
    <x v="1"/>
    <x v="0"/>
    <x v="5"/>
    <n v="10"/>
    <n v="210"/>
    <n v="2100"/>
    <n v="0.02"/>
    <n v="42"/>
    <n v="2058"/>
    <n v="170"/>
    <n v="358"/>
    <n v="0.17395529640427598"/>
    <x v="0"/>
    <x v="1"/>
    <x v="1"/>
    <x v="7"/>
    <s v="CUST1458"/>
    <x v="3"/>
  </r>
  <r>
    <n v="1339"/>
    <x v="357"/>
    <x v="3"/>
    <x v="0"/>
    <x v="4"/>
    <n v="1"/>
    <n v="310"/>
    <n v="310"/>
    <n v="0"/>
    <n v="0"/>
    <n v="310"/>
    <n v="230"/>
    <n v="80"/>
    <n v="0.25806451612903225"/>
    <x v="2"/>
    <x v="1"/>
    <x v="0"/>
    <x v="2"/>
    <s v="CUST1244"/>
    <x v="0"/>
  </r>
  <r>
    <n v="1340"/>
    <x v="326"/>
    <x v="3"/>
    <x v="1"/>
    <x v="1"/>
    <n v="1"/>
    <n v="2200"/>
    <n v="2200"/>
    <n v="0"/>
    <n v="0"/>
    <n v="2200"/>
    <n v="1360"/>
    <n v="840"/>
    <n v="0.38181818181818183"/>
    <x v="2"/>
    <x v="1"/>
    <x v="3"/>
    <x v="9"/>
    <s v="CUST1449"/>
    <x v="2"/>
  </r>
  <r>
    <n v="1341"/>
    <x v="282"/>
    <x v="0"/>
    <x v="1"/>
    <x v="3"/>
    <n v="6"/>
    <n v="1600"/>
    <n v="9600"/>
    <n v="0"/>
    <n v="0"/>
    <n v="9600"/>
    <n v="990"/>
    <n v="3660"/>
    <n v="0.38124999999999998"/>
    <x v="1"/>
    <x v="1"/>
    <x v="1"/>
    <x v="9"/>
    <s v="CUST1308"/>
    <x v="3"/>
  </r>
  <r>
    <n v="1342"/>
    <x v="42"/>
    <x v="5"/>
    <x v="0"/>
    <x v="5"/>
    <n v="6"/>
    <n v="220"/>
    <n v="1320"/>
    <n v="0"/>
    <n v="0"/>
    <n v="1320"/>
    <n v="130"/>
    <n v="540"/>
    <n v="0.40909090909090912"/>
    <x v="3"/>
    <x v="1"/>
    <x v="3"/>
    <x v="6"/>
    <s v="CUST1154"/>
    <x v="3"/>
  </r>
  <r>
    <n v="1343"/>
    <x v="195"/>
    <x v="5"/>
    <x v="1"/>
    <x v="1"/>
    <n v="5"/>
    <n v="1940"/>
    <n v="9700"/>
    <n v="0.02"/>
    <n v="194"/>
    <n v="9506"/>
    <n v="1370"/>
    <n v="2656"/>
    <n v="0.27940248264254153"/>
    <x v="2"/>
    <x v="1"/>
    <x v="1"/>
    <x v="2"/>
    <s v="CUST1118"/>
    <x v="2"/>
  </r>
  <r>
    <n v="1344"/>
    <x v="18"/>
    <x v="5"/>
    <x v="0"/>
    <x v="3"/>
    <n v="2"/>
    <n v="1390"/>
    <n v="2780"/>
    <n v="0.1"/>
    <n v="278"/>
    <n v="2502"/>
    <n v="860"/>
    <n v="782"/>
    <n v="0.31254996003197444"/>
    <x v="2"/>
    <x v="1"/>
    <x v="3"/>
    <x v="6"/>
    <s v="CUST1072"/>
    <x v="1"/>
  </r>
  <r>
    <n v="1345"/>
    <x v="42"/>
    <x v="5"/>
    <x v="0"/>
    <x v="3"/>
    <n v="12"/>
    <n v="1590"/>
    <n v="19080"/>
    <n v="0.05"/>
    <n v="954"/>
    <n v="18126"/>
    <n v="1040"/>
    <n v="5646"/>
    <n v="0.31148626282687852"/>
    <x v="4"/>
    <x v="1"/>
    <x v="0"/>
    <x v="9"/>
    <s v="CUST1266"/>
    <x v="1"/>
  </r>
  <r>
    <n v="1346"/>
    <x v="97"/>
    <x v="1"/>
    <x v="0"/>
    <x v="5"/>
    <n v="11"/>
    <n v="220"/>
    <n v="2420"/>
    <n v="0"/>
    <n v="0"/>
    <n v="2420"/>
    <n v="150"/>
    <n v="770"/>
    <n v="0.31818181818181818"/>
    <x v="2"/>
    <x v="1"/>
    <x v="3"/>
    <x v="1"/>
    <s v="CUST1287"/>
    <x v="2"/>
  </r>
  <r>
    <n v="1347"/>
    <x v="301"/>
    <x v="0"/>
    <x v="0"/>
    <x v="4"/>
    <n v="11"/>
    <n v="300"/>
    <n v="3300"/>
    <n v="0.05"/>
    <n v="165"/>
    <n v="3135"/>
    <n v="190"/>
    <n v="1045"/>
    <n v="0.33333333333333331"/>
    <x v="2"/>
    <x v="1"/>
    <x v="2"/>
    <x v="8"/>
    <s v="CUST1255"/>
    <x v="2"/>
  </r>
  <r>
    <n v="1348"/>
    <x v="27"/>
    <x v="1"/>
    <x v="0"/>
    <x v="0"/>
    <n v="9"/>
    <n v="210"/>
    <n v="1890"/>
    <n v="0.15"/>
    <n v="283.5"/>
    <n v="1606.5"/>
    <n v="150"/>
    <n v="256.5"/>
    <n v="0.15966386554621848"/>
    <x v="4"/>
    <x v="1"/>
    <x v="0"/>
    <x v="9"/>
    <s v="CUST1249"/>
    <x v="3"/>
  </r>
  <r>
    <n v="1349"/>
    <x v="158"/>
    <x v="1"/>
    <x v="0"/>
    <x v="4"/>
    <n v="8"/>
    <n v="340"/>
    <n v="2720"/>
    <n v="0.02"/>
    <n v="54.4"/>
    <n v="2665.6"/>
    <n v="220"/>
    <n v="905.59999999999991"/>
    <n v="0.3397358943577431"/>
    <x v="4"/>
    <x v="1"/>
    <x v="2"/>
    <x v="2"/>
    <s v="CUST1488"/>
    <x v="0"/>
  </r>
  <r>
    <n v="1350"/>
    <x v="0"/>
    <x v="0"/>
    <x v="0"/>
    <x v="4"/>
    <n v="10"/>
    <n v="290"/>
    <n v="2900"/>
    <n v="0.1"/>
    <n v="290"/>
    <n v="2610"/>
    <n v="180"/>
    <n v="810"/>
    <n v="0.31034482758620691"/>
    <x v="4"/>
    <x v="1"/>
    <x v="2"/>
    <x v="0"/>
    <s v="CUST1081"/>
    <x v="1"/>
  </r>
  <r>
    <n v="1351"/>
    <x v="199"/>
    <x v="3"/>
    <x v="3"/>
    <x v="0"/>
    <n v="11"/>
    <n v="190"/>
    <n v="2090"/>
    <n v="0"/>
    <n v="0"/>
    <n v="2090"/>
    <n v="120"/>
    <n v="770"/>
    <n v="0.36842105263157893"/>
    <x v="4"/>
    <x v="1"/>
    <x v="1"/>
    <x v="6"/>
    <s v="CUST1478"/>
    <x v="0"/>
  </r>
  <r>
    <n v="1352"/>
    <x v="337"/>
    <x v="5"/>
    <x v="0"/>
    <x v="3"/>
    <n v="7"/>
    <n v="1240"/>
    <n v="8680"/>
    <n v="0"/>
    <n v="0"/>
    <n v="8680"/>
    <n v="870"/>
    <n v="2590"/>
    <n v="0.29838709677419356"/>
    <x v="4"/>
    <x v="1"/>
    <x v="3"/>
    <x v="0"/>
    <s v="CUST1188"/>
    <x v="2"/>
  </r>
  <r>
    <n v="1353"/>
    <x v="1"/>
    <x v="1"/>
    <x v="3"/>
    <x v="1"/>
    <n v="5"/>
    <n v="2330"/>
    <n v="11650"/>
    <n v="0.05"/>
    <n v="582.5"/>
    <n v="11067.5"/>
    <n v="1820"/>
    <n v="1967.5"/>
    <n v="0.17777275807544612"/>
    <x v="0"/>
    <x v="1"/>
    <x v="2"/>
    <x v="1"/>
    <s v="CUST1178"/>
    <x v="1"/>
  </r>
  <r>
    <n v="1354"/>
    <x v="214"/>
    <x v="3"/>
    <x v="0"/>
    <x v="1"/>
    <n v="6"/>
    <n v="2340"/>
    <n v="14040"/>
    <n v="0"/>
    <n v="0"/>
    <n v="14040"/>
    <n v="1700"/>
    <n v="3840"/>
    <n v="0.27350427350427353"/>
    <x v="0"/>
    <x v="1"/>
    <x v="0"/>
    <x v="6"/>
    <s v="CUST1163"/>
    <x v="2"/>
  </r>
  <r>
    <n v="1355"/>
    <x v="103"/>
    <x v="1"/>
    <x v="0"/>
    <x v="0"/>
    <n v="10"/>
    <n v="220"/>
    <n v="2200"/>
    <n v="0.1"/>
    <n v="220"/>
    <n v="1980"/>
    <n v="150"/>
    <n v="480"/>
    <n v="0.24242424242424243"/>
    <x v="3"/>
    <x v="2"/>
    <x v="2"/>
    <x v="1"/>
    <s v="CUST1002"/>
    <x v="0"/>
  </r>
  <r>
    <n v="1356"/>
    <x v="154"/>
    <x v="2"/>
    <x v="0"/>
    <x v="0"/>
    <n v="12"/>
    <n v="220"/>
    <n v="2640"/>
    <n v="0.05"/>
    <n v="132"/>
    <n v="2508"/>
    <n v="140"/>
    <n v="828"/>
    <n v="0.33014354066985646"/>
    <x v="3"/>
    <x v="1"/>
    <x v="1"/>
    <x v="3"/>
    <s v="CUST1231"/>
    <x v="0"/>
  </r>
  <r>
    <n v="1357"/>
    <x v="251"/>
    <x v="5"/>
    <x v="0"/>
    <x v="4"/>
    <n v="12"/>
    <n v="330"/>
    <n v="3960"/>
    <n v="0.02"/>
    <n v="79.2"/>
    <n v="3880.8"/>
    <n v="270"/>
    <n v="640.80000000000018"/>
    <n v="0.16512059369202231"/>
    <x v="4"/>
    <x v="1"/>
    <x v="1"/>
    <x v="8"/>
    <s v="CUST1113"/>
    <x v="3"/>
  </r>
  <r>
    <n v="1358"/>
    <x v="6"/>
    <x v="1"/>
    <x v="2"/>
    <x v="2"/>
    <n v="7"/>
    <n v="1170"/>
    <n v="8190"/>
    <n v="0"/>
    <n v="0"/>
    <n v="8190"/>
    <n v="960"/>
    <n v="1470"/>
    <n v="0.17948717948717949"/>
    <x v="3"/>
    <x v="1"/>
    <x v="3"/>
    <x v="5"/>
    <s v="CUST1131"/>
    <x v="3"/>
  </r>
  <r>
    <n v="1359"/>
    <x v="308"/>
    <x v="0"/>
    <x v="3"/>
    <x v="1"/>
    <n v="5"/>
    <n v="2360"/>
    <n v="11800"/>
    <n v="0"/>
    <n v="0"/>
    <n v="11800"/>
    <n v="1400"/>
    <n v="4800"/>
    <n v="0.40677966101694918"/>
    <x v="3"/>
    <x v="1"/>
    <x v="2"/>
    <x v="8"/>
    <s v="CUST1275"/>
    <x v="2"/>
  </r>
  <r>
    <n v="1360"/>
    <x v="97"/>
    <x v="4"/>
    <x v="3"/>
    <x v="1"/>
    <n v="6"/>
    <n v="2390"/>
    <n v="14340"/>
    <n v="0.02"/>
    <n v="286.8"/>
    <n v="14053.2"/>
    <n v="1610"/>
    <n v="4393.2000000000007"/>
    <n v="0.31261207411835029"/>
    <x v="1"/>
    <x v="1"/>
    <x v="1"/>
    <x v="6"/>
    <s v="CUST1016"/>
    <x v="2"/>
  </r>
  <r>
    <n v="1361"/>
    <x v="136"/>
    <x v="2"/>
    <x v="0"/>
    <x v="5"/>
    <n v="8"/>
    <n v="200"/>
    <n v="1600"/>
    <n v="0"/>
    <n v="0"/>
    <n v="1600"/>
    <n v="130"/>
    <n v="560"/>
    <n v="0.35"/>
    <x v="1"/>
    <x v="1"/>
    <x v="3"/>
    <x v="2"/>
    <s v="CUST1498"/>
    <x v="1"/>
  </r>
  <r>
    <n v="1362"/>
    <x v="185"/>
    <x v="1"/>
    <x v="3"/>
    <x v="5"/>
    <n v="1"/>
    <n v="190"/>
    <n v="190"/>
    <n v="0"/>
    <n v="0"/>
    <n v="190"/>
    <n v="130"/>
    <n v="60"/>
    <n v="0.31578947368421051"/>
    <x v="0"/>
    <x v="1"/>
    <x v="0"/>
    <x v="2"/>
    <s v="CUST1021"/>
    <x v="2"/>
  </r>
  <r>
    <n v="1363"/>
    <x v="262"/>
    <x v="5"/>
    <x v="1"/>
    <x v="2"/>
    <n v="12"/>
    <n v="1370"/>
    <n v="16440"/>
    <n v="0.05"/>
    <n v="822"/>
    <n v="15618"/>
    <n v="900"/>
    <n v="4818"/>
    <n v="0.30849020361121782"/>
    <x v="4"/>
    <x v="1"/>
    <x v="1"/>
    <x v="4"/>
    <s v="CUST1247"/>
    <x v="1"/>
  </r>
  <r>
    <n v="1364"/>
    <x v="136"/>
    <x v="5"/>
    <x v="0"/>
    <x v="1"/>
    <n v="12"/>
    <n v="2290"/>
    <n v="27480"/>
    <n v="0.15"/>
    <n v="4122"/>
    <n v="23358"/>
    <n v="1510"/>
    <n v="5238"/>
    <n v="0.22424865142563577"/>
    <x v="1"/>
    <x v="1"/>
    <x v="2"/>
    <x v="8"/>
    <s v="CUST1103"/>
    <x v="3"/>
  </r>
  <r>
    <n v="1365"/>
    <x v="142"/>
    <x v="0"/>
    <x v="1"/>
    <x v="2"/>
    <n v="3"/>
    <n v="1130"/>
    <n v="3390"/>
    <n v="0.02"/>
    <n v="67.8"/>
    <n v="3322.2"/>
    <n v="670"/>
    <n v="1312.1999999999998"/>
    <n v="0.39497923063030521"/>
    <x v="4"/>
    <x v="1"/>
    <x v="1"/>
    <x v="5"/>
    <s v="CUST1001"/>
    <x v="0"/>
  </r>
  <r>
    <n v="1366"/>
    <x v="153"/>
    <x v="5"/>
    <x v="0"/>
    <x v="0"/>
    <n v="6"/>
    <n v="220"/>
    <n v="1320"/>
    <n v="0.05"/>
    <n v="66"/>
    <n v="1254"/>
    <n v="140"/>
    <n v="414"/>
    <n v="0.33014354066985646"/>
    <x v="1"/>
    <x v="1"/>
    <x v="2"/>
    <x v="3"/>
    <s v="CUST1391"/>
    <x v="0"/>
  </r>
  <r>
    <n v="1367"/>
    <x v="266"/>
    <x v="4"/>
    <x v="1"/>
    <x v="0"/>
    <n v="10"/>
    <n v="200"/>
    <n v="2000"/>
    <n v="0"/>
    <n v="0"/>
    <n v="2000"/>
    <n v="160"/>
    <n v="400"/>
    <n v="0.2"/>
    <x v="1"/>
    <x v="1"/>
    <x v="0"/>
    <x v="8"/>
    <s v="CUST1217"/>
    <x v="2"/>
  </r>
  <r>
    <n v="1368"/>
    <x v="170"/>
    <x v="3"/>
    <x v="3"/>
    <x v="3"/>
    <n v="11"/>
    <n v="1660"/>
    <n v="18260"/>
    <n v="0.05"/>
    <n v="913"/>
    <n v="17347"/>
    <n v="1090"/>
    <n v="5357"/>
    <n v="0.3088142041851617"/>
    <x v="3"/>
    <x v="1"/>
    <x v="2"/>
    <x v="9"/>
    <s v="CUST1283"/>
    <x v="2"/>
  </r>
  <r>
    <n v="1369"/>
    <x v="73"/>
    <x v="1"/>
    <x v="0"/>
    <x v="1"/>
    <n v="12"/>
    <n v="2190"/>
    <n v="26280"/>
    <n v="0.05"/>
    <n v="1314"/>
    <n v="24966"/>
    <n v="1430"/>
    <n v="7806"/>
    <n v="0.3126652247055996"/>
    <x v="0"/>
    <x v="1"/>
    <x v="0"/>
    <x v="4"/>
    <s v="CUST1493"/>
    <x v="1"/>
  </r>
  <r>
    <n v="1370"/>
    <x v="213"/>
    <x v="5"/>
    <x v="2"/>
    <x v="3"/>
    <n v="4"/>
    <n v="1470"/>
    <n v="5880"/>
    <n v="0.05"/>
    <n v="294"/>
    <n v="5586"/>
    <n v="1000"/>
    <n v="1586"/>
    <n v="0.28392409595417112"/>
    <x v="0"/>
    <x v="1"/>
    <x v="3"/>
    <x v="2"/>
    <s v="CUST1266"/>
    <x v="1"/>
  </r>
  <r>
    <n v="1371"/>
    <x v="30"/>
    <x v="1"/>
    <x v="0"/>
    <x v="1"/>
    <n v="1"/>
    <n v="2230"/>
    <n v="2230"/>
    <n v="0.15"/>
    <n v="334.5"/>
    <n v="1895.5"/>
    <n v="1500"/>
    <n v="395.5"/>
    <n v="0.20865207069374836"/>
    <x v="0"/>
    <x v="2"/>
    <x v="0"/>
    <x v="5"/>
    <s v="CUST1407"/>
    <x v="3"/>
  </r>
  <r>
    <n v="1372"/>
    <x v="106"/>
    <x v="0"/>
    <x v="1"/>
    <x v="4"/>
    <n v="1"/>
    <n v="320"/>
    <n v="320"/>
    <n v="0.15"/>
    <n v="48"/>
    <n v="272"/>
    <n v="210"/>
    <n v="62"/>
    <n v="0.22794117647058823"/>
    <x v="1"/>
    <x v="1"/>
    <x v="2"/>
    <x v="8"/>
    <s v="CUST1024"/>
    <x v="1"/>
  </r>
  <r>
    <n v="1373"/>
    <x v="199"/>
    <x v="0"/>
    <x v="1"/>
    <x v="1"/>
    <n v="8"/>
    <n v="2130"/>
    <n v="17040"/>
    <n v="0.15"/>
    <n v="2556"/>
    <n v="14484"/>
    <n v="1550"/>
    <n v="2084"/>
    <n v="0.14388290527478598"/>
    <x v="1"/>
    <x v="2"/>
    <x v="2"/>
    <x v="5"/>
    <s v="CUST1040"/>
    <x v="3"/>
  </r>
  <r>
    <n v="1374"/>
    <x v="103"/>
    <x v="5"/>
    <x v="1"/>
    <x v="5"/>
    <n v="9"/>
    <n v="210"/>
    <n v="1890"/>
    <n v="0"/>
    <n v="0"/>
    <n v="1890"/>
    <n v="170"/>
    <n v="360"/>
    <n v="0.19047619047619047"/>
    <x v="2"/>
    <x v="1"/>
    <x v="1"/>
    <x v="5"/>
    <s v="CUST1391"/>
    <x v="2"/>
  </r>
  <r>
    <n v="1375"/>
    <x v="226"/>
    <x v="4"/>
    <x v="1"/>
    <x v="0"/>
    <n v="12"/>
    <n v="220"/>
    <n v="2640"/>
    <n v="0"/>
    <n v="0"/>
    <n v="2640"/>
    <n v="130"/>
    <n v="1080"/>
    <n v="0.40909090909090912"/>
    <x v="3"/>
    <x v="1"/>
    <x v="2"/>
    <x v="2"/>
    <s v="CUST1280"/>
    <x v="0"/>
  </r>
  <r>
    <n v="1376"/>
    <x v="251"/>
    <x v="3"/>
    <x v="0"/>
    <x v="0"/>
    <n v="8"/>
    <n v="200"/>
    <n v="1600"/>
    <n v="0.15"/>
    <n v="240"/>
    <n v="1360"/>
    <n v="160"/>
    <n v="80"/>
    <n v="5.8823529411764705E-2"/>
    <x v="3"/>
    <x v="1"/>
    <x v="3"/>
    <x v="2"/>
    <s v="CUST1025"/>
    <x v="0"/>
  </r>
  <r>
    <n v="1377"/>
    <x v="287"/>
    <x v="1"/>
    <x v="3"/>
    <x v="0"/>
    <n v="9"/>
    <n v="190"/>
    <n v="1710"/>
    <n v="0.15"/>
    <n v="256.5"/>
    <n v="1453.5"/>
    <n v="140"/>
    <n v="193.5"/>
    <n v="0.13312693498452013"/>
    <x v="4"/>
    <x v="1"/>
    <x v="1"/>
    <x v="8"/>
    <s v="CUST1401"/>
    <x v="3"/>
  </r>
  <r>
    <n v="1378"/>
    <x v="137"/>
    <x v="0"/>
    <x v="0"/>
    <x v="2"/>
    <n v="12"/>
    <n v="1100"/>
    <n v="13200"/>
    <n v="0.05"/>
    <n v="660"/>
    <n v="12540"/>
    <n v="710"/>
    <n v="4020"/>
    <n v="0.32057416267942584"/>
    <x v="0"/>
    <x v="1"/>
    <x v="2"/>
    <x v="6"/>
    <s v="CUST1070"/>
    <x v="1"/>
  </r>
  <r>
    <n v="1379"/>
    <x v="12"/>
    <x v="3"/>
    <x v="0"/>
    <x v="1"/>
    <n v="12"/>
    <n v="2190"/>
    <n v="26280"/>
    <n v="0.05"/>
    <n v="1314"/>
    <n v="24966"/>
    <n v="1640"/>
    <n v="5286"/>
    <n v="0.21172795001201633"/>
    <x v="4"/>
    <x v="1"/>
    <x v="2"/>
    <x v="9"/>
    <s v="CUST1412"/>
    <x v="1"/>
  </r>
  <r>
    <n v="1380"/>
    <x v="146"/>
    <x v="5"/>
    <x v="2"/>
    <x v="2"/>
    <n v="1"/>
    <n v="1190"/>
    <n v="1190"/>
    <n v="0"/>
    <n v="0"/>
    <n v="1190"/>
    <n v="780"/>
    <n v="410"/>
    <n v="0.34453781512605042"/>
    <x v="1"/>
    <x v="1"/>
    <x v="3"/>
    <x v="9"/>
    <s v="CUST1207"/>
    <x v="2"/>
  </r>
  <r>
    <n v="1381"/>
    <x v="355"/>
    <x v="2"/>
    <x v="0"/>
    <x v="0"/>
    <n v="5"/>
    <n v="210"/>
    <n v="1050"/>
    <n v="0"/>
    <n v="0"/>
    <n v="1050"/>
    <n v="120"/>
    <n v="450"/>
    <n v="0.42857142857142855"/>
    <x v="1"/>
    <x v="1"/>
    <x v="0"/>
    <x v="0"/>
    <s v="CUST1469"/>
    <x v="3"/>
  </r>
  <r>
    <n v="1382"/>
    <x v="136"/>
    <x v="1"/>
    <x v="1"/>
    <x v="5"/>
    <n v="5"/>
    <n v="200"/>
    <n v="1000"/>
    <n v="0"/>
    <n v="0"/>
    <n v="1000"/>
    <n v="130"/>
    <n v="350"/>
    <n v="0.35"/>
    <x v="3"/>
    <x v="1"/>
    <x v="2"/>
    <x v="3"/>
    <s v="CUST1237"/>
    <x v="1"/>
  </r>
  <r>
    <n v="1383"/>
    <x v="97"/>
    <x v="5"/>
    <x v="1"/>
    <x v="0"/>
    <n v="2"/>
    <n v="220"/>
    <n v="440"/>
    <n v="0.15"/>
    <n v="66"/>
    <n v="374"/>
    <n v="170"/>
    <n v="34"/>
    <n v="9.0909090909090912E-2"/>
    <x v="4"/>
    <x v="1"/>
    <x v="0"/>
    <x v="5"/>
    <s v="CUST1287"/>
    <x v="2"/>
  </r>
  <r>
    <n v="1384"/>
    <x v="145"/>
    <x v="4"/>
    <x v="1"/>
    <x v="0"/>
    <n v="2"/>
    <n v="200"/>
    <n v="400"/>
    <n v="0"/>
    <n v="0"/>
    <n v="400"/>
    <n v="150"/>
    <n v="100"/>
    <n v="0.25"/>
    <x v="0"/>
    <x v="1"/>
    <x v="2"/>
    <x v="8"/>
    <s v="CUST1268"/>
    <x v="2"/>
  </r>
  <r>
    <n v="1385"/>
    <x v="142"/>
    <x v="1"/>
    <x v="1"/>
    <x v="4"/>
    <n v="2"/>
    <n v="330"/>
    <n v="660"/>
    <n v="0.1"/>
    <n v="66"/>
    <n v="594"/>
    <n v="250"/>
    <n v="94"/>
    <n v="0.15824915824915825"/>
    <x v="3"/>
    <x v="1"/>
    <x v="0"/>
    <x v="3"/>
    <s v="CUST1171"/>
    <x v="3"/>
  </r>
  <r>
    <n v="1386"/>
    <x v="129"/>
    <x v="1"/>
    <x v="1"/>
    <x v="1"/>
    <n v="10"/>
    <n v="2320"/>
    <n v="23200"/>
    <n v="0.05"/>
    <n v="1160"/>
    <n v="22040"/>
    <n v="1750"/>
    <n v="4540"/>
    <n v="0.20598911070780399"/>
    <x v="1"/>
    <x v="1"/>
    <x v="2"/>
    <x v="9"/>
    <s v="CUST1313"/>
    <x v="1"/>
  </r>
  <r>
    <n v="1387"/>
    <x v="328"/>
    <x v="2"/>
    <x v="3"/>
    <x v="2"/>
    <n v="8"/>
    <n v="1320"/>
    <n v="10560"/>
    <n v="0"/>
    <n v="0"/>
    <n v="10560"/>
    <n v="930"/>
    <n v="3120"/>
    <n v="0.29545454545454547"/>
    <x v="4"/>
    <x v="2"/>
    <x v="3"/>
    <x v="0"/>
    <s v="CUST1435"/>
    <x v="2"/>
  </r>
  <r>
    <n v="1388"/>
    <x v="249"/>
    <x v="0"/>
    <x v="3"/>
    <x v="3"/>
    <n v="7"/>
    <n v="1460"/>
    <n v="10220"/>
    <n v="0"/>
    <n v="0"/>
    <n v="10220"/>
    <n v="1140"/>
    <n v="2240"/>
    <n v="0.21917808219178081"/>
    <x v="1"/>
    <x v="3"/>
    <x v="0"/>
    <x v="7"/>
    <s v="CUST1078"/>
    <x v="2"/>
  </r>
  <r>
    <n v="1389"/>
    <x v="308"/>
    <x v="1"/>
    <x v="1"/>
    <x v="0"/>
    <n v="7"/>
    <n v="210"/>
    <n v="1470"/>
    <n v="0.02"/>
    <n v="29.400000000000002"/>
    <n v="1440.6"/>
    <n v="130"/>
    <n v="530.59999999999991"/>
    <n v="0.36831875607385806"/>
    <x v="1"/>
    <x v="1"/>
    <x v="3"/>
    <x v="4"/>
    <s v="CUST1181"/>
    <x v="2"/>
  </r>
  <r>
    <n v="1390"/>
    <x v="295"/>
    <x v="2"/>
    <x v="1"/>
    <x v="1"/>
    <n v="6"/>
    <n v="1960"/>
    <n v="11760"/>
    <n v="0"/>
    <n v="0"/>
    <n v="11760"/>
    <n v="1460"/>
    <n v="3000"/>
    <n v="0.25510204081632654"/>
    <x v="0"/>
    <x v="1"/>
    <x v="2"/>
    <x v="4"/>
    <s v="CUST1465"/>
    <x v="2"/>
  </r>
  <r>
    <n v="1391"/>
    <x v="283"/>
    <x v="2"/>
    <x v="0"/>
    <x v="2"/>
    <n v="7"/>
    <n v="2410"/>
    <n v="16870"/>
    <n v="0"/>
    <n v="0"/>
    <n v="16870"/>
    <n v="1430"/>
    <n v="6860"/>
    <n v="0.40663900414937759"/>
    <x v="0"/>
    <x v="1"/>
    <x v="2"/>
    <x v="7"/>
    <s v="CUST1016"/>
    <x v="2"/>
  </r>
  <r>
    <n v="1392"/>
    <x v="254"/>
    <x v="5"/>
    <x v="1"/>
    <x v="0"/>
    <n v="9"/>
    <n v="200"/>
    <n v="1800"/>
    <n v="0"/>
    <n v="0"/>
    <n v="1800"/>
    <n v="150"/>
    <n v="450"/>
    <n v="0.25"/>
    <x v="0"/>
    <x v="1"/>
    <x v="1"/>
    <x v="6"/>
    <s v="CUST1465"/>
    <x v="2"/>
  </r>
  <r>
    <n v="1393"/>
    <x v="269"/>
    <x v="2"/>
    <x v="0"/>
    <x v="5"/>
    <n v="2"/>
    <n v="200"/>
    <n v="400"/>
    <n v="0"/>
    <n v="0"/>
    <n v="400"/>
    <n v="150"/>
    <n v="100"/>
    <n v="0.25"/>
    <x v="2"/>
    <x v="1"/>
    <x v="2"/>
    <x v="3"/>
    <s v="CUST1254"/>
    <x v="3"/>
  </r>
  <r>
    <n v="1394"/>
    <x v="129"/>
    <x v="5"/>
    <x v="3"/>
    <x v="3"/>
    <n v="10"/>
    <n v="1430"/>
    <n v="14300"/>
    <n v="0.02"/>
    <n v="286"/>
    <n v="14014"/>
    <n v="1080"/>
    <n v="3214"/>
    <n v="0.22934208648494364"/>
    <x v="3"/>
    <x v="1"/>
    <x v="3"/>
    <x v="5"/>
    <s v="CUST1194"/>
    <x v="3"/>
  </r>
  <r>
    <n v="1395"/>
    <x v="115"/>
    <x v="0"/>
    <x v="0"/>
    <x v="5"/>
    <n v="1"/>
    <n v="190"/>
    <n v="190"/>
    <n v="0.05"/>
    <n v="9.5"/>
    <n v="180.5"/>
    <n v="130"/>
    <n v="50.5"/>
    <n v="0.27977839335180055"/>
    <x v="4"/>
    <x v="1"/>
    <x v="1"/>
    <x v="3"/>
    <s v="CUST1448"/>
    <x v="1"/>
  </r>
  <r>
    <n v="1396"/>
    <x v="315"/>
    <x v="5"/>
    <x v="3"/>
    <x v="4"/>
    <n v="5"/>
    <n v="280"/>
    <n v="1400"/>
    <n v="0"/>
    <n v="0"/>
    <n v="1400"/>
    <n v="210"/>
    <n v="350"/>
    <n v="0.25"/>
    <x v="1"/>
    <x v="2"/>
    <x v="1"/>
    <x v="8"/>
    <s v="CUST1408"/>
    <x v="0"/>
  </r>
  <r>
    <n v="1397"/>
    <x v="319"/>
    <x v="5"/>
    <x v="1"/>
    <x v="4"/>
    <n v="6"/>
    <n v="320"/>
    <n v="1920"/>
    <n v="0"/>
    <n v="0"/>
    <n v="1920"/>
    <n v="250"/>
    <n v="420"/>
    <n v="0.21875"/>
    <x v="1"/>
    <x v="1"/>
    <x v="2"/>
    <x v="2"/>
    <s v="CUST1034"/>
    <x v="2"/>
  </r>
  <r>
    <n v="1398"/>
    <x v="99"/>
    <x v="5"/>
    <x v="1"/>
    <x v="2"/>
    <n v="6"/>
    <n v="1180"/>
    <n v="7080"/>
    <n v="0.02"/>
    <n v="141.6"/>
    <n v="6938.4"/>
    <n v="900"/>
    <n v="1538.3999999999996"/>
    <n v="0.2217225873400207"/>
    <x v="0"/>
    <x v="1"/>
    <x v="3"/>
    <x v="7"/>
    <s v="CUST1162"/>
    <x v="1"/>
  </r>
  <r>
    <n v="1399"/>
    <x v="302"/>
    <x v="5"/>
    <x v="1"/>
    <x v="2"/>
    <n v="5"/>
    <n v="1320"/>
    <n v="6600"/>
    <n v="0"/>
    <n v="0"/>
    <n v="6600"/>
    <n v="950"/>
    <n v="1850"/>
    <n v="0.28030303030303028"/>
    <x v="4"/>
    <x v="1"/>
    <x v="2"/>
    <x v="6"/>
    <s v="CUST1129"/>
    <x v="0"/>
  </r>
  <r>
    <n v="1400"/>
    <x v="259"/>
    <x v="0"/>
    <x v="1"/>
    <x v="4"/>
    <n v="6"/>
    <n v="310"/>
    <n v="1860"/>
    <n v="0"/>
    <n v="0"/>
    <n v="1860"/>
    <n v="240"/>
    <n v="420"/>
    <n v="0.22580645161290322"/>
    <x v="2"/>
    <x v="1"/>
    <x v="3"/>
    <x v="2"/>
    <s v="CUST1232"/>
    <x v="0"/>
  </r>
  <r>
    <n v="1401"/>
    <x v="121"/>
    <x v="1"/>
    <x v="3"/>
    <x v="1"/>
    <n v="9"/>
    <n v="2410"/>
    <n v="21690"/>
    <n v="0"/>
    <n v="0"/>
    <n v="21690"/>
    <n v="1430"/>
    <n v="8820"/>
    <n v="0.40663900414937759"/>
    <x v="0"/>
    <x v="1"/>
    <x v="2"/>
    <x v="2"/>
    <s v="CUST1277"/>
    <x v="3"/>
  </r>
  <r>
    <n v="1402"/>
    <x v="313"/>
    <x v="1"/>
    <x v="3"/>
    <x v="0"/>
    <n v="9"/>
    <n v="180"/>
    <n v="1620"/>
    <n v="0.15"/>
    <n v="243"/>
    <n v="1377"/>
    <n v="140"/>
    <n v="117"/>
    <n v="8.4967320261437912E-2"/>
    <x v="4"/>
    <x v="1"/>
    <x v="2"/>
    <x v="7"/>
    <s v="CUST1278"/>
    <x v="0"/>
  </r>
  <r>
    <n v="1403"/>
    <x v="26"/>
    <x v="5"/>
    <x v="1"/>
    <x v="1"/>
    <n v="6"/>
    <n v="1980"/>
    <n v="11880"/>
    <n v="0"/>
    <n v="0"/>
    <n v="11880"/>
    <n v="1490"/>
    <n v="2940"/>
    <n v="0.24747474747474749"/>
    <x v="2"/>
    <x v="1"/>
    <x v="0"/>
    <x v="5"/>
    <s v="CUST1243"/>
    <x v="1"/>
  </r>
  <r>
    <n v="1404"/>
    <x v="102"/>
    <x v="0"/>
    <x v="0"/>
    <x v="3"/>
    <n v="1"/>
    <n v="1610"/>
    <n v="1610"/>
    <n v="0.05"/>
    <n v="80.5"/>
    <n v="1529.5"/>
    <n v="1070"/>
    <n v="459.5"/>
    <n v="0.30042497548218372"/>
    <x v="0"/>
    <x v="1"/>
    <x v="2"/>
    <x v="8"/>
    <s v="CUST1454"/>
    <x v="3"/>
  </r>
  <r>
    <n v="1405"/>
    <x v="156"/>
    <x v="5"/>
    <x v="1"/>
    <x v="5"/>
    <n v="2"/>
    <n v="180"/>
    <n v="360"/>
    <n v="0.05"/>
    <n v="18"/>
    <n v="342"/>
    <n v="130"/>
    <n v="82"/>
    <n v="0.23976608187134502"/>
    <x v="1"/>
    <x v="1"/>
    <x v="2"/>
    <x v="7"/>
    <s v="CUST1489"/>
    <x v="1"/>
  </r>
  <r>
    <n v="1406"/>
    <x v="66"/>
    <x v="5"/>
    <x v="1"/>
    <x v="1"/>
    <n v="3"/>
    <n v="2040"/>
    <n v="6120"/>
    <n v="0.02"/>
    <n v="122.4"/>
    <n v="5997.6"/>
    <n v="1570"/>
    <n v="1287.6000000000004"/>
    <n v="0.21468587434973993"/>
    <x v="2"/>
    <x v="1"/>
    <x v="2"/>
    <x v="7"/>
    <s v="CUST1487"/>
    <x v="1"/>
  </r>
  <r>
    <n v="1407"/>
    <x v="220"/>
    <x v="0"/>
    <x v="3"/>
    <x v="1"/>
    <n v="12"/>
    <n v="2070"/>
    <n v="24840"/>
    <n v="0.1"/>
    <n v="2484"/>
    <n v="22356"/>
    <n v="1650"/>
    <n v="2556"/>
    <n v="0.1143317230273752"/>
    <x v="2"/>
    <x v="1"/>
    <x v="1"/>
    <x v="0"/>
    <s v="CUST1020"/>
    <x v="2"/>
  </r>
  <r>
    <n v="1408"/>
    <x v="137"/>
    <x v="4"/>
    <x v="0"/>
    <x v="1"/>
    <n v="11"/>
    <n v="2280"/>
    <n v="25080"/>
    <n v="0.02"/>
    <n v="501.6"/>
    <n v="24578.400000000001"/>
    <n v="1730"/>
    <n v="5548.4000000000015"/>
    <n v="0.2257429287504476"/>
    <x v="2"/>
    <x v="1"/>
    <x v="1"/>
    <x v="8"/>
    <s v="CUST1409"/>
    <x v="0"/>
  </r>
  <r>
    <n v="1409"/>
    <x v="252"/>
    <x v="1"/>
    <x v="3"/>
    <x v="1"/>
    <n v="5"/>
    <n v="2030"/>
    <n v="10150"/>
    <n v="0.15"/>
    <n v="1522.5"/>
    <n v="8627.5"/>
    <n v="1220"/>
    <n v="2527.5"/>
    <n v="0.29295856273543902"/>
    <x v="3"/>
    <x v="1"/>
    <x v="3"/>
    <x v="4"/>
    <s v="CUST1149"/>
    <x v="3"/>
  </r>
  <r>
    <n v="1410"/>
    <x v="109"/>
    <x v="0"/>
    <x v="0"/>
    <x v="0"/>
    <n v="8"/>
    <n v="180"/>
    <n v="1440"/>
    <n v="0"/>
    <n v="0"/>
    <n v="1440"/>
    <n v="110"/>
    <n v="560"/>
    <n v="0.3888888888888889"/>
    <x v="0"/>
    <x v="1"/>
    <x v="0"/>
    <x v="6"/>
    <s v="CUST1138"/>
    <x v="0"/>
  </r>
  <r>
    <n v="1411"/>
    <x v="189"/>
    <x v="1"/>
    <x v="1"/>
    <x v="4"/>
    <n v="10"/>
    <n v="340"/>
    <n v="3400"/>
    <n v="0"/>
    <n v="0"/>
    <n v="3400"/>
    <n v="220"/>
    <n v="1200"/>
    <n v="0.35294117647058826"/>
    <x v="4"/>
    <x v="1"/>
    <x v="1"/>
    <x v="6"/>
    <s v="CUST1138"/>
    <x v="3"/>
  </r>
  <r>
    <n v="1412"/>
    <x v="56"/>
    <x v="3"/>
    <x v="0"/>
    <x v="2"/>
    <n v="10"/>
    <n v="1210"/>
    <n v="12100"/>
    <n v="0.15"/>
    <n v="1815"/>
    <n v="10285"/>
    <n v="880"/>
    <n v="1485"/>
    <n v="0.14438502673796791"/>
    <x v="2"/>
    <x v="1"/>
    <x v="1"/>
    <x v="3"/>
    <s v="CUST1240"/>
    <x v="0"/>
  </r>
  <r>
    <n v="1413"/>
    <x v="120"/>
    <x v="3"/>
    <x v="0"/>
    <x v="0"/>
    <n v="11"/>
    <n v="210"/>
    <n v="2310"/>
    <n v="0.1"/>
    <n v="231"/>
    <n v="2079"/>
    <n v="130"/>
    <n v="649"/>
    <n v="0.31216931216931215"/>
    <x v="4"/>
    <x v="1"/>
    <x v="2"/>
    <x v="5"/>
    <s v="CUST1105"/>
    <x v="2"/>
  </r>
  <r>
    <n v="1414"/>
    <x v="220"/>
    <x v="0"/>
    <x v="0"/>
    <x v="3"/>
    <n v="4"/>
    <n v="1510"/>
    <n v="6040"/>
    <n v="0.05"/>
    <n v="302"/>
    <n v="5738"/>
    <n v="930"/>
    <n v="2018"/>
    <n v="0.35169048448936913"/>
    <x v="2"/>
    <x v="1"/>
    <x v="3"/>
    <x v="4"/>
    <s v="CUST1175"/>
    <x v="2"/>
  </r>
  <r>
    <n v="1415"/>
    <x v="9"/>
    <x v="1"/>
    <x v="0"/>
    <x v="4"/>
    <n v="9"/>
    <n v="340"/>
    <n v="3060"/>
    <n v="0.15"/>
    <n v="459"/>
    <n v="2601"/>
    <n v="260"/>
    <n v="261"/>
    <n v="0.10034602076124567"/>
    <x v="4"/>
    <x v="1"/>
    <x v="3"/>
    <x v="7"/>
    <s v="CUST1010"/>
    <x v="0"/>
  </r>
  <r>
    <n v="1416"/>
    <x v="182"/>
    <x v="5"/>
    <x v="1"/>
    <x v="3"/>
    <n v="3"/>
    <n v="1680"/>
    <n v="5040"/>
    <n v="0.1"/>
    <n v="504"/>
    <n v="4536"/>
    <n v="1170"/>
    <n v="1026"/>
    <n v="0.22619047619047619"/>
    <x v="1"/>
    <x v="1"/>
    <x v="0"/>
    <x v="1"/>
    <s v="CUST1444"/>
    <x v="3"/>
  </r>
  <r>
    <n v="1417"/>
    <x v="348"/>
    <x v="5"/>
    <x v="0"/>
    <x v="5"/>
    <n v="7"/>
    <n v="220"/>
    <n v="1540"/>
    <n v="0.05"/>
    <n v="77"/>
    <n v="1463"/>
    <n v="130"/>
    <n v="553"/>
    <n v="0.37799043062200954"/>
    <x v="4"/>
    <x v="1"/>
    <x v="2"/>
    <x v="5"/>
    <s v="CUST1135"/>
    <x v="2"/>
  </r>
  <r>
    <n v="1418"/>
    <x v="98"/>
    <x v="5"/>
    <x v="3"/>
    <x v="5"/>
    <n v="1"/>
    <n v="220"/>
    <n v="220"/>
    <n v="0"/>
    <n v="0"/>
    <n v="220"/>
    <n v="170"/>
    <n v="50"/>
    <n v="0.22727272727272727"/>
    <x v="2"/>
    <x v="1"/>
    <x v="2"/>
    <x v="8"/>
    <s v="CUST1235"/>
    <x v="3"/>
  </r>
  <r>
    <n v="1419"/>
    <x v="256"/>
    <x v="2"/>
    <x v="1"/>
    <x v="1"/>
    <n v="8"/>
    <n v="2380"/>
    <n v="19040"/>
    <n v="0"/>
    <n v="0"/>
    <n v="19040"/>
    <n v="1880"/>
    <n v="4000"/>
    <n v="0.21008403361344538"/>
    <x v="2"/>
    <x v="1"/>
    <x v="2"/>
    <x v="0"/>
    <s v="CUST1418"/>
    <x v="3"/>
  </r>
  <r>
    <n v="1420"/>
    <x v="237"/>
    <x v="1"/>
    <x v="2"/>
    <x v="0"/>
    <n v="5"/>
    <n v="190"/>
    <n v="950"/>
    <n v="0.15"/>
    <n v="142.5"/>
    <n v="807.5"/>
    <n v="140"/>
    <n v="107.5"/>
    <n v="0.13312693498452013"/>
    <x v="3"/>
    <x v="1"/>
    <x v="0"/>
    <x v="9"/>
    <s v="CUST1345"/>
    <x v="2"/>
  </r>
  <r>
    <n v="1421"/>
    <x v="137"/>
    <x v="2"/>
    <x v="1"/>
    <x v="0"/>
    <n v="12"/>
    <n v="220"/>
    <n v="2640"/>
    <n v="0.1"/>
    <n v="264"/>
    <n v="2376"/>
    <n v="180"/>
    <n v="216"/>
    <n v="9.0909090909090912E-2"/>
    <x v="3"/>
    <x v="1"/>
    <x v="0"/>
    <x v="5"/>
    <s v="CUST1158"/>
    <x v="2"/>
  </r>
  <r>
    <n v="1422"/>
    <x v="162"/>
    <x v="1"/>
    <x v="0"/>
    <x v="3"/>
    <n v="3"/>
    <n v="1530"/>
    <n v="4590"/>
    <n v="0.02"/>
    <n v="91.8"/>
    <n v="4498.2"/>
    <n v="1150"/>
    <n v="1048.1999999999998"/>
    <n v="0.23302654395091366"/>
    <x v="4"/>
    <x v="3"/>
    <x v="1"/>
    <x v="5"/>
    <s v="CUST1212"/>
    <x v="2"/>
  </r>
  <r>
    <n v="1423"/>
    <x v="287"/>
    <x v="3"/>
    <x v="1"/>
    <x v="4"/>
    <n v="7"/>
    <n v="310"/>
    <n v="2170"/>
    <n v="0.1"/>
    <n v="217"/>
    <n v="1953"/>
    <n v="190"/>
    <n v="623"/>
    <n v="0.31899641577060933"/>
    <x v="0"/>
    <x v="1"/>
    <x v="3"/>
    <x v="4"/>
    <s v="CUST1426"/>
    <x v="0"/>
  </r>
  <r>
    <n v="1424"/>
    <x v="9"/>
    <x v="5"/>
    <x v="0"/>
    <x v="4"/>
    <n v="5"/>
    <n v="290"/>
    <n v="1450"/>
    <n v="0"/>
    <n v="0"/>
    <n v="1450"/>
    <n v="190"/>
    <n v="500"/>
    <n v="0.34482758620689657"/>
    <x v="0"/>
    <x v="1"/>
    <x v="3"/>
    <x v="7"/>
    <s v="CUST1002"/>
    <x v="3"/>
  </r>
  <r>
    <n v="1425"/>
    <x v="105"/>
    <x v="5"/>
    <x v="1"/>
    <x v="0"/>
    <n v="3"/>
    <n v="220"/>
    <n v="660"/>
    <n v="0.15"/>
    <n v="99"/>
    <n v="561"/>
    <n v="160"/>
    <n v="81"/>
    <n v="0.14438502673796791"/>
    <x v="0"/>
    <x v="3"/>
    <x v="2"/>
    <x v="3"/>
    <s v="CUST1445"/>
    <x v="3"/>
  </r>
  <r>
    <n v="1426"/>
    <x v="156"/>
    <x v="5"/>
    <x v="0"/>
    <x v="1"/>
    <n v="11"/>
    <n v="2290"/>
    <n v="25190"/>
    <n v="0.02"/>
    <n v="503.8"/>
    <n v="24686.2"/>
    <n v="1400"/>
    <n v="9286.2000000000007"/>
    <n v="0.37616968184653776"/>
    <x v="4"/>
    <x v="0"/>
    <x v="2"/>
    <x v="4"/>
    <s v="CUST1054"/>
    <x v="3"/>
  </r>
  <r>
    <n v="1427"/>
    <x v="245"/>
    <x v="4"/>
    <x v="1"/>
    <x v="1"/>
    <n v="7"/>
    <n v="2340"/>
    <n v="16380"/>
    <n v="0.05"/>
    <n v="819"/>
    <n v="15561"/>
    <n v="1450"/>
    <n v="5411"/>
    <n v="0.34772829509671616"/>
    <x v="3"/>
    <x v="1"/>
    <x v="2"/>
    <x v="9"/>
    <s v="CUST1500"/>
    <x v="1"/>
  </r>
  <r>
    <n v="1428"/>
    <x v="11"/>
    <x v="4"/>
    <x v="0"/>
    <x v="1"/>
    <n v="8"/>
    <n v="1970"/>
    <n v="15760"/>
    <n v="0"/>
    <n v="0"/>
    <n v="15760"/>
    <n v="1600"/>
    <n v="2960"/>
    <n v="0.18781725888324874"/>
    <x v="2"/>
    <x v="0"/>
    <x v="3"/>
    <x v="3"/>
    <s v="CUST1010"/>
    <x v="2"/>
  </r>
  <r>
    <n v="1429"/>
    <x v="169"/>
    <x v="2"/>
    <x v="1"/>
    <x v="4"/>
    <n v="7"/>
    <n v="280"/>
    <n v="1960"/>
    <n v="0.15"/>
    <n v="294"/>
    <n v="1666"/>
    <n v="210"/>
    <n v="196"/>
    <n v="0.11764705882352941"/>
    <x v="1"/>
    <x v="1"/>
    <x v="3"/>
    <x v="6"/>
    <s v="CUST1075"/>
    <x v="0"/>
  </r>
  <r>
    <n v="1430"/>
    <x v="341"/>
    <x v="1"/>
    <x v="3"/>
    <x v="3"/>
    <n v="2"/>
    <n v="1560"/>
    <n v="3120"/>
    <n v="0.05"/>
    <n v="156"/>
    <n v="2964"/>
    <n v="1160"/>
    <n v="644"/>
    <n v="0.21727395411605938"/>
    <x v="1"/>
    <x v="1"/>
    <x v="1"/>
    <x v="4"/>
    <s v="CUST1388"/>
    <x v="2"/>
  </r>
  <r>
    <n v="1431"/>
    <x v="200"/>
    <x v="3"/>
    <x v="1"/>
    <x v="5"/>
    <n v="8"/>
    <n v="180"/>
    <n v="1440"/>
    <n v="0.15"/>
    <n v="216"/>
    <n v="1224"/>
    <n v="110"/>
    <n v="344"/>
    <n v="0.28104575163398693"/>
    <x v="2"/>
    <x v="1"/>
    <x v="3"/>
    <x v="2"/>
    <s v="CUST1269"/>
    <x v="2"/>
  </r>
  <r>
    <n v="1432"/>
    <x v="17"/>
    <x v="1"/>
    <x v="0"/>
    <x v="3"/>
    <n v="2"/>
    <n v="1380"/>
    <n v="2760"/>
    <n v="0.15"/>
    <n v="414"/>
    <n v="2346"/>
    <n v="950"/>
    <n v="446"/>
    <n v="0.19011082693947143"/>
    <x v="0"/>
    <x v="1"/>
    <x v="0"/>
    <x v="3"/>
    <s v="CUST1006"/>
    <x v="1"/>
  </r>
  <r>
    <n v="1433"/>
    <x v="76"/>
    <x v="0"/>
    <x v="0"/>
    <x v="4"/>
    <n v="1"/>
    <n v="300"/>
    <n v="300"/>
    <n v="0.05"/>
    <n v="15"/>
    <n v="285"/>
    <n v="230"/>
    <n v="55"/>
    <n v="0.19298245614035087"/>
    <x v="2"/>
    <x v="1"/>
    <x v="3"/>
    <x v="2"/>
    <s v="CUST1025"/>
    <x v="0"/>
  </r>
  <r>
    <n v="1434"/>
    <x v="154"/>
    <x v="1"/>
    <x v="1"/>
    <x v="4"/>
    <n v="7"/>
    <n v="320"/>
    <n v="2240"/>
    <n v="0.1"/>
    <n v="224"/>
    <n v="2016"/>
    <n v="250"/>
    <n v="266"/>
    <n v="0.13194444444444445"/>
    <x v="3"/>
    <x v="1"/>
    <x v="3"/>
    <x v="3"/>
    <s v="CUST1037"/>
    <x v="0"/>
  </r>
  <r>
    <n v="1435"/>
    <x v="27"/>
    <x v="0"/>
    <x v="2"/>
    <x v="3"/>
    <n v="9"/>
    <n v="1470"/>
    <n v="13230"/>
    <n v="0.15"/>
    <n v="1984.5"/>
    <n v="11245.5"/>
    <n v="1090"/>
    <n v="1435.5"/>
    <n v="0.12765106042416965"/>
    <x v="1"/>
    <x v="1"/>
    <x v="1"/>
    <x v="5"/>
    <s v="CUST1158"/>
    <x v="1"/>
  </r>
  <r>
    <n v="1436"/>
    <x v="36"/>
    <x v="5"/>
    <x v="0"/>
    <x v="0"/>
    <n v="9"/>
    <n v="200"/>
    <n v="1800"/>
    <n v="0.05"/>
    <n v="90"/>
    <n v="1710"/>
    <n v="150"/>
    <n v="360"/>
    <n v="0.21052631578947367"/>
    <x v="1"/>
    <x v="1"/>
    <x v="3"/>
    <x v="0"/>
    <s v="CUST1178"/>
    <x v="1"/>
  </r>
  <r>
    <n v="1437"/>
    <x v="102"/>
    <x v="0"/>
    <x v="0"/>
    <x v="5"/>
    <n v="10"/>
    <n v="200"/>
    <n v="2000"/>
    <n v="0"/>
    <n v="0"/>
    <n v="2000"/>
    <n v="130"/>
    <n v="700"/>
    <n v="0.35"/>
    <x v="0"/>
    <x v="0"/>
    <x v="0"/>
    <x v="3"/>
    <s v="CUST1295"/>
    <x v="1"/>
  </r>
  <r>
    <n v="1438"/>
    <x v="326"/>
    <x v="1"/>
    <x v="1"/>
    <x v="0"/>
    <n v="5"/>
    <n v="230"/>
    <n v="1150"/>
    <n v="0.1"/>
    <n v="115"/>
    <n v="1035"/>
    <n v="150"/>
    <n v="285"/>
    <n v="0.27536231884057971"/>
    <x v="3"/>
    <x v="1"/>
    <x v="3"/>
    <x v="2"/>
    <s v="CUST1306"/>
    <x v="1"/>
  </r>
  <r>
    <n v="1439"/>
    <x v="108"/>
    <x v="0"/>
    <x v="3"/>
    <x v="1"/>
    <n v="10"/>
    <n v="2390"/>
    <n v="23900"/>
    <n v="0"/>
    <n v="0"/>
    <n v="23900"/>
    <n v="1820"/>
    <n v="5700"/>
    <n v="0.2384937238493724"/>
    <x v="1"/>
    <x v="1"/>
    <x v="2"/>
    <x v="8"/>
    <s v="CUST1464"/>
    <x v="2"/>
  </r>
  <r>
    <n v="1440"/>
    <x v="9"/>
    <x v="1"/>
    <x v="0"/>
    <x v="3"/>
    <n v="8"/>
    <n v="1480"/>
    <n v="11840"/>
    <n v="0.1"/>
    <n v="1184"/>
    <n v="10656"/>
    <n v="1060"/>
    <n v="2176"/>
    <n v="0.20420420420420421"/>
    <x v="2"/>
    <x v="1"/>
    <x v="0"/>
    <x v="9"/>
    <s v="CUST1230"/>
    <x v="3"/>
  </r>
  <r>
    <n v="1441"/>
    <x v="61"/>
    <x v="1"/>
    <x v="0"/>
    <x v="3"/>
    <n v="1"/>
    <n v="1660"/>
    <n v="1660"/>
    <n v="0.02"/>
    <n v="33.200000000000003"/>
    <n v="1626.8"/>
    <n v="1020"/>
    <n v="606.79999999999995"/>
    <n v="0.37300221293336611"/>
    <x v="0"/>
    <x v="3"/>
    <x v="0"/>
    <x v="4"/>
    <s v="CUST1013"/>
    <x v="0"/>
  </r>
  <r>
    <n v="1442"/>
    <x v="42"/>
    <x v="3"/>
    <x v="0"/>
    <x v="1"/>
    <n v="6"/>
    <n v="2120"/>
    <n v="12720"/>
    <n v="0"/>
    <n v="0"/>
    <n v="12720"/>
    <n v="1240"/>
    <n v="5280"/>
    <n v="0.41509433962264153"/>
    <x v="3"/>
    <x v="1"/>
    <x v="1"/>
    <x v="9"/>
    <s v="CUST1120"/>
    <x v="1"/>
  </r>
  <r>
    <n v="1443"/>
    <x v="328"/>
    <x v="2"/>
    <x v="1"/>
    <x v="4"/>
    <n v="10"/>
    <n v="300"/>
    <n v="3000"/>
    <n v="0.15"/>
    <n v="450"/>
    <n v="2550"/>
    <n v="200"/>
    <n v="550"/>
    <n v="0.21568627450980393"/>
    <x v="3"/>
    <x v="1"/>
    <x v="0"/>
    <x v="5"/>
    <s v="CUST1125"/>
    <x v="0"/>
  </r>
  <r>
    <n v="1444"/>
    <x v="236"/>
    <x v="2"/>
    <x v="1"/>
    <x v="3"/>
    <n v="4"/>
    <n v="1440"/>
    <n v="5760"/>
    <n v="0.05"/>
    <n v="288"/>
    <n v="5472"/>
    <n v="880"/>
    <n v="1952"/>
    <n v="0.35672514619883039"/>
    <x v="3"/>
    <x v="1"/>
    <x v="1"/>
    <x v="2"/>
    <s v="CUST1278"/>
    <x v="0"/>
  </r>
  <r>
    <n v="1445"/>
    <x v="248"/>
    <x v="1"/>
    <x v="3"/>
    <x v="4"/>
    <n v="10"/>
    <n v="330"/>
    <n v="3300"/>
    <n v="0.1"/>
    <n v="330"/>
    <n v="2970"/>
    <n v="210"/>
    <n v="870"/>
    <n v="0.29292929292929293"/>
    <x v="2"/>
    <x v="1"/>
    <x v="1"/>
    <x v="9"/>
    <s v="CUST1259"/>
    <x v="3"/>
  </r>
  <r>
    <n v="1446"/>
    <x v="265"/>
    <x v="5"/>
    <x v="0"/>
    <x v="1"/>
    <n v="11"/>
    <n v="2200"/>
    <n v="24200"/>
    <n v="0"/>
    <n v="0"/>
    <n v="24200"/>
    <n v="1390"/>
    <n v="8910"/>
    <n v="0.36818181818181817"/>
    <x v="4"/>
    <x v="1"/>
    <x v="0"/>
    <x v="8"/>
    <s v="CUST1023"/>
    <x v="1"/>
  </r>
  <r>
    <n v="1447"/>
    <x v="320"/>
    <x v="0"/>
    <x v="1"/>
    <x v="0"/>
    <n v="11"/>
    <n v="220"/>
    <n v="2420"/>
    <n v="0.05"/>
    <n v="121"/>
    <n v="2299"/>
    <n v="130"/>
    <n v="869"/>
    <n v="0.37799043062200954"/>
    <x v="1"/>
    <x v="1"/>
    <x v="2"/>
    <x v="7"/>
    <s v="CUST1089"/>
    <x v="0"/>
  </r>
  <r>
    <n v="1448"/>
    <x v="279"/>
    <x v="2"/>
    <x v="0"/>
    <x v="5"/>
    <n v="10"/>
    <n v="180"/>
    <n v="1800"/>
    <n v="0"/>
    <n v="0"/>
    <n v="1800"/>
    <n v="130"/>
    <n v="500"/>
    <n v="0.27777777777777779"/>
    <x v="1"/>
    <x v="1"/>
    <x v="2"/>
    <x v="0"/>
    <s v="CUST1015"/>
    <x v="1"/>
  </r>
  <r>
    <n v="1449"/>
    <x v="235"/>
    <x v="2"/>
    <x v="2"/>
    <x v="0"/>
    <n v="9"/>
    <n v="200"/>
    <n v="1800"/>
    <n v="0.05"/>
    <n v="90"/>
    <n v="1710"/>
    <n v="120"/>
    <n v="630"/>
    <n v="0.36842105263157893"/>
    <x v="3"/>
    <x v="1"/>
    <x v="0"/>
    <x v="3"/>
    <s v="CUST1226"/>
    <x v="1"/>
  </r>
  <r>
    <n v="1450"/>
    <x v="163"/>
    <x v="5"/>
    <x v="0"/>
    <x v="1"/>
    <n v="3"/>
    <n v="2270"/>
    <n v="6810"/>
    <n v="0"/>
    <n v="0"/>
    <n v="6810"/>
    <n v="1600"/>
    <n v="2010"/>
    <n v="0.29515418502202645"/>
    <x v="1"/>
    <x v="1"/>
    <x v="0"/>
    <x v="0"/>
    <s v="CUST1005"/>
    <x v="3"/>
  </r>
  <r>
    <n v="1451"/>
    <x v="355"/>
    <x v="0"/>
    <x v="0"/>
    <x v="2"/>
    <n v="10"/>
    <n v="2270"/>
    <n v="22700"/>
    <n v="0.02"/>
    <n v="454"/>
    <n v="22246"/>
    <n v="1830"/>
    <n v="3946"/>
    <n v="0.17738020318259462"/>
    <x v="1"/>
    <x v="3"/>
    <x v="2"/>
    <x v="1"/>
    <s v="CUST1346"/>
    <x v="2"/>
  </r>
  <r>
    <n v="1452"/>
    <x v="276"/>
    <x v="5"/>
    <x v="1"/>
    <x v="2"/>
    <n v="10"/>
    <n v="1330"/>
    <n v="13300"/>
    <n v="0"/>
    <n v="0"/>
    <n v="13300"/>
    <n v="1040"/>
    <n v="2900"/>
    <n v="0.21804511278195488"/>
    <x v="1"/>
    <x v="2"/>
    <x v="0"/>
    <x v="3"/>
    <s v="CUST1111"/>
    <x v="3"/>
  </r>
  <r>
    <n v="1453"/>
    <x v="258"/>
    <x v="1"/>
    <x v="3"/>
    <x v="3"/>
    <n v="2"/>
    <n v="1370"/>
    <n v="2740"/>
    <n v="0"/>
    <n v="0"/>
    <n v="2740"/>
    <n v="870"/>
    <n v="1000"/>
    <n v="0.36496350364963503"/>
    <x v="2"/>
    <x v="1"/>
    <x v="2"/>
    <x v="5"/>
    <s v="CUST1343"/>
    <x v="3"/>
  </r>
  <r>
    <n v="1454"/>
    <x v="23"/>
    <x v="4"/>
    <x v="0"/>
    <x v="2"/>
    <n v="2"/>
    <n v="1350"/>
    <n v="2700"/>
    <n v="0.02"/>
    <n v="54"/>
    <n v="2646"/>
    <n v="880"/>
    <n v="886"/>
    <n v="0.33484504913076341"/>
    <x v="4"/>
    <x v="2"/>
    <x v="1"/>
    <x v="9"/>
    <s v="CUST1137"/>
    <x v="1"/>
  </r>
  <r>
    <n v="1455"/>
    <x v="280"/>
    <x v="5"/>
    <x v="3"/>
    <x v="2"/>
    <n v="10"/>
    <n v="1190"/>
    <n v="11900"/>
    <n v="0"/>
    <n v="0"/>
    <n v="11900"/>
    <n v="720"/>
    <n v="4700"/>
    <n v="0.3949579831932773"/>
    <x v="1"/>
    <x v="1"/>
    <x v="1"/>
    <x v="3"/>
    <s v="CUST1439"/>
    <x v="0"/>
  </r>
  <r>
    <n v="1456"/>
    <x v="90"/>
    <x v="0"/>
    <x v="0"/>
    <x v="1"/>
    <n v="8"/>
    <n v="2080"/>
    <n v="16640"/>
    <n v="0"/>
    <n v="0"/>
    <n v="16640"/>
    <n v="1310"/>
    <n v="6160"/>
    <n v="0.37019230769230771"/>
    <x v="1"/>
    <x v="1"/>
    <x v="2"/>
    <x v="6"/>
    <s v="CUST1364"/>
    <x v="0"/>
  </r>
  <r>
    <n v="1457"/>
    <x v="310"/>
    <x v="0"/>
    <x v="0"/>
    <x v="0"/>
    <n v="6"/>
    <n v="200"/>
    <n v="1200"/>
    <n v="0"/>
    <n v="0"/>
    <n v="1200"/>
    <n v="160"/>
    <n v="240"/>
    <n v="0.2"/>
    <x v="2"/>
    <x v="2"/>
    <x v="3"/>
    <x v="7"/>
    <s v="CUST1317"/>
    <x v="3"/>
  </r>
  <r>
    <n v="1458"/>
    <x v="192"/>
    <x v="2"/>
    <x v="0"/>
    <x v="3"/>
    <n v="12"/>
    <n v="1550"/>
    <n v="18600"/>
    <n v="0.1"/>
    <n v="1860"/>
    <n v="16740"/>
    <n v="950"/>
    <n v="5340"/>
    <n v="0.31899641577060933"/>
    <x v="1"/>
    <x v="1"/>
    <x v="0"/>
    <x v="5"/>
    <s v="CUST1149"/>
    <x v="2"/>
  </r>
  <r>
    <n v="1459"/>
    <x v="147"/>
    <x v="5"/>
    <x v="0"/>
    <x v="4"/>
    <n v="8"/>
    <n v="290"/>
    <n v="2320"/>
    <n v="0.02"/>
    <n v="46.4"/>
    <n v="2273.6"/>
    <n v="240"/>
    <n v="353.59999999999991"/>
    <n v="0.15552427867698801"/>
    <x v="1"/>
    <x v="3"/>
    <x v="0"/>
    <x v="6"/>
    <s v="CUST1188"/>
    <x v="1"/>
  </r>
  <r>
    <n v="1460"/>
    <x v="358"/>
    <x v="0"/>
    <x v="1"/>
    <x v="0"/>
    <n v="9"/>
    <n v="240"/>
    <n v="2160"/>
    <n v="0"/>
    <n v="0"/>
    <n v="2160"/>
    <n v="180"/>
    <n v="540"/>
    <n v="0.25"/>
    <x v="3"/>
    <x v="1"/>
    <x v="3"/>
    <x v="3"/>
    <s v="CUST1236"/>
    <x v="1"/>
  </r>
  <r>
    <n v="1461"/>
    <x v="300"/>
    <x v="5"/>
    <x v="0"/>
    <x v="1"/>
    <n v="2"/>
    <n v="2250"/>
    <n v="4500"/>
    <n v="0"/>
    <n v="0"/>
    <n v="4500"/>
    <n v="1520"/>
    <n v="1460"/>
    <n v="0.32444444444444442"/>
    <x v="2"/>
    <x v="1"/>
    <x v="0"/>
    <x v="2"/>
    <s v="CUST1361"/>
    <x v="3"/>
  </r>
  <r>
    <n v="1462"/>
    <x v="43"/>
    <x v="0"/>
    <x v="2"/>
    <x v="4"/>
    <n v="2"/>
    <n v="290"/>
    <n v="580"/>
    <n v="0"/>
    <n v="0"/>
    <n v="580"/>
    <n v="230"/>
    <n v="120"/>
    <n v="0.20689655172413793"/>
    <x v="3"/>
    <x v="1"/>
    <x v="3"/>
    <x v="0"/>
    <s v="CUST1371"/>
    <x v="2"/>
  </r>
  <r>
    <n v="1463"/>
    <x v="264"/>
    <x v="0"/>
    <x v="0"/>
    <x v="0"/>
    <n v="6"/>
    <n v="190"/>
    <n v="1140"/>
    <n v="0.1"/>
    <n v="114"/>
    <n v="1026"/>
    <n v="140"/>
    <n v="186"/>
    <n v="0.18128654970760233"/>
    <x v="2"/>
    <x v="1"/>
    <x v="2"/>
    <x v="0"/>
    <s v="CUST1308"/>
    <x v="0"/>
  </r>
  <r>
    <n v="1464"/>
    <x v="316"/>
    <x v="1"/>
    <x v="1"/>
    <x v="1"/>
    <n v="12"/>
    <n v="1980"/>
    <n v="23760"/>
    <n v="0.15"/>
    <n v="3564"/>
    <n v="20196"/>
    <n v="1440"/>
    <n v="2916"/>
    <n v="0.14438502673796791"/>
    <x v="1"/>
    <x v="1"/>
    <x v="3"/>
    <x v="5"/>
    <s v="CUST1044"/>
    <x v="1"/>
  </r>
  <r>
    <n v="1465"/>
    <x v="213"/>
    <x v="4"/>
    <x v="2"/>
    <x v="1"/>
    <n v="9"/>
    <n v="2170"/>
    <n v="19530"/>
    <n v="0.15"/>
    <n v="2929.5"/>
    <n v="16600.5"/>
    <n v="1560"/>
    <n v="2560.5"/>
    <n v="0.15424234209812956"/>
    <x v="4"/>
    <x v="1"/>
    <x v="3"/>
    <x v="9"/>
    <s v="CUST1227"/>
    <x v="1"/>
  </r>
  <r>
    <n v="1466"/>
    <x v="345"/>
    <x v="1"/>
    <x v="3"/>
    <x v="4"/>
    <n v="5"/>
    <n v="330"/>
    <n v="1650"/>
    <n v="0"/>
    <n v="0"/>
    <n v="1650"/>
    <n v="230"/>
    <n v="500"/>
    <n v="0.30303030303030304"/>
    <x v="3"/>
    <x v="1"/>
    <x v="3"/>
    <x v="2"/>
    <s v="CUST1111"/>
    <x v="1"/>
  </r>
  <r>
    <n v="1467"/>
    <x v="64"/>
    <x v="0"/>
    <x v="0"/>
    <x v="1"/>
    <n v="10"/>
    <n v="1920"/>
    <n v="19200"/>
    <n v="0.05"/>
    <n v="960"/>
    <n v="18240"/>
    <n v="1510"/>
    <n v="3140"/>
    <n v="0.17214912280701755"/>
    <x v="2"/>
    <x v="1"/>
    <x v="3"/>
    <x v="1"/>
    <s v="CUST1241"/>
    <x v="2"/>
  </r>
  <r>
    <n v="1468"/>
    <x v="235"/>
    <x v="3"/>
    <x v="0"/>
    <x v="4"/>
    <n v="6"/>
    <n v="290"/>
    <n v="1740"/>
    <n v="0"/>
    <n v="0"/>
    <n v="1740"/>
    <n v="210"/>
    <n v="480"/>
    <n v="0.27586206896551724"/>
    <x v="3"/>
    <x v="1"/>
    <x v="2"/>
    <x v="3"/>
    <s v="CUST1229"/>
    <x v="3"/>
  </r>
  <r>
    <n v="1469"/>
    <x v="294"/>
    <x v="0"/>
    <x v="0"/>
    <x v="1"/>
    <n v="4"/>
    <n v="2120"/>
    <n v="8480"/>
    <n v="0.15"/>
    <n v="1272"/>
    <n v="7208"/>
    <n v="1280"/>
    <n v="2088"/>
    <n v="0.28967813540510545"/>
    <x v="4"/>
    <x v="0"/>
    <x v="3"/>
    <x v="5"/>
    <s v="CUST1008"/>
    <x v="3"/>
  </r>
  <r>
    <n v="1470"/>
    <x v="261"/>
    <x v="5"/>
    <x v="1"/>
    <x v="4"/>
    <n v="8"/>
    <n v="290"/>
    <n v="2320"/>
    <n v="0.05"/>
    <n v="116"/>
    <n v="2204"/>
    <n v="230"/>
    <n v="364"/>
    <n v="0.16515426497277677"/>
    <x v="2"/>
    <x v="1"/>
    <x v="2"/>
    <x v="6"/>
    <s v="CUST1218"/>
    <x v="2"/>
  </r>
  <r>
    <n v="1471"/>
    <x v="199"/>
    <x v="1"/>
    <x v="0"/>
    <x v="1"/>
    <n v="11"/>
    <n v="2170"/>
    <n v="23870"/>
    <n v="0.1"/>
    <n v="2387"/>
    <n v="21483"/>
    <n v="1350"/>
    <n v="6633"/>
    <n v="0.30875576036866359"/>
    <x v="2"/>
    <x v="1"/>
    <x v="3"/>
    <x v="0"/>
    <s v="CUST1439"/>
    <x v="0"/>
  </r>
  <r>
    <n v="1472"/>
    <x v="84"/>
    <x v="0"/>
    <x v="2"/>
    <x v="2"/>
    <n v="11"/>
    <n v="1350"/>
    <n v="14850"/>
    <n v="0"/>
    <n v="0"/>
    <n v="14850"/>
    <n v="1100"/>
    <n v="2750"/>
    <n v="0.18518518518518517"/>
    <x v="1"/>
    <x v="1"/>
    <x v="2"/>
    <x v="2"/>
    <s v="CUST1157"/>
    <x v="3"/>
  </r>
  <r>
    <n v="1473"/>
    <x v="61"/>
    <x v="0"/>
    <x v="0"/>
    <x v="2"/>
    <n v="6"/>
    <n v="1290"/>
    <n v="7740"/>
    <n v="0"/>
    <n v="0"/>
    <n v="7740"/>
    <n v="1050"/>
    <n v="1440"/>
    <n v="0.18604651162790697"/>
    <x v="3"/>
    <x v="1"/>
    <x v="1"/>
    <x v="8"/>
    <s v="CUST1370"/>
    <x v="1"/>
  </r>
  <r>
    <n v="1474"/>
    <x v="25"/>
    <x v="0"/>
    <x v="0"/>
    <x v="0"/>
    <n v="5"/>
    <n v="210"/>
    <n v="1050"/>
    <n v="0"/>
    <n v="0"/>
    <n v="1050"/>
    <n v="150"/>
    <n v="300"/>
    <n v="0.2857142857142857"/>
    <x v="3"/>
    <x v="1"/>
    <x v="1"/>
    <x v="0"/>
    <s v="CUST1205"/>
    <x v="2"/>
  </r>
  <r>
    <n v="1475"/>
    <x v="348"/>
    <x v="0"/>
    <x v="0"/>
    <x v="1"/>
    <n v="2"/>
    <n v="2000"/>
    <n v="4000"/>
    <n v="0.1"/>
    <n v="400"/>
    <n v="3600"/>
    <n v="1590"/>
    <n v="420"/>
    <n v="0.11666666666666667"/>
    <x v="3"/>
    <x v="1"/>
    <x v="2"/>
    <x v="0"/>
    <s v="CUST1475"/>
    <x v="1"/>
  </r>
  <r>
    <n v="1476"/>
    <x v="262"/>
    <x v="1"/>
    <x v="3"/>
    <x v="3"/>
    <n v="11"/>
    <n v="1640"/>
    <n v="18040"/>
    <n v="0.05"/>
    <n v="902"/>
    <n v="17138"/>
    <n v="1330"/>
    <n v="2508"/>
    <n v="0.14634146341463414"/>
    <x v="0"/>
    <x v="1"/>
    <x v="0"/>
    <x v="7"/>
    <s v="CUST1446"/>
    <x v="2"/>
  </r>
  <r>
    <n v="1477"/>
    <x v="308"/>
    <x v="1"/>
    <x v="0"/>
    <x v="1"/>
    <n v="2"/>
    <n v="2330"/>
    <n v="4660"/>
    <n v="0.05"/>
    <n v="233"/>
    <n v="4427"/>
    <n v="1540"/>
    <n v="1347"/>
    <n v="0.30426925683306982"/>
    <x v="1"/>
    <x v="1"/>
    <x v="3"/>
    <x v="3"/>
    <s v="CUST1222"/>
    <x v="1"/>
  </r>
  <r>
    <n v="1478"/>
    <x v="1"/>
    <x v="0"/>
    <x v="2"/>
    <x v="1"/>
    <n v="8"/>
    <n v="2320"/>
    <n v="18560"/>
    <n v="0.05"/>
    <n v="928"/>
    <n v="17632"/>
    <n v="1620"/>
    <n v="4672"/>
    <n v="0.26497277676950998"/>
    <x v="0"/>
    <x v="1"/>
    <x v="0"/>
    <x v="1"/>
    <s v="CUST1301"/>
    <x v="0"/>
  </r>
  <r>
    <n v="1479"/>
    <x v="144"/>
    <x v="5"/>
    <x v="1"/>
    <x v="4"/>
    <n v="3"/>
    <n v="320"/>
    <n v="960"/>
    <n v="0"/>
    <n v="0"/>
    <n v="960"/>
    <n v="200"/>
    <n v="360"/>
    <n v="0.375"/>
    <x v="0"/>
    <x v="1"/>
    <x v="3"/>
    <x v="9"/>
    <s v="CUST1102"/>
    <x v="3"/>
  </r>
  <r>
    <n v="1480"/>
    <x v="130"/>
    <x v="2"/>
    <x v="0"/>
    <x v="5"/>
    <n v="12"/>
    <n v="210"/>
    <n v="2520"/>
    <n v="0.15"/>
    <n v="378"/>
    <n v="2142"/>
    <n v="170"/>
    <n v="102"/>
    <n v="4.7619047619047616E-2"/>
    <x v="4"/>
    <x v="1"/>
    <x v="0"/>
    <x v="1"/>
    <s v="CUST1475"/>
    <x v="3"/>
  </r>
  <r>
    <n v="1481"/>
    <x v="88"/>
    <x v="5"/>
    <x v="3"/>
    <x v="5"/>
    <n v="9"/>
    <n v="170"/>
    <n v="1530"/>
    <n v="0"/>
    <n v="0"/>
    <n v="1530"/>
    <n v="130"/>
    <n v="360"/>
    <n v="0.23529411764705882"/>
    <x v="3"/>
    <x v="1"/>
    <x v="0"/>
    <x v="5"/>
    <s v="CUST1176"/>
    <x v="0"/>
  </r>
  <r>
    <n v="1482"/>
    <x v="357"/>
    <x v="5"/>
    <x v="2"/>
    <x v="3"/>
    <n v="11"/>
    <n v="1690"/>
    <n v="18590"/>
    <n v="0.15"/>
    <n v="2788.5"/>
    <n v="15801.5"/>
    <n v="1230"/>
    <n v="2271.5"/>
    <n v="0.14375217542638358"/>
    <x v="3"/>
    <x v="2"/>
    <x v="2"/>
    <x v="4"/>
    <s v="CUST1493"/>
    <x v="0"/>
  </r>
  <r>
    <n v="1483"/>
    <x v="232"/>
    <x v="2"/>
    <x v="3"/>
    <x v="0"/>
    <n v="3"/>
    <n v="200"/>
    <n v="600"/>
    <n v="0.15"/>
    <n v="90"/>
    <n v="510"/>
    <n v="130"/>
    <n v="120"/>
    <n v="0.23529411764705882"/>
    <x v="3"/>
    <x v="1"/>
    <x v="2"/>
    <x v="0"/>
    <s v="CUST1014"/>
    <x v="0"/>
  </r>
  <r>
    <n v="1484"/>
    <x v="16"/>
    <x v="1"/>
    <x v="0"/>
    <x v="5"/>
    <n v="4"/>
    <n v="190"/>
    <n v="760"/>
    <n v="0.1"/>
    <n v="76"/>
    <n v="684"/>
    <n v="140"/>
    <n v="124"/>
    <n v="0.18128654970760233"/>
    <x v="3"/>
    <x v="1"/>
    <x v="2"/>
    <x v="3"/>
    <s v="CUST1098"/>
    <x v="3"/>
  </r>
  <r>
    <n v="1485"/>
    <x v="38"/>
    <x v="5"/>
    <x v="2"/>
    <x v="2"/>
    <n v="12"/>
    <n v="1320"/>
    <n v="15840"/>
    <n v="0.02"/>
    <n v="316.8"/>
    <n v="15523.2"/>
    <n v="960"/>
    <n v="4003.2000000000007"/>
    <n v="0.25788497217068651"/>
    <x v="4"/>
    <x v="1"/>
    <x v="3"/>
    <x v="6"/>
    <s v="CUST1490"/>
    <x v="1"/>
  </r>
  <r>
    <n v="1486"/>
    <x v="308"/>
    <x v="1"/>
    <x v="2"/>
    <x v="4"/>
    <n v="9"/>
    <n v="300"/>
    <n v="2700"/>
    <n v="0.02"/>
    <n v="54"/>
    <n v="2646"/>
    <n v="240"/>
    <n v="486"/>
    <n v="0.18367346938775511"/>
    <x v="0"/>
    <x v="1"/>
    <x v="1"/>
    <x v="3"/>
    <s v="CUST1329"/>
    <x v="2"/>
  </r>
  <r>
    <n v="1487"/>
    <x v="116"/>
    <x v="5"/>
    <x v="1"/>
    <x v="0"/>
    <n v="2"/>
    <n v="210"/>
    <n v="420"/>
    <n v="0.05"/>
    <n v="21"/>
    <n v="399"/>
    <n v="120"/>
    <n v="159"/>
    <n v="0.39849624060150374"/>
    <x v="2"/>
    <x v="1"/>
    <x v="0"/>
    <x v="4"/>
    <s v="CUST1275"/>
    <x v="2"/>
  </r>
  <r>
    <n v="1488"/>
    <x v="173"/>
    <x v="0"/>
    <x v="0"/>
    <x v="5"/>
    <n v="4"/>
    <n v="180"/>
    <n v="720"/>
    <n v="0"/>
    <n v="0"/>
    <n v="720"/>
    <n v="140"/>
    <n v="160"/>
    <n v="0.22222222222222221"/>
    <x v="3"/>
    <x v="3"/>
    <x v="1"/>
    <x v="0"/>
    <s v="CUST1452"/>
    <x v="3"/>
  </r>
  <r>
    <n v="1489"/>
    <x v="15"/>
    <x v="0"/>
    <x v="0"/>
    <x v="0"/>
    <n v="11"/>
    <n v="220"/>
    <n v="2420"/>
    <n v="0"/>
    <n v="0"/>
    <n v="2420"/>
    <n v="140"/>
    <n v="880"/>
    <n v="0.36363636363636365"/>
    <x v="2"/>
    <x v="1"/>
    <x v="3"/>
    <x v="3"/>
    <s v="CUST1013"/>
    <x v="3"/>
  </r>
  <r>
    <n v="1490"/>
    <x v="364"/>
    <x v="0"/>
    <x v="1"/>
    <x v="3"/>
    <n v="3"/>
    <n v="1140"/>
    <n v="3420"/>
    <n v="0"/>
    <n v="0"/>
    <n v="3420"/>
    <n v="870"/>
    <n v="810"/>
    <n v="0.23684210526315788"/>
    <x v="2"/>
    <x v="1"/>
    <x v="3"/>
    <x v="6"/>
    <s v="CUST1150"/>
    <x v="2"/>
  </r>
  <r>
    <n v="1491"/>
    <x v="185"/>
    <x v="0"/>
    <x v="0"/>
    <x v="4"/>
    <n v="10"/>
    <n v="300"/>
    <n v="3000"/>
    <n v="0"/>
    <n v="0"/>
    <n v="3000"/>
    <n v="200"/>
    <n v="1000"/>
    <n v="0.33333333333333331"/>
    <x v="3"/>
    <x v="1"/>
    <x v="1"/>
    <x v="4"/>
    <s v="CUST1154"/>
    <x v="3"/>
  </r>
  <r>
    <n v="1492"/>
    <x v="21"/>
    <x v="4"/>
    <x v="0"/>
    <x v="0"/>
    <n v="4"/>
    <n v="230"/>
    <n v="920"/>
    <n v="0.05"/>
    <n v="46"/>
    <n v="874"/>
    <n v="180"/>
    <n v="154"/>
    <n v="0.17620137299771166"/>
    <x v="2"/>
    <x v="1"/>
    <x v="1"/>
    <x v="3"/>
    <s v="CUST1159"/>
    <x v="1"/>
  </r>
  <r>
    <n v="1493"/>
    <x v="222"/>
    <x v="1"/>
    <x v="1"/>
    <x v="1"/>
    <n v="11"/>
    <n v="2030"/>
    <n v="22330"/>
    <n v="0.05"/>
    <n v="1116.5"/>
    <n v="21213.5"/>
    <n v="1370"/>
    <n v="6143.5"/>
    <n v="0.28960331864143118"/>
    <x v="1"/>
    <x v="1"/>
    <x v="0"/>
    <x v="9"/>
    <s v="CUST1349"/>
    <x v="0"/>
  </r>
  <r>
    <n v="1494"/>
    <x v="271"/>
    <x v="5"/>
    <x v="1"/>
    <x v="5"/>
    <n v="10"/>
    <n v="180"/>
    <n v="1800"/>
    <n v="0"/>
    <n v="0"/>
    <n v="1800"/>
    <n v="150"/>
    <n v="300"/>
    <n v="0.16666666666666666"/>
    <x v="1"/>
    <x v="1"/>
    <x v="1"/>
    <x v="6"/>
    <s v="CUST1378"/>
    <x v="2"/>
  </r>
  <r>
    <n v="1495"/>
    <x v="43"/>
    <x v="0"/>
    <x v="1"/>
    <x v="4"/>
    <n v="12"/>
    <n v="280"/>
    <n v="3360"/>
    <n v="0.15"/>
    <n v="504"/>
    <n v="2856"/>
    <n v="170"/>
    <n v="816"/>
    <n v="0.2857142857142857"/>
    <x v="2"/>
    <x v="3"/>
    <x v="2"/>
    <x v="5"/>
    <s v="CUST1379"/>
    <x v="1"/>
  </r>
  <r>
    <n v="1496"/>
    <x v="199"/>
    <x v="1"/>
    <x v="2"/>
    <x v="3"/>
    <n v="8"/>
    <n v="1520"/>
    <n v="12160"/>
    <n v="0.15"/>
    <n v="1824"/>
    <n v="10336"/>
    <n v="920"/>
    <n v="2976"/>
    <n v="0.28792569659442724"/>
    <x v="3"/>
    <x v="1"/>
    <x v="1"/>
    <x v="2"/>
    <s v="CUST1395"/>
    <x v="0"/>
  </r>
  <r>
    <n v="1497"/>
    <x v="31"/>
    <x v="5"/>
    <x v="2"/>
    <x v="0"/>
    <n v="3"/>
    <n v="210"/>
    <n v="630"/>
    <n v="0"/>
    <n v="0"/>
    <n v="630"/>
    <n v="120"/>
    <n v="270"/>
    <n v="0.42857142857142855"/>
    <x v="2"/>
    <x v="1"/>
    <x v="3"/>
    <x v="2"/>
    <s v="CUST1124"/>
    <x v="0"/>
  </r>
  <r>
    <n v="1498"/>
    <x v="2"/>
    <x v="1"/>
    <x v="1"/>
    <x v="0"/>
    <n v="11"/>
    <n v="200"/>
    <n v="2200"/>
    <n v="0.1"/>
    <n v="220"/>
    <n v="1980"/>
    <n v="130"/>
    <n v="550"/>
    <n v="0.27777777777777779"/>
    <x v="0"/>
    <x v="1"/>
    <x v="0"/>
    <x v="5"/>
    <s v="CUST1146"/>
    <x v="2"/>
  </r>
  <r>
    <n v="1499"/>
    <x v="349"/>
    <x v="5"/>
    <x v="1"/>
    <x v="0"/>
    <n v="12"/>
    <n v="210"/>
    <n v="2520"/>
    <n v="0.02"/>
    <n v="50.4"/>
    <n v="2469.6"/>
    <n v="150"/>
    <n v="669.59999999999991"/>
    <n v="0.27113702623906705"/>
    <x v="2"/>
    <x v="1"/>
    <x v="1"/>
    <x v="3"/>
    <s v="CUST1371"/>
    <x v="2"/>
  </r>
  <r>
    <n v="1500"/>
    <x v="334"/>
    <x v="1"/>
    <x v="0"/>
    <x v="0"/>
    <n v="6"/>
    <n v="240"/>
    <n v="1440"/>
    <n v="0"/>
    <n v="0"/>
    <n v="1440"/>
    <n v="150"/>
    <n v="540"/>
    <n v="0.375"/>
    <x v="1"/>
    <x v="1"/>
    <x v="1"/>
    <x v="4"/>
    <s v="CUST1023"/>
    <x v="0"/>
  </r>
  <r>
    <n v="1501"/>
    <x v="194"/>
    <x v="1"/>
    <x v="0"/>
    <x v="1"/>
    <n v="12"/>
    <n v="2160"/>
    <n v="25920"/>
    <n v="0.02"/>
    <n v="518.4"/>
    <n v="25401.599999999999"/>
    <n v="1340"/>
    <n v="9321.5999999999985"/>
    <n v="0.36696900982615266"/>
    <x v="3"/>
    <x v="1"/>
    <x v="1"/>
    <x v="9"/>
    <s v="CUST1091"/>
    <x v="1"/>
  </r>
  <r>
    <n v="1502"/>
    <x v="6"/>
    <x v="1"/>
    <x v="1"/>
    <x v="2"/>
    <n v="3"/>
    <n v="1210"/>
    <n v="3630"/>
    <n v="0.15"/>
    <n v="544.5"/>
    <n v="3085.5"/>
    <n v="910"/>
    <n v="355.5"/>
    <n v="0.11521633446767136"/>
    <x v="3"/>
    <x v="1"/>
    <x v="2"/>
    <x v="6"/>
    <s v="CUST1298"/>
    <x v="2"/>
  </r>
  <r>
    <n v="1503"/>
    <x v="126"/>
    <x v="3"/>
    <x v="0"/>
    <x v="1"/>
    <n v="7"/>
    <n v="2330"/>
    <n v="16310"/>
    <n v="0"/>
    <n v="0"/>
    <n v="16310"/>
    <n v="1880"/>
    <n v="3150"/>
    <n v="0.19313304721030042"/>
    <x v="0"/>
    <x v="1"/>
    <x v="2"/>
    <x v="5"/>
    <s v="CUST1089"/>
    <x v="2"/>
  </r>
  <r>
    <n v="1504"/>
    <x v="19"/>
    <x v="0"/>
    <x v="0"/>
    <x v="1"/>
    <n v="12"/>
    <n v="2380"/>
    <n v="28560"/>
    <n v="0.05"/>
    <n v="1428"/>
    <n v="27132"/>
    <n v="1420"/>
    <n v="10092"/>
    <n v="0.37195931003980537"/>
    <x v="3"/>
    <x v="1"/>
    <x v="0"/>
    <x v="7"/>
    <s v="CUST1078"/>
    <x v="2"/>
  </r>
  <r>
    <n v="1505"/>
    <x v="292"/>
    <x v="5"/>
    <x v="1"/>
    <x v="1"/>
    <n v="8"/>
    <n v="2390"/>
    <n v="19120"/>
    <n v="0"/>
    <n v="0"/>
    <n v="19120"/>
    <n v="1510"/>
    <n v="7040"/>
    <n v="0.3682008368200837"/>
    <x v="3"/>
    <x v="0"/>
    <x v="0"/>
    <x v="1"/>
    <s v="CUST1073"/>
    <x v="3"/>
  </r>
  <r>
    <n v="1506"/>
    <x v="217"/>
    <x v="0"/>
    <x v="0"/>
    <x v="1"/>
    <n v="12"/>
    <n v="2060"/>
    <n v="24720"/>
    <n v="0"/>
    <n v="0"/>
    <n v="24720"/>
    <n v="1370"/>
    <n v="8280"/>
    <n v="0.33495145631067963"/>
    <x v="1"/>
    <x v="0"/>
    <x v="1"/>
    <x v="5"/>
    <s v="CUST1292"/>
    <x v="2"/>
  </r>
  <r>
    <n v="1507"/>
    <x v="223"/>
    <x v="1"/>
    <x v="3"/>
    <x v="1"/>
    <n v="8"/>
    <n v="2180"/>
    <n v="17440"/>
    <n v="0.15"/>
    <n v="2616"/>
    <n v="14824"/>
    <n v="1630"/>
    <n v="1784"/>
    <n v="0.12034538586076632"/>
    <x v="2"/>
    <x v="2"/>
    <x v="1"/>
    <x v="4"/>
    <s v="CUST1351"/>
    <x v="2"/>
  </r>
  <r>
    <n v="1508"/>
    <x v="96"/>
    <x v="3"/>
    <x v="3"/>
    <x v="0"/>
    <n v="4"/>
    <n v="210"/>
    <n v="840"/>
    <n v="0"/>
    <n v="0"/>
    <n v="840"/>
    <n v="140"/>
    <n v="280"/>
    <n v="0.33333333333333331"/>
    <x v="1"/>
    <x v="1"/>
    <x v="2"/>
    <x v="5"/>
    <s v="CUST1287"/>
    <x v="1"/>
  </r>
  <r>
    <n v="1509"/>
    <x v="60"/>
    <x v="1"/>
    <x v="1"/>
    <x v="2"/>
    <n v="8"/>
    <n v="1290"/>
    <n v="10320"/>
    <n v="0.02"/>
    <n v="206.4"/>
    <n v="10113.6"/>
    <n v="830"/>
    <n v="3473.6000000000004"/>
    <n v="0.34345831355798134"/>
    <x v="0"/>
    <x v="1"/>
    <x v="1"/>
    <x v="4"/>
    <s v="CUST1056"/>
    <x v="1"/>
  </r>
  <r>
    <n v="1510"/>
    <x v="190"/>
    <x v="0"/>
    <x v="2"/>
    <x v="2"/>
    <n v="7"/>
    <n v="1360"/>
    <n v="9520"/>
    <n v="0"/>
    <n v="0"/>
    <n v="9520"/>
    <n v="1040"/>
    <n v="2240"/>
    <n v="0.23529411764705882"/>
    <x v="0"/>
    <x v="1"/>
    <x v="0"/>
    <x v="3"/>
    <s v="CUST1338"/>
    <x v="2"/>
  </r>
  <r>
    <n v="1511"/>
    <x v="193"/>
    <x v="5"/>
    <x v="1"/>
    <x v="4"/>
    <n v="1"/>
    <n v="330"/>
    <n v="330"/>
    <n v="0.15"/>
    <n v="49.5"/>
    <n v="280.5"/>
    <n v="260"/>
    <n v="20.5"/>
    <n v="7.3083778966131913E-2"/>
    <x v="0"/>
    <x v="1"/>
    <x v="0"/>
    <x v="4"/>
    <s v="CUST1327"/>
    <x v="0"/>
  </r>
  <r>
    <n v="1512"/>
    <x v="306"/>
    <x v="5"/>
    <x v="1"/>
    <x v="0"/>
    <n v="12"/>
    <n v="200"/>
    <n v="2400"/>
    <n v="0.1"/>
    <n v="240"/>
    <n v="2160"/>
    <n v="120"/>
    <n v="720"/>
    <n v="0.33333333333333331"/>
    <x v="4"/>
    <x v="1"/>
    <x v="2"/>
    <x v="8"/>
    <s v="CUST1076"/>
    <x v="2"/>
  </r>
  <r>
    <n v="1513"/>
    <x v="85"/>
    <x v="1"/>
    <x v="0"/>
    <x v="3"/>
    <n v="12"/>
    <n v="1580"/>
    <n v="18960"/>
    <n v="0.05"/>
    <n v="948"/>
    <n v="18012"/>
    <n v="1250"/>
    <n v="3012"/>
    <n v="0.16722185209860094"/>
    <x v="3"/>
    <x v="1"/>
    <x v="2"/>
    <x v="4"/>
    <s v="CUST1034"/>
    <x v="2"/>
  </r>
  <r>
    <n v="1514"/>
    <x v="57"/>
    <x v="1"/>
    <x v="0"/>
    <x v="4"/>
    <n v="5"/>
    <n v="290"/>
    <n v="1450"/>
    <n v="0"/>
    <n v="0"/>
    <n v="1450"/>
    <n v="170"/>
    <n v="600"/>
    <n v="0.41379310344827586"/>
    <x v="2"/>
    <x v="1"/>
    <x v="0"/>
    <x v="3"/>
    <s v="CUST1344"/>
    <x v="0"/>
  </r>
  <r>
    <n v="1515"/>
    <x v="130"/>
    <x v="4"/>
    <x v="1"/>
    <x v="0"/>
    <n v="11"/>
    <n v="220"/>
    <n v="2420"/>
    <n v="0"/>
    <n v="0"/>
    <n v="2420"/>
    <n v="160"/>
    <n v="660"/>
    <n v="0.27272727272727271"/>
    <x v="1"/>
    <x v="0"/>
    <x v="2"/>
    <x v="8"/>
    <s v="CUST1251"/>
    <x v="3"/>
  </r>
  <r>
    <n v="1516"/>
    <x v="311"/>
    <x v="5"/>
    <x v="0"/>
    <x v="3"/>
    <n v="1"/>
    <n v="1360"/>
    <n v="1360"/>
    <n v="0.02"/>
    <n v="27.2"/>
    <n v="1332.8"/>
    <n v="980"/>
    <n v="352.79999999999995"/>
    <n v="0.26470588235294112"/>
    <x v="2"/>
    <x v="1"/>
    <x v="1"/>
    <x v="5"/>
    <s v="CUST1243"/>
    <x v="0"/>
  </r>
  <r>
    <n v="1517"/>
    <x v="100"/>
    <x v="0"/>
    <x v="1"/>
    <x v="0"/>
    <n v="11"/>
    <n v="200"/>
    <n v="2200"/>
    <n v="0"/>
    <n v="0"/>
    <n v="2200"/>
    <n v="150"/>
    <n v="550"/>
    <n v="0.25"/>
    <x v="4"/>
    <x v="1"/>
    <x v="0"/>
    <x v="4"/>
    <s v="CUST1135"/>
    <x v="2"/>
  </r>
  <r>
    <n v="1518"/>
    <x v="88"/>
    <x v="1"/>
    <x v="2"/>
    <x v="0"/>
    <n v="11"/>
    <n v="230"/>
    <n v="2530"/>
    <n v="0.15"/>
    <n v="379.5"/>
    <n v="2150.5"/>
    <n v="180"/>
    <n v="170.5"/>
    <n v="7.9283887468030695E-2"/>
    <x v="0"/>
    <x v="1"/>
    <x v="0"/>
    <x v="8"/>
    <s v="CUST1465"/>
    <x v="0"/>
  </r>
  <r>
    <n v="1519"/>
    <x v="192"/>
    <x v="5"/>
    <x v="1"/>
    <x v="4"/>
    <n v="3"/>
    <n v="280"/>
    <n v="840"/>
    <n v="0.15"/>
    <n v="126"/>
    <n v="714"/>
    <n v="220"/>
    <n v="54"/>
    <n v="7.5630252100840331E-2"/>
    <x v="2"/>
    <x v="1"/>
    <x v="1"/>
    <x v="2"/>
    <s v="CUST1370"/>
    <x v="2"/>
  </r>
  <r>
    <n v="1520"/>
    <x v="353"/>
    <x v="4"/>
    <x v="0"/>
    <x v="2"/>
    <n v="7"/>
    <n v="1220"/>
    <n v="8540"/>
    <n v="0.15"/>
    <n v="1281"/>
    <n v="7259"/>
    <n v="900"/>
    <n v="959"/>
    <n v="0.13211186113789777"/>
    <x v="4"/>
    <x v="1"/>
    <x v="3"/>
    <x v="1"/>
    <s v="CUST1147"/>
    <x v="0"/>
  </r>
  <r>
    <n v="1521"/>
    <x v="66"/>
    <x v="1"/>
    <x v="1"/>
    <x v="4"/>
    <n v="9"/>
    <n v="320"/>
    <n v="2880"/>
    <n v="0"/>
    <n v="0"/>
    <n v="2880"/>
    <n v="240"/>
    <n v="720"/>
    <n v="0.25"/>
    <x v="1"/>
    <x v="1"/>
    <x v="3"/>
    <x v="0"/>
    <s v="CUST1447"/>
    <x v="0"/>
  </r>
  <r>
    <n v="1522"/>
    <x v="241"/>
    <x v="0"/>
    <x v="1"/>
    <x v="0"/>
    <n v="5"/>
    <n v="210"/>
    <n v="1050"/>
    <n v="0"/>
    <n v="0"/>
    <n v="1050"/>
    <n v="150"/>
    <n v="300"/>
    <n v="0.2857142857142857"/>
    <x v="2"/>
    <x v="1"/>
    <x v="0"/>
    <x v="8"/>
    <s v="CUST1052"/>
    <x v="2"/>
  </r>
  <r>
    <n v="1523"/>
    <x v="132"/>
    <x v="0"/>
    <x v="3"/>
    <x v="0"/>
    <n v="4"/>
    <n v="200"/>
    <n v="800"/>
    <n v="0.05"/>
    <n v="40"/>
    <n v="760"/>
    <n v="130"/>
    <n v="240"/>
    <n v="0.31578947368421051"/>
    <x v="0"/>
    <x v="1"/>
    <x v="0"/>
    <x v="0"/>
    <s v="CUST1214"/>
    <x v="3"/>
  </r>
  <r>
    <n v="1524"/>
    <x v="361"/>
    <x v="5"/>
    <x v="0"/>
    <x v="1"/>
    <n v="5"/>
    <n v="2210"/>
    <n v="11050"/>
    <n v="0.02"/>
    <n v="221"/>
    <n v="10829"/>
    <n v="1610"/>
    <n v="2779"/>
    <n v="0.25662572721396248"/>
    <x v="0"/>
    <x v="1"/>
    <x v="1"/>
    <x v="7"/>
    <s v="CUST1004"/>
    <x v="2"/>
  </r>
  <r>
    <n v="1525"/>
    <x v="81"/>
    <x v="0"/>
    <x v="0"/>
    <x v="3"/>
    <n v="11"/>
    <n v="1590"/>
    <n v="17490"/>
    <n v="0.02"/>
    <n v="349.8"/>
    <n v="17140.2"/>
    <n v="1110"/>
    <n v="4930.2000000000007"/>
    <n v="0.28763958413554103"/>
    <x v="3"/>
    <x v="1"/>
    <x v="2"/>
    <x v="5"/>
    <s v="CUST1156"/>
    <x v="2"/>
  </r>
  <r>
    <n v="1526"/>
    <x v="40"/>
    <x v="4"/>
    <x v="1"/>
    <x v="4"/>
    <n v="7"/>
    <n v="310"/>
    <n v="2170"/>
    <n v="0"/>
    <n v="0"/>
    <n v="2170"/>
    <n v="250"/>
    <n v="420"/>
    <n v="0.19354838709677419"/>
    <x v="3"/>
    <x v="1"/>
    <x v="2"/>
    <x v="4"/>
    <s v="CUST1134"/>
    <x v="2"/>
  </r>
  <r>
    <n v="1527"/>
    <x v="246"/>
    <x v="2"/>
    <x v="3"/>
    <x v="0"/>
    <n v="5"/>
    <n v="220"/>
    <n v="1100"/>
    <n v="0.05"/>
    <n v="55"/>
    <n v="1045"/>
    <n v="150"/>
    <n v="295"/>
    <n v="0.28229665071770332"/>
    <x v="3"/>
    <x v="1"/>
    <x v="1"/>
    <x v="4"/>
    <s v="CUST1403"/>
    <x v="2"/>
  </r>
  <r>
    <n v="1528"/>
    <x v="304"/>
    <x v="0"/>
    <x v="3"/>
    <x v="3"/>
    <n v="9"/>
    <n v="1620"/>
    <n v="14580"/>
    <n v="0"/>
    <n v="0"/>
    <n v="14580"/>
    <n v="1030"/>
    <n v="5310"/>
    <n v="0.36419753086419754"/>
    <x v="0"/>
    <x v="1"/>
    <x v="1"/>
    <x v="2"/>
    <s v="CUST1123"/>
    <x v="2"/>
  </r>
  <r>
    <n v="1529"/>
    <x v="20"/>
    <x v="0"/>
    <x v="1"/>
    <x v="4"/>
    <n v="7"/>
    <n v="280"/>
    <n v="1960"/>
    <n v="0.02"/>
    <n v="39.200000000000003"/>
    <n v="1920.8"/>
    <n v="220"/>
    <n v="380.79999999999995"/>
    <n v="0.19825072886297374"/>
    <x v="0"/>
    <x v="1"/>
    <x v="3"/>
    <x v="9"/>
    <s v="CUST1481"/>
    <x v="1"/>
  </r>
  <r>
    <n v="1530"/>
    <x v="228"/>
    <x v="3"/>
    <x v="0"/>
    <x v="0"/>
    <n v="7"/>
    <n v="200"/>
    <n v="1400"/>
    <n v="0"/>
    <n v="0"/>
    <n v="1400"/>
    <n v="120"/>
    <n v="560"/>
    <n v="0.4"/>
    <x v="2"/>
    <x v="1"/>
    <x v="1"/>
    <x v="5"/>
    <s v="CUST1500"/>
    <x v="0"/>
  </r>
  <r>
    <n v="1531"/>
    <x v="141"/>
    <x v="0"/>
    <x v="0"/>
    <x v="2"/>
    <n v="10"/>
    <n v="1110"/>
    <n v="11100"/>
    <n v="0.02"/>
    <n v="222"/>
    <n v="10878"/>
    <n v="840"/>
    <n v="2478"/>
    <n v="0.22779922779922779"/>
    <x v="1"/>
    <x v="1"/>
    <x v="3"/>
    <x v="3"/>
    <s v="CUST1421"/>
    <x v="3"/>
  </r>
  <r>
    <n v="1532"/>
    <x v="348"/>
    <x v="5"/>
    <x v="2"/>
    <x v="2"/>
    <n v="12"/>
    <n v="1360"/>
    <n v="16320"/>
    <n v="0.15"/>
    <n v="2448"/>
    <n v="13872"/>
    <n v="820"/>
    <n v="4032"/>
    <n v="0.29065743944636679"/>
    <x v="4"/>
    <x v="1"/>
    <x v="1"/>
    <x v="7"/>
    <s v="CUST1011"/>
    <x v="2"/>
  </r>
  <r>
    <n v="1533"/>
    <x v="295"/>
    <x v="1"/>
    <x v="0"/>
    <x v="0"/>
    <n v="9"/>
    <n v="240"/>
    <n v="2160"/>
    <n v="0"/>
    <n v="0"/>
    <n v="2160"/>
    <n v="180"/>
    <n v="540"/>
    <n v="0.25"/>
    <x v="1"/>
    <x v="1"/>
    <x v="3"/>
    <x v="8"/>
    <s v="CUST1210"/>
    <x v="2"/>
  </r>
  <r>
    <n v="1534"/>
    <x v="196"/>
    <x v="0"/>
    <x v="0"/>
    <x v="5"/>
    <n v="10"/>
    <n v="190"/>
    <n v="1900"/>
    <n v="0"/>
    <n v="0"/>
    <n v="1900"/>
    <n v="150"/>
    <n v="400"/>
    <n v="0.21052631578947367"/>
    <x v="0"/>
    <x v="1"/>
    <x v="3"/>
    <x v="4"/>
    <s v="CUST1374"/>
    <x v="3"/>
  </r>
  <r>
    <n v="1535"/>
    <x v="122"/>
    <x v="4"/>
    <x v="1"/>
    <x v="4"/>
    <n v="8"/>
    <n v="290"/>
    <n v="2320"/>
    <n v="0.1"/>
    <n v="232"/>
    <n v="2088"/>
    <n v="190"/>
    <n v="568"/>
    <n v="0.27203065134099619"/>
    <x v="1"/>
    <x v="1"/>
    <x v="0"/>
    <x v="7"/>
    <s v="CUST1352"/>
    <x v="3"/>
  </r>
  <r>
    <n v="1536"/>
    <x v="27"/>
    <x v="3"/>
    <x v="3"/>
    <x v="0"/>
    <n v="8"/>
    <n v="200"/>
    <n v="1600"/>
    <n v="0.05"/>
    <n v="80"/>
    <n v="1520"/>
    <n v="130"/>
    <n v="480"/>
    <n v="0.31578947368421051"/>
    <x v="0"/>
    <x v="1"/>
    <x v="1"/>
    <x v="9"/>
    <s v="CUST1347"/>
    <x v="0"/>
  </r>
  <r>
    <n v="1537"/>
    <x v="14"/>
    <x v="0"/>
    <x v="0"/>
    <x v="3"/>
    <n v="11"/>
    <n v="1470"/>
    <n v="16170"/>
    <n v="0"/>
    <n v="0"/>
    <n v="16170"/>
    <n v="1020"/>
    <n v="4950"/>
    <n v="0.30612244897959184"/>
    <x v="2"/>
    <x v="1"/>
    <x v="0"/>
    <x v="1"/>
    <s v="CUST1487"/>
    <x v="2"/>
  </r>
  <r>
    <n v="1538"/>
    <x v="6"/>
    <x v="0"/>
    <x v="0"/>
    <x v="0"/>
    <n v="11"/>
    <n v="220"/>
    <n v="2420"/>
    <n v="0.05"/>
    <n v="121"/>
    <n v="2299"/>
    <n v="140"/>
    <n v="759"/>
    <n v="0.33014354066985646"/>
    <x v="4"/>
    <x v="0"/>
    <x v="2"/>
    <x v="6"/>
    <s v="CUST1044"/>
    <x v="0"/>
  </r>
  <r>
    <n v="1539"/>
    <x v="172"/>
    <x v="0"/>
    <x v="0"/>
    <x v="0"/>
    <n v="5"/>
    <n v="230"/>
    <n v="1150"/>
    <n v="0"/>
    <n v="0"/>
    <n v="1150"/>
    <n v="140"/>
    <n v="450"/>
    <n v="0.39130434782608697"/>
    <x v="4"/>
    <x v="1"/>
    <x v="1"/>
    <x v="7"/>
    <s v="CUST1359"/>
    <x v="0"/>
  </r>
  <r>
    <n v="1540"/>
    <x v="193"/>
    <x v="1"/>
    <x v="0"/>
    <x v="0"/>
    <n v="12"/>
    <n v="230"/>
    <n v="2760"/>
    <n v="0.05"/>
    <n v="138"/>
    <n v="2622"/>
    <n v="190"/>
    <n v="342"/>
    <n v="0.13043478260869565"/>
    <x v="1"/>
    <x v="1"/>
    <x v="2"/>
    <x v="9"/>
    <s v="CUST1404"/>
    <x v="2"/>
  </r>
  <r>
    <n v="1541"/>
    <x v="348"/>
    <x v="1"/>
    <x v="1"/>
    <x v="0"/>
    <n v="10"/>
    <n v="200"/>
    <n v="2000"/>
    <n v="0.15"/>
    <n v="300"/>
    <n v="1700"/>
    <n v="130"/>
    <n v="400"/>
    <n v="0.23529411764705882"/>
    <x v="2"/>
    <x v="1"/>
    <x v="0"/>
    <x v="1"/>
    <s v="CUST1018"/>
    <x v="1"/>
  </r>
  <r>
    <n v="1542"/>
    <x v="87"/>
    <x v="1"/>
    <x v="3"/>
    <x v="2"/>
    <n v="11"/>
    <n v="2270"/>
    <n v="24970"/>
    <n v="0"/>
    <n v="0"/>
    <n v="24970"/>
    <n v="1420"/>
    <n v="9350"/>
    <n v="0.37444933920704848"/>
    <x v="3"/>
    <x v="3"/>
    <x v="1"/>
    <x v="6"/>
    <s v="CUST1422"/>
    <x v="0"/>
  </r>
  <r>
    <n v="1543"/>
    <x v="272"/>
    <x v="4"/>
    <x v="0"/>
    <x v="5"/>
    <n v="4"/>
    <n v="190"/>
    <n v="760"/>
    <n v="0"/>
    <n v="0"/>
    <n v="760"/>
    <n v="150"/>
    <n v="160"/>
    <n v="0.21052631578947367"/>
    <x v="3"/>
    <x v="1"/>
    <x v="1"/>
    <x v="7"/>
    <s v="CUST1184"/>
    <x v="2"/>
  </r>
  <r>
    <n v="1544"/>
    <x v="262"/>
    <x v="4"/>
    <x v="2"/>
    <x v="0"/>
    <n v="9"/>
    <n v="230"/>
    <n v="2070"/>
    <n v="0.1"/>
    <n v="207"/>
    <n v="1863"/>
    <n v="170"/>
    <n v="333"/>
    <n v="0.17874396135265699"/>
    <x v="0"/>
    <x v="1"/>
    <x v="0"/>
    <x v="1"/>
    <s v="CUST1332"/>
    <x v="0"/>
  </r>
  <r>
    <n v="1545"/>
    <x v="320"/>
    <x v="3"/>
    <x v="0"/>
    <x v="0"/>
    <n v="2"/>
    <n v="190"/>
    <n v="380"/>
    <n v="0"/>
    <n v="0"/>
    <n v="380"/>
    <n v="120"/>
    <n v="140"/>
    <n v="0.36842105263157893"/>
    <x v="1"/>
    <x v="1"/>
    <x v="0"/>
    <x v="4"/>
    <s v="CUST1135"/>
    <x v="2"/>
  </r>
  <r>
    <n v="1546"/>
    <x v="236"/>
    <x v="4"/>
    <x v="0"/>
    <x v="2"/>
    <n v="7"/>
    <n v="1200"/>
    <n v="8400"/>
    <n v="0.1"/>
    <n v="840"/>
    <n v="7560"/>
    <n v="710"/>
    <n v="2590"/>
    <n v="0.34259259259259262"/>
    <x v="1"/>
    <x v="1"/>
    <x v="1"/>
    <x v="2"/>
    <s v="CUST1270"/>
    <x v="1"/>
  </r>
  <r>
    <n v="1547"/>
    <x v="66"/>
    <x v="2"/>
    <x v="0"/>
    <x v="5"/>
    <n v="2"/>
    <n v="210"/>
    <n v="420"/>
    <n v="0.1"/>
    <n v="42"/>
    <n v="378"/>
    <n v="130"/>
    <n v="118"/>
    <n v="0.31216931216931215"/>
    <x v="4"/>
    <x v="1"/>
    <x v="1"/>
    <x v="2"/>
    <s v="CUST1049"/>
    <x v="1"/>
  </r>
  <r>
    <n v="1548"/>
    <x v="130"/>
    <x v="1"/>
    <x v="0"/>
    <x v="0"/>
    <n v="6"/>
    <n v="220"/>
    <n v="1320"/>
    <n v="0"/>
    <n v="0"/>
    <n v="1320"/>
    <n v="170"/>
    <n v="300"/>
    <n v="0.22727272727272727"/>
    <x v="4"/>
    <x v="1"/>
    <x v="0"/>
    <x v="1"/>
    <s v="CUST1122"/>
    <x v="1"/>
  </r>
  <r>
    <n v="1549"/>
    <x v="25"/>
    <x v="1"/>
    <x v="3"/>
    <x v="5"/>
    <n v="8"/>
    <n v="180"/>
    <n v="1440"/>
    <n v="0"/>
    <n v="0"/>
    <n v="1440"/>
    <n v="120"/>
    <n v="480"/>
    <n v="0.33333333333333331"/>
    <x v="0"/>
    <x v="1"/>
    <x v="2"/>
    <x v="1"/>
    <s v="CUST1232"/>
    <x v="0"/>
  </r>
  <r>
    <n v="1550"/>
    <x v="128"/>
    <x v="5"/>
    <x v="1"/>
    <x v="0"/>
    <n v="7"/>
    <n v="230"/>
    <n v="1610"/>
    <n v="0.05"/>
    <n v="80.5"/>
    <n v="1529.5"/>
    <n v="150"/>
    <n v="479.5"/>
    <n v="0.31350114416475972"/>
    <x v="1"/>
    <x v="1"/>
    <x v="0"/>
    <x v="3"/>
    <s v="CUST1459"/>
    <x v="3"/>
  </r>
  <r>
    <n v="1551"/>
    <x v="106"/>
    <x v="5"/>
    <x v="0"/>
    <x v="2"/>
    <n v="6"/>
    <n v="1290"/>
    <n v="7740"/>
    <n v="0.15"/>
    <n v="1161"/>
    <n v="6579"/>
    <n v="760"/>
    <n v="2019"/>
    <n v="0.30688554491564068"/>
    <x v="0"/>
    <x v="1"/>
    <x v="3"/>
    <x v="6"/>
    <s v="CUST1100"/>
    <x v="2"/>
  </r>
  <r>
    <n v="1552"/>
    <x v="138"/>
    <x v="0"/>
    <x v="0"/>
    <x v="5"/>
    <n v="2"/>
    <n v="210"/>
    <n v="420"/>
    <n v="0.1"/>
    <n v="42"/>
    <n v="378"/>
    <n v="120"/>
    <n v="138"/>
    <n v="0.36507936507936506"/>
    <x v="3"/>
    <x v="1"/>
    <x v="0"/>
    <x v="5"/>
    <s v="CUST1017"/>
    <x v="0"/>
  </r>
  <r>
    <n v="1553"/>
    <x v="55"/>
    <x v="0"/>
    <x v="1"/>
    <x v="4"/>
    <n v="9"/>
    <n v="290"/>
    <n v="2610"/>
    <n v="0"/>
    <n v="0"/>
    <n v="2610"/>
    <n v="190"/>
    <n v="900"/>
    <n v="0.34482758620689657"/>
    <x v="1"/>
    <x v="1"/>
    <x v="1"/>
    <x v="5"/>
    <s v="CUST1209"/>
    <x v="2"/>
  </r>
  <r>
    <n v="1554"/>
    <x v="318"/>
    <x v="4"/>
    <x v="0"/>
    <x v="3"/>
    <n v="5"/>
    <n v="1150"/>
    <n v="5750"/>
    <n v="0"/>
    <n v="0"/>
    <n v="5750"/>
    <n v="860"/>
    <n v="1450"/>
    <n v="0.25217391304347825"/>
    <x v="3"/>
    <x v="1"/>
    <x v="1"/>
    <x v="6"/>
    <s v="CUST1448"/>
    <x v="0"/>
  </r>
  <r>
    <n v="1555"/>
    <x v="141"/>
    <x v="1"/>
    <x v="1"/>
    <x v="0"/>
    <n v="10"/>
    <n v="220"/>
    <n v="2200"/>
    <n v="0.02"/>
    <n v="44"/>
    <n v="2156"/>
    <n v="130"/>
    <n v="856"/>
    <n v="0.39703153988868273"/>
    <x v="4"/>
    <x v="1"/>
    <x v="3"/>
    <x v="0"/>
    <s v="CUST1307"/>
    <x v="1"/>
  </r>
  <r>
    <n v="1556"/>
    <x v="139"/>
    <x v="5"/>
    <x v="0"/>
    <x v="1"/>
    <n v="10"/>
    <n v="2150"/>
    <n v="21500"/>
    <n v="0"/>
    <n v="0"/>
    <n v="21500"/>
    <n v="1380"/>
    <n v="7700"/>
    <n v="0.35813953488372091"/>
    <x v="2"/>
    <x v="1"/>
    <x v="1"/>
    <x v="7"/>
    <s v="CUST1073"/>
    <x v="0"/>
  </r>
  <r>
    <n v="1557"/>
    <x v="54"/>
    <x v="4"/>
    <x v="2"/>
    <x v="3"/>
    <n v="11"/>
    <n v="1660"/>
    <n v="18260"/>
    <n v="0"/>
    <n v="0"/>
    <n v="18260"/>
    <n v="1070"/>
    <n v="6490"/>
    <n v="0.35542168674698793"/>
    <x v="1"/>
    <x v="2"/>
    <x v="3"/>
    <x v="1"/>
    <s v="CUST1071"/>
    <x v="3"/>
  </r>
  <r>
    <n v="1558"/>
    <x v="48"/>
    <x v="5"/>
    <x v="0"/>
    <x v="2"/>
    <n v="2"/>
    <n v="2300"/>
    <n v="4600"/>
    <n v="0.05"/>
    <n v="230"/>
    <n v="4370"/>
    <n v="1600"/>
    <n v="1170"/>
    <n v="0.26773455377574373"/>
    <x v="3"/>
    <x v="1"/>
    <x v="1"/>
    <x v="0"/>
    <s v="CUST1377"/>
    <x v="1"/>
  </r>
  <r>
    <n v="1559"/>
    <x v="111"/>
    <x v="0"/>
    <x v="2"/>
    <x v="1"/>
    <n v="4"/>
    <n v="2390"/>
    <n v="9560"/>
    <n v="0.05"/>
    <n v="478"/>
    <n v="9082"/>
    <n v="1490"/>
    <n v="3122"/>
    <n v="0.34375688174410923"/>
    <x v="0"/>
    <x v="1"/>
    <x v="1"/>
    <x v="9"/>
    <s v="CUST1152"/>
    <x v="0"/>
  </r>
  <r>
    <n v="1560"/>
    <x v="276"/>
    <x v="0"/>
    <x v="1"/>
    <x v="2"/>
    <n v="11"/>
    <n v="1190"/>
    <n v="13090"/>
    <n v="0.05"/>
    <n v="654.5"/>
    <n v="12435.5"/>
    <n v="970"/>
    <n v="1765.5"/>
    <n v="0.14197257850508624"/>
    <x v="4"/>
    <x v="1"/>
    <x v="3"/>
    <x v="4"/>
    <s v="CUST1085"/>
    <x v="3"/>
  </r>
  <r>
    <n v="1561"/>
    <x v="274"/>
    <x v="2"/>
    <x v="0"/>
    <x v="1"/>
    <n v="12"/>
    <n v="2190"/>
    <n v="26280"/>
    <n v="0.15"/>
    <n v="3942"/>
    <n v="22338"/>
    <n v="1550"/>
    <n v="3738"/>
    <n v="0.16733816814396993"/>
    <x v="1"/>
    <x v="3"/>
    <x v="3"/>
    <x v="7"/>
    <s v="CUST1181"/>
    <x v="2"/>
  </r>
  <r>
    <n v="1562"/>
    <x v="8"/>
    <x v="5"/>
    <x v="1"/>
    <x v="0"/>
    <n v="5"/>
    <n v="240"/>
    <n v="1200"/>
    <n v="0"/>
    <n v="0"/>
    <n v="1200"/>
    <n v="140"/>
    <n v="500"/>
    <n v="0.41666666666666669"/>
    <x v="3"/>
    <x v="1"/>
    <x v="1"/>
    <x v="3"/>
    <s v="CUST1399"/>
    <x v="3"/>
  </r>
  <r>
    <n v="1563"/>
    <x v="54"/>
    <x v="1"/>
    <x v="1"/>
    <x v="4"/>
    <n v="8"/>
    <n v="290"/>
    <n v="2320"/>
    <n v="0.1"/>
    <n v="232"/>
    <n v="2088"/>
    <n v="220"/>
    <n v="328"/>
    <n v="0.15708812260536398"/>
    <x v="2"/>
    <x v="1"/>
    <x v="1"/>
    <x v="9"/>
    <s v="CUST1490"/>
    <x v="3"/>
  </r>
  <r>
    <n v="1564"/>
    <x v="178"/>
    <x v="4"/>
    <x v="3"/>
    <x v="0"/>
    <n v="2"/>
    <n v="240"/>
    <n v="480"/>
    <n v="0"/>
    <n v="0"/>
    <n v="480"/>
    <n v="190"/>
    <n v="100"/>
    <n v="0.20833333333333334"/>
    <x v="2"/>
    <x v="1"/>
    <x v="2"/>
    <x v="0"/>
    <s v="CUST1226"/>
    <x v="2"/>
  </r>
  <r>
    <n v="1565"/>
    <x v="103"/>
    <x v="2"/>
    <x v="2"/>
    <x v="4"/>
    <n v="12"/>
    <n v="310"/>
    <n v="3720"/>
    <n v="0.02"/>
    <n v="74.400000000000006"/>
    <n v="3645.6"/>
    <n v="250"/>
    <n v="645.59999999999991"/>
    <n v="0.17709019091507569"/>
    <x v="0"/>
    <x v="1"/>
    <x v="2"/>
    <x v="4"/>
    <s v="CUST1195"/>
    <x v="0"/>
  </r>
  <r>
    <n v="1566"/>
    <x v="287"/>
    <x v="4"/>
    <x v="0"/>
    <x v="2"/>
    <n v="1"/>
    <n v="1100"/>
    <n v="1100"/>
    <n v="0"/>
    <n v="0"/>
    <n v="1100"/>
    <n v="820"/>
    <n v="280"/>
    <n v="0.25454545454545452"/>
    <x v="2"/>
    <x v="1"/>
    <x v="1"/>
    <x v="2"/>
    <s v="CUST128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660000"/>
  </r>
  <r>
    <x v="1"/>
    <n v="660000"/>
  </r>
  <r>
    <x v="2"/>
    <n v="660000"/>
  </r>
  <r>
    <x v="3"/>
    <n v="660000"/>
  </r>
  <r>
    <x v="4"/>
    <n v="660000"/>
  </r>
  <r>
    <x v="5"/>
    <n v="660000"/>
  </r>
  <r>
    <x v="6"/>
    <n v="660000"/>
  </r>
  <r>
    <x v="7"/>
    <n v="660000"/>
  </r>
  <r>
    <x v="8"/>
    <n v="660000"/>
  </r>
  <r>
    <x v="9"/>
    <n v="660000"/>
  </r>
  <r>
    <x v="10"/>
    <n v="660000"/>
  </r>
  <r>
    <x v="11"/>
    <n v="66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3184BC-F9EF-4A42-AB1B-8857CA289522}" name="PT_CustomerTyp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Q3:R8" firstHeaderRow="1" firstDataRow="1" firstDataCol="1" rowPageCount="1" colPageCount="1"/>
  <pivotFields count="24">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pivotField numFmtId="164" showAll="0"/>
    <pivotField numFmtId="4" showAll="0"/>
    <pivotField numFmtId="4" showAll="0"/>
    <pivotField numFmtId="10" showAll="0"/>
    <pivotField numFmtId="4" showAll="0"/>
    <pivotField dataField="1" numFmtId="4" showAll="0"/>
    <pivotField numFmtId="4" showAll="0"/>
    <pivotField numFmtId="4" showAll="0"/>
    <pivotField numFmtId="10" showAll="0"/>
    <pivotField showAll="0">
      <items count="6">
        <item x="3"/>
        <item x="4"/>
        <item x="0"/>
        <item x="2"/>
        <item x="1"/>
        <item t="default"/>
      </items>
    </pivotField>
    <pivotField axis="axisPage" showAll="0">
      <items count="5">
        <item x="0"/>
        <item x="1"/>
        <item x="2"/>
        <item x="3"/>
        <item t="default"/>
      </items>
    </pivotField>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11">
        <item x="3"/>
        <item x="5"/>
        <item x="7"/>
        <item x="4"/>
        <item x="6"/>
        <item x="2"/>
        <item x="9"/>
        <item x="1"/>
        <item x="8"/>
        <item x="0"/>
        <item t="default"/>
      </items>
    </pivotField>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16"/>
  </rowFields>
  <rowItems count="5">
    <i>
      <x/>
    </i>
    <i>
      <x v="3"/>
    </i>
    <i>
      <x v="2"/>
    </i>
    <i>
      <x v="1"/>
    </i>
    <i t="grand">
      <x/>
    </i>
  </rowItems>
  <colItems count="1">
    <i/>
  </colItems>
  <pageFields count="1">
    <pageField fld="15" item="1" hier="-1"/>
  </pageFields>
  <dataFields count="1">
    <dataField name="Sum of Net Sales" fld="10" baseField="0" baseItem="0"/>
  </dataFields>
  <formats count="4">
    <format dxfId="3342">
      <pivotArea outline="0" collapsedLevelsAreSubtotals="1" fieldPosition="0"/>
    </format>
    <format dxfId="3341">
      <pivotArea outline="0" fieldPosition="0">
        <references count="1">
          <reference field="4294967294" count="1">
            <x v="0"/>
          </reference>
        </references>
      </pivotArea>
    </format>
    <format dxfId="3340">
      <pivotArea collapsedLevelsAreSubtotals="1" fieldPosition="0">
        <references count="1">
          <reference field="16" count="0"/>
        </references>
      </pivotArea>
    </format>
    <format dxfId="3339">
      <pivotArea grandRow="1" outline="0" collapsedLevelsAreSubtotals="1" fieldPosition="0"/>
    </format>
  </formats>
  <chartFormats count="5">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16" count="1" selected="0">
            <x v="0"/>
          </reference>
        </references>
      </pivotArea>
    </chartFormat>
    <chartFormat chart="12" format="12">
      <pivotArea type="data" outline="0" fieldPosition="0">
        <references count="2">
          <reference field="4294967294" count="1" selected="0">
            <x v="0"/>
          </reference>
          <reference field="16" count="1" selected="0">
            <x v="3"/>
          </reference>
        </references>
      </pivotArea>
    </chartFormat>
    <chartFormat chart="12" format="13">
      <pivotArea type="data" outline="0" fieldPosition="0">
        <references count="2">
          <reference field="4294967294" count="1" selected="0">
            <x v="0"/>
          </reference>
          <reference field="16" count="1" selected="0">
            <x v="2"/>
          </reference>
        </references>
      </pivotArea>
    </chartFormat>
    <chartFormat chart="12" format="14">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AADBCD-E492-4D39-B9DC-017B0633D1D4}" name="DASH_TARGET-SAL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4:U27" firstHeaderRow="1" firstDataRow="1" firstDataCol="1"/>
  <pivotFields count="2">
    <pivotField axis="axisRow" showAll="0">
      <items count="13">
        <item x="0"/>
        <item x="1"/>
        <item x="2"/>
        <item x="3"/>
        <item x="4"/>
        <item x="5"/>
        <item x="6"/>
        <item x="7"/>
        <item x="8"/>
        <item x="9"/>
        <item x="10"/>
        <item x="11"/>
        <item t="default"/>
      </items>
    </pivotField>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Sum of Target" fld="1" baseField="0" baseItem="0" numFmtId="166"/>
  </dataFields>
  <formats count="1">
    <format dxfId="33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849FEA-0ED7-4C03-9D3F-675E462D7B11}" name="CITY_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M3:N14" firstHeaderRow="1" firstDataRow="1" firstDataCol="1" rowPageCount="1" colPageCount="1"/>
  <pivotFields count="24">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pivotField numFmtId="164" showAll="0"/>
    <pivotField numFmtId="4" showAll="0"/>
    <pivotField numFmtId="4" showAll="0"/>
    <pivotField numFmtId="10" showAll="0"/>
    <pivotField numFmtId="4" showAll="0"/>
    <pivotField dataField="1" numFmtId="4" showAll="0"/>
    <pivotField numFmtId="4" showAll="0"/>
    <pivotField numFmtId="4" showAll="0"/>
    <pivotField numFmtId="10" showAll="0"/>
    <pivotField showAll="0">
      <items count="6">
        <item x="3"/>
        <item x="4"/>
        <item x="0"/>
        <item x="2"/>
        <item x="1"/>
        <item t="default"/>
      </items>
    </pivotField>
    <pivotField axis="axisPage" showAll="0">
      <items count="5">
        <item x="0"/>
        <item x="1"/>
        <item x="2"/>
        <item x="3"/>
        <item t="default"/>
      </items>
    </pivotField>
    <pivotField showAll="0">
      <items count="5">
        <item x="1"/>
        <item x="0"/>
        <item x="3"/>
        <item x="2"/>
        <item t="default"/>
      </items>
    </pivotField>
    <pivotField axis="axisRow" showAll="0" sortType="descending">
      <items count="11">
        <item x="3"/>
        <item x="5"/>
        <item x="7"/>
        <item x="4"/>
        <item x="6"/>
        <item x="2"/>
        <item x="9"/>
        <item x="1"/>
        <item x="8"/>
        <item x="0"/>
        <item t="default"/>
      </items>
      <autoSortScope>
        <pivotArea dataOnly="0" outline="0" fieldPosition="0">
          <references count="1">
            <reference field="4294967294" count="1" selected="0">
              <x v="0"/>
            </reference>
          </references>
        </pivotArea>
      </autoSortScope>
    </pivotField>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17"/>
  </rowFields>
  <rowItems count="11">
    <i>
      <x v="4"/>
    </i>
    <i>
      <x v="5"/>
    </i>
    <i>
      <x/>
    </i>
    <i>
      <x v="6"/>
    </i>
    <i>
      <x v="1"/>
    </i>
    <i>
      <x v="2"/>
    </i>
    <i>
      <x v="9"/>
    </i>
    <i>
      <x v="8"/>
    </i>
    <i>
      <x v="3"/>
    </i>
    <i>
      <x v="7"/>
    </i>
    <i t="grand">
      <x/>
    </i>
  </rowItems>
  <colItems count="1">
    <i/>
  </colItems>
  <pageFields count="1">
    <pageField fld="15" item="1" hier="-1"/>
  </pageFields>
  <dataFields count="1">
    <dataField name="Sum of Net Sales" fld="10" baseField="0" baseItem="0"/>
  </dataFields>
  <formats count="8">
    <format dxfId="3351">
      <pivotArea outline="0" collapsedLevelsAreSubtotals="1" fieldPosition="0"/>
    </format>
    <format dxfId="3350">
      <pivotArea type="all" dataOnly="0" outline="0" fieldPosition="0"/>
    </format>
    <format dxfId="3349">
      <pivotArea outline="0" collapsedLevelsAreSubtotals="1" fieldPosition="0"/>
    </format>
    <format dxfId="3348">
      <pivotArea field="17" type="button" dataOnly="0" labelOnly="1" outline="0" axis="axisRow" fieldPosition="0"/>
    </format>
    <format dxfId="3347">
      <pivotArea dataOnly="0" labelOnly="1" fieldPosition="0">
        <references count="1">
          <reference field="17" count="0"/>
        </references>
      </pivotArea>
    </format>
    <format dxfId="3346">
      <pivotArea dataOnly="0" labelOnly="1" grandRow="1" outline="0" fieldPosition="0"/>
    </format>
    <format dxfId="3345">
      <pivotArea dataOnly="0" labelOnly="1" outline="0" axis="axisValues" fieldPosition="0"/>
    </format>
    <format dxfId="3344">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7" count="1" selected="0">
            <x v="1"/>
          </reference>
        </references>
      </pivotArea>
    </chartFormat>
    <chartFormat chart="1" format="2">
      <pivotArea type="data" outline="0" fieldPosition="0">
        <references count="2">
          <reference field="4294967294" count="1" selected="0">
            <x v="0"/>
          </reference>
          <reference field="17" count="1" selected="0">
            <x v="4"/>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7" count="1" selected="0">
            <x v="4"/>
          </reference>
        </references>
      </pivotArea>
    </chartFormat>
    <chartFormat chart="6" format="8">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8E3017-0145-48B0-A3E1-445C28EA9998}" name="DASHBOARD_ORDER_STATU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Q24:R29" firstHeaderRow="1" firstDataRow="1" firstDataCol="1"/>
  <pivotFields count="24">
    <pivotField dataField="1"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pivotField numFmtId="164" showAll="0"/>
    <pivotField numFmtId="4" showAll="0"/>
    <pivotField numFmtId="4" showAll="0"/>
    <pivotField numFmtId="10" showAll="0"/>
    <pivotField numFmtId="4" showAll="0"/>
    <pivotField numFmtId="4" showAll="0"/>
    <pivotField numFmtId="4" showAll="0"/>
    <pivotField numFmtId="4" showAll="0"/>
    <pivotField numFmtId="10" showAll="0"/>
    <pivotField showAll="0">
      <items count="6">
        <item x="3"/>
        <item x="4"/>
        <item x="0"/>
        <item x="2"/>
        <item x="1"/>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items count="5">
        <item x="1"/>
        <item x="0"/>
        <item x="3"/>
        <item x="2"/>
        <item t="default"/>
      </items>
    </pivotField>
    <pivotField showAll="0">
      <items count="11">
        <item x="3"/>
        <item x="5"/>
        <item x="7"/>
        <item x="4"/>
        <item x="6"/>
        <item x="2"/>
        <item x="9"/>
        <item x="1"/>
        <item x="8"/>
        <item x="0"/>
        <item t="default"/>
      </items>
    </pivotField>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15"/>
  </rowFields>
  <rowItems count="5">
    <i>
      <x v="1"/>
    </i>
    <i>
      <x/>
    </i>
    <i>
      <x v="3"/>
    </i>
    <i>
      <x v="2"/>
    </i>
    <i t="grand">
      <x/>
    </i>
  </rowItems>
  <colItems count="1">
    <i/>
  </colItems>
  <dataFields count="1">
    <dataField name="Count of S No" fld="0" subtotal="count" baseField="15" baseItem="0" numFmtId="3"/>
  </dataFields>
  <formats count="3">
    <format dxfId="3354">
      <pivotArea grandRow="1" outline="0" collapsedLevelsAreSubtotals="1" fieldPosition="0"/>
    </format>
    <format dxfId="3353">
      <pivotArea outline="0" collapsedLevelsAreSubtotals="1" fieldPosition="0"/>
    </format>
    <format dxfId="3352">
      <pivotArea outline="0" fieldPosition="0">
        <references count="1">
          <reference field="4294967294" count="1">
            <x v="0"/>
          </reference>
        </references>
      </pivotArea>
    </format>
  </formats>
  <chartFormats count="10">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5" count="1" selected="0">
            <x v="1"/>
          </reference>
        </references>
      </pivotArea>
    </chartFormat>
    <chartFormat chart="14" format="2">
      <pivotArea type="data" outline="0" fieldPosition="0">
        <references count="2">
          <reference field="4294967294" count="1" selected="0">
            <x v="0"/>
          </reference>
          <reference field="15" count="1" selected="0">
            <x v="0"/>
          </reference>
        </references>
      </pivotArea>
    </chartFormat>
    <chartFormat chart="14" format="3">
      <pivotArea type="data" outline="0" fieldPosition="0">
        <references count="2">
          <reference field="4294967294" count="1" selected="0">
            <x v="0"/>
          </reference>
          <reference field="15" count="1" selected="0">
            <x v="3"/>
          </reference>
        </references>
      </pivotArea>
    </chartFormat>
    <chartFormat chart="14" format="4">
      <pivotArea type="data" outline="0" fieldPosition="0">
        <references count="2">
          <reference field="4294967294" count="1" selected="0">
            <x v="0"/>
          </reference>
          <reference field="15" count="1" selected="0">
            <x v="2"/>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15" count="1" selected="0">
            <x v="1"/>
          </reference>
        </references>
      </pivotArea>
    </chartFormat>
    <chartFormat chart="17" format="12">
      <pivotArea type="data" outline="0" fieldPosition="0">
        <references count="2">
          <reference field="4294967294" count="1" selected="0">
            <x v="0"/>
          </reference>
          <reference field="15" count="1" selected="0">
            <x v="0"/>
          </reference>
        </references>
      </pivotArea>
    </chartFormat>
    <chartFormat chart="17" format="13">
      <pivotArea type="data" outline="0" fieldPosition="0">
        <references count="2">
          <reference field="4294967294" count="1" selected="0">
            <x v="0"/>
          </reference>
          <reference field="15" count="1" selected="0">
            <x v="3"/>
          </reference>
        </references>
      </pivotArea>
    </chartFormat>
    <chartFormat chart="17" format="14">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2004E1-5A95-40CB-B3B6-F80497A80B9D}" name="PT_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3:G8" firstHeaderRow="1" firstDataRow="1" firstDataCol="1" rowPageCount="1" colPageCount="1"/>
  <pivotFields count="24">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numFmtId="164" showAll="0"/>
    <pivotField numFmtId="4" showAll="0"/>
    <pivotField numFmtId="4" showAll="0"/>
    <pivotField numFmtId="10" showAll="0"/>
    <pivotField numFmtId="4" showAll="0"/>
    <pivotField dataField="1" numFmtId="4" showAll="0"/>
    <pivotField numFmtId="4" showAll="0"/>
    <pivotField numFmtId="4" showAll="0"/>
    <pivotField numFmtId="10" showAll="0"/>
    <pivotField showAll="0">
      <items count="6">
        <item x="3"/>
        <item x="4"/>
        <item x="0"/>
        <item x="2"/>
        <item x="1"/>
        <item t="default"/>
      </items>
    </pivotField>
    <pivotField axis="axisPage" showAll="0">
      <items count="5">
        <item x="0"/>
        <item x="1"/>
        <item x="2"/>
        <item x="3"/>
        <item t="default"/>
      </items>
    </pivotField>
    <pivotField showAll="0">
      <items count="5">
        <item x="1"/>
        <item x="0"/>
        <item x="3"/>
        <item x="2"/>
        <item t="default"/>
      </items>
    </pivotField>
    <pivotField showAll="0">
      <items count="11">
        <item x="3"/>
        <item x="5"/>
        <item x="7"/>
        <item x="4"/>
        <item x="6"/>
        <item x="2"/>
        <item x="9"/>
        <item x="1"/>
        <item x="8"/>
        <item x="0"/>
        <item t="default"/>
      </items>
    </pivotField>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3"/>
  </rowFields>
  <rowItems count="5">
    <i>
      <x v="1"/>
    </i>
    <i>
      <x v="2"/>
    </i>
    <i>
      <x v="3"/>
    </i>
    <i>
      <x/>
    </i>
    <i t="grand">
      <x/>
    </i>
  </rowItems>
  <colItems count="1">
    <i/>
  </colItems>
  <pageFields count="1">
    <pageField fld="15" item="1" hier="-1"/>
  </pageFields>
  <dataFields count="1">
    <dataField name="Sum of Net Sales" fld="10" baseField="0" baseItem="0"/>
  </dataFields>
  <formats count="13">
    <format dxfId="3367">
      <pivotArea outline="0" collapsedLevelsAreSubtotals="1" fieldPosition="0"/>
    </format>
    <format dxfId="3366">
      <pivotArea type="all" dataOnly="0" outline="0" fieldPosition="0"/>
    </format>
    <format dxfId="3365">
      <pivotArea outline="0" collapsedLevelsAreSubtotals="1" fieldPosition="0"/>
    </format>
    <format dxfId="3364">
      <pivotArea field="3" type="button" dataOnly="0" labelOnly="1" outline="0" axis="axisRow" fieldPosition="0"/>
    </format>
    <format dxfId="3363">
      <pivotArea dataOnly="0" labelOnly="1" fieldPosition="0">
        <references count="1">
          <reference field="3" count="0"/>
        </references>
      </pivotArea>
    </format>
    <format dxfId="3362">
      <pivotArea dataOnly="0" labelOnly="1" grandRow="1" outline="0" fieldPosition="0"/>
    </format>
    <format dxfId="3361">
      <pivotArea dataOnly="0" labelOnly="1" outline="0" axis="axisValues" fieldPosition="0"/>
    </format>
    <format dxfId="3360">
      <pivotArea type="all" dataOnly="0" outline="0" fieldPosition="0"/>
    </format>
    <format dxfId="3359">
      <pivotArea outline="0" collapsedLevelsAreSubtotals="1" fieldPosition="0"/>
    </format>
    <format dxfId="3358">
      <pivotArea field="3" type="button" dataOnly="0" labelOnly="1" outline="0" axis="axisRow" fieldPosition="0"/>
    </format>
    <format dxfId="3357">
      <pivotArea dataOnly="0" labelOnly="1" fieldPosition="0">
        <references count="1">
          <reference field="3" count="0"/>
        </references>
      </pivotArea>
    </format>
    <format dxfId="3356">
      <pivotArea dataOnly="0" labelOnly="1" grandRow="1" outline="0" fieldPosition="0"/>
    </format>
    <format dxfId="335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D6FF72-3628-4735-87F1-0465DE6807E8}" name="PT_PaymentMod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Q12:R18" firstHeaderRow="1" firstDataRow="1" firstDataCol="1" rowPageCount="1" colPageCount="1"/>
  <pivotFields count="24">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pivotField numFmtId="164" showAll="0"/>
    <pivotField numFmtId="4" showAll="0"/>
    <pivotField numFmtId="4" showAll="0"/>
    <pivotField numFmtId="10" showAll="0"/>
    <pivotField numFmtId="4" showAll="0"/>
    <pivotField dataField="1" numFmtId="4" showAll="0"/>
    <pivotField numFmtId="4" showAll="0"/>
    <pivotField numFmtId="4" showAll="0"/>
    <pivotField numFmtId="10" showAll="0"/>
    <pivotField axis="axisRow" showAll="0" sortType="descending">
      <items count="6">
        <item x="3"/>
        <item x="4"/>
        <item x="0"/>
        <item x="2"/>
        <item x="1"/>
        <item t="default"/>
      </items>
      <autoSortScope>
        <pivotArea dataOnly="0" outline="0" fieldPosition="0">
          <references count="1">
            <reference field="4294967294" count="1" selected="0">
              <x v="0"/>
            </reference>
          </references>
        </pivotArea>
      </autoSortScope>
    </pivotField>
    <pivotField axis="axisPage" showAll="0">
      <items count="5">
        <item x="0"/>
        <item x="1"/>
        <item x="2"/>
        <item x="3"/>
        <item t="default"/>
      </items>
    </pivotField>
    <pivotField showAll="0">
      <items count="5">
        <item x="1"/>
        <item x="0"/>
        <item x="3"/>
        <item x="2"/>
        <item t="default"/>
      </items>
    </pivotField>
    <pivotField showAll="0">
      <items count="11">
        <item x="3"/>
        <item x="5"/>
        <item x="7"/>
        <item x="4"/>
        <item x="6"/>
        <item x="2"/>
        <item x="9"/>
        <item x="1"/>
        <item x="8"/>
        <item x="0"/>
        <item t="default"/>
      </items>
    </pivotField>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14"/>
  </rowFields>
  <rowItems count="6">
    <i>
      <x v="1"/>
    </i>
    <i>
      <x/>
    </i>
    <i>
      <x v="3"/>
    </i>
    <i>
      <x v="4"/>
    </i>
    <i>
      <x v="2"/>
    </i>
    <i t="grand">
      <x/>
    </i>
  </rowItems>
  <colItems count="1">
    <i/>
  </colItems>
  <pageFields count="1">
    <pageField fld="15" item="1" hier="-1"/>
  </pageFields>
  <dataFields count="1">
    <dataField name="Sum of Net Sales" fld="10" baseField="0" baseItem="0"/>
  </dataFields>
  <formats count="4">
    <format dxfId="3371">
      <pivotArea outline="0" collapsedLevelsAreSubtotals="1" fieldPosition="0"/>
    </format>
    <format dxfId="3370">
      <pivotArea outline="0" fieldPosition="0">
        <references count="1">
          <reference field="4294967294" count="1">
            <x v="0"/>
          </reference>
        </references>
      </pivotArea>
    </format>
    <format dxfId="3369">
      <pivotArea collapsedLevelsAreSubtotals="1" fieldPosition="0">
        <references count="1">
          <reference field="14" count="0"/>
        </references>
      </pivotArea>
    </format>
    <format dxfId="3368">
      <pivotArea grandRow="1" outline="0" collapsedLevelsAreSubtotals="1" fieldPosition="0"/>
    </format>
  </formats>
  <chartFormats count="6">
    <chartFormat chart="7" format="30" series="1">
      <pivotArea type="data" outline="0" fieldPosition="0">
        <references count="1">
          <reference field="4294967294" count="1" selected="0">
            <x v="0"/>
          </reference>
        </references>
      </pivotArea>
    </chartFormat>
    <chartFormat chart="7" format="31">
      <pivotArea type="data" outline="0" fieldPosition="0">
        <references count="2">
          <reference field="4294967294" count="1" selected="0">
            <x v="0"/>
          </reference>
          <reference field="14" count="1" selected="0">
            <x v="4"/>
          </reference>
        </references>
      </pivotArea>
    </chartFormat>
    <chartFormat chart="7" format="32">
      <pivotArea type="data" outline="0" fieldPosition="0">
        <references count="2">
          <reference field="4294967294" count="1" selected="0">
            <x v="0"/>
          </reference>
          <reference field="14" count="1" selected="0">
            <x v="1"/>
          </reference>
        </references>
      </pivotArea>
    </chartFormat>
    <chartFormat chart="7" format="33">
      <pivotArea type="data" outline="0" fieldPosition="0">
        <references count="2">
          <reference field="4294967294" count="1" selected="0">
            <x v="0"/>
          </reference>
          <reference field="14" count="1" selected="0">
            <x v="0"/>
          </reference>
        </references>
      </pivotArea>
    </chartFormat>
    <chartFormat chart="7" format="34">
      <pivotArea type="data" outline="0" fieldPosition="0">
        <references count="2">
          <reference field="4294967294" count="1" selected="0">
            <x v="0"/>
          </reference>
          <reference field="14" count="1" selected="0">
            <x v="3"/>
          </reference>
        </references>
      </pivotArea>
    </chartFormat>
    <chartFormat chart="7" format="35">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29E579-4E10-411E-B683-F5E4E92D9E5D}" name="PT_Monthl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X5:Y18" firstHeaderRow="1" firstDataRow="1" firstDataCol="1" rowPageCount="1" colPageCount="1"/>
  <pivotFields count="24">
    <pivotField showAll="0"/>
    <pivotField axis="axisRow"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pivotField numFmtId="164" showAll="0"/>
    <pivotField numFmtId="4" showAll="0"/>
    <pivotField numFmtId="4" showAll="0"/>
    <pivotField numFmtId="10" showAll="0"/>
    <pivotField numFmtId="4" showAll="0"/>
    <pivotField dataField="1" numFmtId="4" showAll="0"/>
    <pivotField numFmtId="4" showAll="0"/>
    <pivotField numFmtId="4" showAll="0"/>
    <pivotField numFmtId="10" showAll="0"/>
    <pivotField showAll="0">
      <items count="6">
        <item x="3"/>
        <item x="4"/>
        <item x="0"/>
        <item x="2"/>
        <item x="1"/>
        <item t="default"/>
      </items>
    </pivotField>
    <pivotField axis="axisPage" showAll="0">
      <items count="5">
        <item x="0"/>
        <item x="1"/>
        <item x="2"/>
        <item x="3"/>
        <item t="default"/>
      </items>
    </pivotField>
    <pivotField showAll="0">
      <items count="5">
        <item x="1"/>
        <item x="0"/>
        <item x="3"/>
        <item x="2"/>
        <item t="default"/>
      </items>
    </pivotField>
    <pivotField showAll="0">
      <items count="11">
        <item x="3"/>
        <item x="5"/>
        <item x="7"/>
        <item x="4"/>
        <item x="6"/>
        <item x="2"/>
        <item x="9"/>
        <item x="1"/>
        <item x="8"/>
        <item x="0"/>
        <item t="default"/>
      </items>
    </pivotField>
    <pivotField showAll="0"/>
    <pivotField showAll="0">
      <items count="5">
        <item x="0"/>
        <item x="1"/>
        <item x="2"/>
        <item x="3"/>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2">
    <field x="20"/>
    <field x="1"/>
  </rowFields>
  <rowItems count="13">
    <i>
      <x/>
    </i>
    <i>
      <x v="1"/>
    </i>
    <i>
      <x v="2"/>
    </i>
    <i>
      <x v="3"/>
    </i>
    <i>
      <x v="4"/>
    </i>
    <i>
      <x v="5"/>
    </i>
    <i>
      <x v="6"/>
    </i>
    <i>
      <x v="7"/>
    </i>
    <i>
      <x v="8"/>
    </i>
    <i>
      <x v="9"/>
    </i>
    <i>
      <x v="10"/>
    </i>
    <i>
      <x v="11"/>
    </i>
    <i t="grand">
      <x/>
    </i>
  </rowItems>
  <colItems count="1">
    <i/>
  </colItems>
  <pageFields count="1">
    <pageField fld="15" item="1" hier="-1"/>
  </pageFields>
  <dataFields count="1">
    <dataField name="Sum of Net Sales" fld="10" baseField="0" baseItem="0"/>
  </dataFields>
  <formats count="20">
    <format dxfId="3391">
      <pivotArea outline="0" collapsedLevelsAreSubtotals="1" fieldPosition="0"/>
    </format>
    <format dxfId="3390">
      <pivotArea type="all" dataOnly="0" outline="0" fieldPosition="0"/>
    </format>
    <format dxfId="3389">
      <pivotArea outline="0" collapsedLevelsAreSubtotals="1" fieldPosition="0"/>
    </format>
    <format dxfId="3388">
      <pivotArea field="20" type="button" dataOnly="0" labelOnly="1" outline="0" axis="axisRow" fieldPosition="0"/>
    </format>
    <format dxfId="3387">
      <pivotArea dataOnly="0" labelOnly="1" fieldPosition="0">
        <references count="1">
          <reference field="20" count="12">
            <x v="0"/>
            <x v="1"/>
            <x v="2"/>
            <x v="3"/>
            <x v="4"/>
            <x v="5"/>
            <x v="6"/>
            <x v="7"/>
            <x v="8"/>
            <x v="9"/>
            <x v="10"/>
            <x v="11"/>
          </reference>
        </references>
      </pivotArea>
    </format>
    <format dxfId="3386">
      <pivotArea dataOnly="0" labelOnly="1" grandRow="1" outline="0" fieldPosition="0"/>
    </format>
    <format dxfId="3385">
      <pivotArea dataOnly="0" labelOnly="1" outline="0" axis="axisValues" fieldPosition="0"/>
    </format>
    <format dxfId="3384">
      <pivotArea collapsedLevelsAreSubtotals="1" fieldPosition="0">
        <references count="1">
          <reference field="20" count="1">
            <x v="0"/>
          </reference>
        </references>
      </pivotArea>
    </format>
    <format dxfId="3383">
      <pivotArea collapsedLevelsAreSubtotals="1" fieldPosition="0">
        <references count="1">
          <reference field="20" count="1">
            <x v="1"/>
          </reference>
        </references>
      </pivotArea>
    </format>
    <format dxfId="3382">
      <pivotArea collapsedLevelsAreSubtotals="1" fieldPosition="0">
        <references count="1">
          <reference field="20" count="1">
            <x v="2"/>
          </reference>
        </references>
      </pivotArea>
    </format>
    <format dxfId="3381">
      <pivotArea collapsedLevelsAreSubtotals="1" fieldPosition="0">
        <references count="1">
          <reference field="20" count="1">
            <x v="3"/>
          </reference>
        </references>
      </pivotArea>
    </format>
    <format dxfId="3380">
      <pivotArea collapsedLevelsAreSubtotals="1" fieldPosition="0">
        <references count="1">
          <reference field="20" count="1">
            <x v="4"/>
          </reference>
        </references>
      </pivotArea>
    </format>
    <format dxfId="3379">
      <pivotArea collapsedLevelsAreSubtotals="1" fieldPosition="0">
        <references count="1">
          <reference field="20" count="1">
            <x v="5"/>
          </reference>
        </references>
      </pivotArea>
    </format>
    <format dxfId="3378">
      <pivotArea collapsedLevelsAreSubtotals="1" fieldPosition="0">
        <references count="1">
          <reference field="20" count="1">
            <x v="6"/>
          </reference>
        </references>
      </pivotArea>
    </format>
    <format dxfId="3377">
      <pivotArea collapsedLevelsAreSubtotals="1" fieldPosition="0">
        <references count="1">
          <reference field="20" count="1">
            <x v="7"/>
          </reference>
        </references>
      </pivotArea>
    </format>
    <format dxfId="3376">
      <pivotArea collapsedLevelsAreSubtotals="1" fieldPosition="0">
        <references count="1">
          <reference field="20" count="1">
            <x v="8"/>
          </reference>
        </references>
      </pivotArea>
    </format>
    <format dxfId="3375">
      <pivotArea collapsedLevelsAreSubtotals="1" fieldPosition="0">
        <references count="1">
          <reference field="20" count="1">
            <x v="9"/>
          </reference>
        </references>
      </pivotArea>
    </format>
    <format dxfId="3374">
      <pivotArea collapsedLevelsAreSubtotals="1" fieldPosition="0">
        <references count="1">
          <reference field="20" count="1">
            <x v="10"/>
          </reference>
        </references>
      </pivotArea>
    </format>
    <format dxfId="3373">
      <pivotArea collapsedLevelsAreSubtotals="1" fieldPosition="0">
        <references count="1">
          <reference field="20" count="1">
            <x v="11"/>
          </reference>
        </references>
      </pivotArea>
    </format>
    <format dxfId="337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C90CD0-2560-4A29-80AB-B1B5370D154D}" name="PT_PROFITTREN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J3:K16" firstHeaderRow="1" firstDataRow="1" firstDataCol="1" rowPageCount="1" colPageCount="1"/>
  <pivotFields count="24">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pivotField numFmtId="164" showAll="0"/>
    <pivotField numFmtId="4" showAll="0"/>
    <pivotField numFmtId="4" showAll="0"/>
    <pivotField numFmtId="10" showAll="0"/>
    <pivotField numFmtId="4" showAll="0"/>
    <pivotField numFmtId="4" showAll="0"/>
    <pivotField numFmtId="4" showAll="0"/>
    <pivotField dataField="1" numFmtId="4" showAll="0"/>
    <pivotField numFmtId="10" showAll="0"/>
    <pivotField showAll="0">
      <items count="6">
        <item x="3"/>
        <item x="4"/>
        <item x="0"/>
        <item x="2"/>
        <item x="1"/>
        <item t="default"/>
      </items>
    </pivotField>
    <pivotField axis="axisPage" showAll="0">
      <items count="5">
        <item x="0"/>
        <item x="1"/>
        <item x="2"/>
        <item x="3"/>
        <item t="default"/>
      </items>
    </pivotField>
    <pivotField showAll="0">
      <items count="5">
        <item x="1"/>
        <item x="0"/>
        <item x="3"/>
        <item x="2"/>
        <item t="default"/>
      </items>
    </pivotField>
    <pivotField showAll="0">
      <items count="11">
        <item x="3"/>
        <item x="5"/>
        <item x="7"/>
        <item x="4"/>
        <item x="6"/>
        <item x="2"/>
        <item x="9"/>
        <item x="1"/>
        <item x="8"/>
        <item x="0"/>
        <item t="default"/>
      </items>
    </pivotField>
    <pivotField showAll="0"/>
    <pivotField showAll="0">
      <items count="5">
        <item x="0"/>
        <item x="1"/>
        <item x="2"/>
        <item x="3"/>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20"/>
  </rowFields>
  <rowItems count="13">
    <i>
      <x/>
    </i>
    <i>
      <x v="1"/>
    </i>
    <i>
      <x v="2"/>
    </i>
    <i>
      <x v="3"/>
    </i>
    <i>
      <x v="4"/>
    </i>
    <i>
      <x v="5"/>
    </i>
    <i>
      <x v="6"/>
    </i>
    <i>
      <x v="7"/>
    </i>
    <i>
      <x v="8"/>
    </i>
    <i>
      <x v="9"/>
    </i>
    <i>
      <x v="10"/>
    </i>
    <i>
      <x v="11"/>
    </i>
    <i t="grand">
      <x/>
    </i>
  </rowItems>
  <colItems count="1">
    <i/>
  </colItems>
  <pageFields count="1">
    <pageField fld="15" item="1" hier="-1"/>
  </pageFields>
  <dataFields count="1">
    <dataField name="Sum of Profit" fld="12" baseField="0" baseItem="0"/>
  </dataFields>
  <formats count="10">
    <format dxfId="3401">
      <pivotArea type="all" dataOnly="0" outline="0" fieldPosition="0"/>
    </format>
    <format dxfId="3400">
      <pivotArea outline="0" collapsedLevelsAreSubtotals="1" fieldPosition="0"/>
    </format>
    <format dxfId="3399">
      <pivotArea field="20" type="button" dataOnly="0" labelOnly="1" outline="0" axis="axisRow" fieldPosition="0"/>
    </format>
    <format dxfId="3398">
      <pivotArea dataOnly="0" labelOnly="1" fieldPosition="0">
        <references count="1">
          <reference field="20" count="12">
            <x v="0"/>
            <x v="1"/>
            <x v="2"/>
            <x v="3"/>
            <x v="4"/>
            <x v="5"/>
            <x v="6"/>
            <x v="7"/>
            <x v="8"/>
            <x v="9"/>
            <x v="10"/>
            <x v="11"/>
          </reference>
        </references>
      </pivotArea>
    </format>
    <format dxfId="3397">
      <pivotArea dataOnly="0" labelOnly="1" grandRow="1" outline="0" fieldPosition="0"/>
    </format>
    <format dxfId="3396">
      <pivotArea dataOnly="0" labelOnly="1" outline="0" axis="axisValues" fieldPosition="0"/>
    </format>
    <format dxfId="3395">
      <pivotArea collapsedLevelsAreSubtotals="1" fieldPosition="0">
        <references count="1">
          <reference field="20" count="12">
            <x v="0"/>
            <x v="1"/>
            <x v="2"/>
            <x v="3"/>
            <x v="4"/>
            <x v="5"/>
            <x v="6"/>
            <x v="7"/>
            <x v="8"/>
            <x v="9"/>
            <x v="10"/>
            <x v="11"/>
          </reference>
        </references>
      </pivotArea>
    </format>
    <format dxfId="3394">
      <pivotArea collapsedLevelsAreSubtotals="1" fieldPosition="0">
        <references count="1">
          <reference field="20" count="12">
            <x v="0"/>
            <x v="1"/>
            <x v="2"/>
            <x v="3"/>
            <x v="4"/>
            <x v="5"/>
            <x v="6"/>
            <x v="7"/>
            <x v="8"/>
            <x v="9"/>
            <x v="10"/>
            <x v="11"/>
          </reference>
        </references>
      </pivotArea>
    </format>
    <format dxfId="3393">
      <pivotArea grandRow="1" outline="0" collapsedLevelsAreSubtotals="1" fieldPosition="0"/>
    </format>
    <format dxfId="339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0A9CF7-12A9-473E-9DC2-BE9EAC8988A5}" name="DASHBOARD-KPI"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T4:U5" firstHeaderRow="0" firstDataRow="1" firstDataCol="0" rowPageCount="1" colPageCount="1"/>
  <pivotFields count="24">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pivotField numFmtId="164" showAll="0"/>
    <pivotField numFmtId="4" showAll="0"/>
    <pivotField numFmtId="4" showAll="0"/>
    <pivotField numFmtId="10" showAll="0"/>
    <pivotField numFmtId="4" showAll="0"/>
    <pivotField dataField="1" numFmtId="4" showAll="0"/>
    <pivotField numFmtId="4" showAll="0"/>
    <pivotField dataField="1" numFmtId="4" showAll="0"/>
    <pivotField numFmtId="10" showAll="0"/>
    <pivotField showAll="0">
      <items count="6">
        <item x="3"/>
        <item x="4"/>
        <item x="0"/>
        <item x="2"/>
        <item x="1"/>
        <item t="default"/>
      </items>
    </pivotField>
    <pivotField axis="axisPage" showAll="0">
      <items count="5">
        <item x="0"/>
        <item x="1"/>
        <item x="2"/>
        <item x="3"/>
        <item t="default"/>
      </items>
    </pivotField>
    <pivotField showAll="0">
      <items count="5">
        <item x="1"/>
        <item x="0"/>
        <item x="3"/>
        <item x="2"/>
        <item t="default"/>
      </items>
    </pivotField>
    <pivotField showAll="0">
      <items count="11">
        <item x="3"/>
        <item x="5"/>
        <item x="7"/>
        <item x="4"/>
        <item x="6"/>
        <item x="2"/>
        <item x="9"/>
        <item x="1"/>
        <item x="8"/>
        <item x="0"/>
        <item t="default"/>
      </items>
    </pivotField>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Items count="1">
    <i/>
  </rowItems>
  <colFields count="1">
    <field x="-2"/>
  </colFields>
  <colItems count="2">
    <i>
      <x/>
    </i>
    <i i="1">
      <x v="1"/>
    </i>
  </colItems>
  <pageFields count="1">
    <pageField fld="15" item="1" hier="-1"/>
  </pageFields>
  <dataFields count="2">
    <dataField name="Sum of Profit" fld="12" baseField="0" baseItem="0"/>
    <dataField name="Sum of Net Sales" fld="10" baseField="0" baseItem="0"/>
  </dataFields>
  <formats count="3">
    <format dxfId="3404">
      <pivotArea outline="0" collapsedLevelsAreSubtotals="1" fieldPosition="0"/>
    </format>
    <format dxfId="3403">
      <pivotArea outline="0" collapsedLevelsAreSubtotals="1" fieldPosition="0">
        <references count="1">
          <reference field="4294967294" count="1" selected="0">
            <x v="1"/>
          </reference>
        </references>
      </pivotArea>
    </format>
    <format dxfId="340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58A832-43EE-43CD-A7BD-ED96361DB23B}" name="PT_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3:C4" firstHeaderRow="0" firstDataRow="1" firstDataCol="0" rowPageCount="1" colPageCount="1"/>
  <pivotFields count="24">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pivotField dataField="1" numFmtId="164" showAll="0"/>
    <pivotField numFmtId="4" showAll="0"/>
    <pivotField numFmtId="4" showAll="0"/>
    <pivotField numFmtId="10" showAll="0"/>
    <pivotField numFmtId="4" showAll="0"/>
    <pivotField dataField="1" numFmtId="4" showAll="0"/>
    <pivotField numFmtId="4" showAll="0"/>
    <pivotField numFmtId="4" showAll="0"/>
    <pivotField numFmtId="10" showAll="0"/>
    <pivotField showAll="0">
      <items count="6">
        <item x="3"/>
        <item x="4"/>
        <item x="0"/>
        <item x="2"/>
        <item x="1"/>
        <item t="default"/>
      </items>
    </pivotField>
    <pivotField axis="axisPage" showAll="0">
      <items count="5">
        <item x="0"/>
        <item x="1"/>
        <item x="2"/>
        <item x="3"/>
        <item t="default"/>
      </items>
    </pivotField>
    <pivotField showAll="0">
      <items count="5">
        <item x="1"/>
        <item x="0"/>
        <item x="3"/>
        <item x="2"/>
        <item t="default"/>
      </items>
    </pivotField>
    <pivotField showAll="0">
      <items count="11">
        <item x="3"/>
        <item x="5"/>
        <item x="7"/>
        <item x="4"/>
        <item x="6"/>
        <item x="2"/>
        <item x="9"/>
        <item x="1"/>
        <item x="8"/>
        <item x="0"/>
        <item t="default"/>
      </items>
    </pivotField>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Items count="1">
    <i/>
  </rowItems>
  <colFields count="1">
    <field x="-2"/>
  </colFields>
  <colItems count="2">
    <i>
      <x/>
    </i>
    <i i="1">
      <x v="1"/>
    </i>
  </colItems>
  <pageFields count="1">
    <pageField fld="15" item="1" hier="-1"/>
  </pageFields>
  <dataFields count="2">
    <dataField name="Sum of Net Sales" fld="10" baseField="0" baseItem="0"/>
    <dataField name="Sum of Qty" fld="5" baseField="0" baseItem="0" numFmtId="2"/>
  </dataFields>
  <formats count="2">
    <format dxfId="3406">
      <pivotArea outline="0" collapsedLevelsAreSubtotals="1" fieldPosition="0"/>
    </format>
    <format dxfId="340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FD56B81-14EF-465A-8854-D6B7E122D2B8}" name="PRODUCT-ORDER_STATU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N19:S27" firstHeaderRow="1" firstDataRow="2" firstDataCol="1"/>
  <pivotFields count="24">
    <pivotField dataField="1"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sortType="descending">
      <items count="7">
        <item x="5"/>
        <item x="2"/>
        <item x="0"/>
        <item x="1"/>
        <item x="3"/>
        <item x="4"/>
        <item t="default"/>
      </items>
      <autoSortScope>
        <pivotArea dataOnly="0" outline="0" fieldPosition="0">
          <references count="2">
            <reference field="4294967294" count="1" selected="0">
              <x v="0"/>
            </reference>
            <reference field="15" count="1" selected="0">
              <x v="0"/>
            </reference>
          </references>
        </pivotArea>
      </autoSortScope>
    </pivotField>
    <pivotField numFmtId="164" showAll="0"/>
    <pivotField numFmtId="4" showAll="0"/>
    <pivotField numFmtId="166" showAll="0"/>
    <pivotField numFmtId="10" showAll="0"/>
    <pivotField numFmtId="4" showAll="0"/>
    <pivotField numFmtId="4" showAll="0"/>
    <pivotField numFmtId="4" showAll="0"/>
    <pivotField numFmtId="4" showAll="0"/>
    <pivotField numFmtId="10" showAll="0"/>
    <pivotField showAll="0">
      <items count="6">
        <item x="3"/>
        <item x="4"/>
        <item x="0"/>
        <item x="2"/>
        <item x="1"/>
        <item t="default"/>
      </items>
    </pivotField>
    <pivotField axis="axisCol" showAll="0">
      <items count="5">
        <item x="1"/>
        <item x="2"/>
        <item x="3"/>
        <item x="0"/>
        <item t="default"/>
      </items>
    </pivotField>
    <pivotField showAll="0">
      <items count="5">
        <item x="1"/>
        <item x="0"/>
        <item x="3"/>
        <item x="2"/>
        <item t="default"/>
      </items>
    </pivotField>
    <pivotField showAll="0">
      <items count="11">
        <item x="3"/>
        <item x="5"/>
        <item x="7"/>
        <item x="4"/>
        <item x="6"/>
        <item x="2"/>
        <item x="9"/>
        <item x="1"/>
        <item x="8"/>
        <item x="0"/>
        <item t="default"/>
      </items>
    </pivotField>
    <pivotField showAll="0"/>
    <pivotField showAll="0">
      <items count="5">
        <item x="0"/>
        <item x="1"/>
        <item x="2"/>
        <item x="3"/>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4"/>
  </rowFields>
  <rowItems count="7">
    <i>
      <x v="2"/>
    </i>
    <i>
      <x v="3"/>
    </i>
    <i>
      <x v="5"/>
    </i>
    <i>
      <x/>
    </i>
    <i>
      <x v="4"/>
    </i>
    <i>
      <x v="1"/>
    </i>
    <i t="grand">
      <x/>
    </i>
  </rowItems>
  <colFields count="1">
    <field x="15"/>
  </colFields>
  <colItems count="5">
    <i>
      <x/>
    </i>
    <i>
      <x v="1"/>
    </i>
    <i>
      <x v="2"/>
    </i>
    <i>
      <x v="3"/>
    </i>
    <i t="grand">
      <x/>
    </i>
  </colItems>
  <dataFields count="1">
    <dataField name="Count of S No" fld="0" subtotal="count" baseField="4" baseItem="0"/>
  </dataFields>
  <formats count="1">
    <format dxfId="3295">
      <pivotArea outline="0" collapsedLevelsAreSubtotals="1" fieldPosition="0"/>
    </format>
  </formats>
  <chartFormats count="5">
    <chartFormat chart="8" format="8" series="1">
      <pivotArea type="data" outline="0" fieldPosition="0">
        <references count="2">
          <reference field="4294967294" count="1" selected="0">
            <x v="0"/>
          </reference>
          <reference field="15" count="1" selected="0">
            <x v="0"/>
          </reference>
        </references>
      </pivotArea>
    </chartFormat>
    <chartFormat chart="8" format="9" series="1">
      <pivotArea type="data" outline="0" fieldPosition="0">
        <references count="2">
          <reference field="4294967294" count="1" selected="0">
            <x v="0"/>
          </reference>
          <reference field="15" count="1" selected="0">
            <x v="1"/>
          </reference>
        </references>
      </pivotArea>
    </chartFormat>
    <chartFormat chart="8" format="10" series="1">
      <pivotArea type="data" outline="0" fieldPosition="0">
        <references count="2">
          <reference field="4294967294" count="1" selected="0">
            <x v="0"/>
          </reference>
          <reference field="15" count="1" selected="0">
            <x v="2"/>
          </reference>
        </references>
      </pivotArea>
    </chartFormat>
    <chartFormat chart="8" format="11" series="1">
      <pivotArea type="data" outline="0" fieldPosition="0">
        <references count="2">
          <reference field="4294967294" count="1" selected="0">
            <x v="0"/>
          </reference>
          <reference field="15" count="1" selected="0">
            <x v="3"/>
          </reference>
        </references>
      </pivotArea>
    </chartFormat>
    <chartFormat chart="8"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E7C9F02-1BF5-4920-B845-47BCCB119BD2}" name="PRODUCT_Q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K19:L26" firstHeaderRow="1" firstDataRow="1" firstDataCol="1" rowPageCount="1" colPageCount="1"/>
  <pivotFields count="24">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4" showAll="0"/>
    <pivotField numFmtId="166" showAll="0"/>
    <pivotField numFmtId="10" showAll="0"/>
    <pivotField numFmtId="4" showAll="0"/>
    <pivotField numFmtId="4" showAll="0"/>
    <pivotField numFmtId="4" showAll="0"/>
    <pivotField numFmtId="4" showAll="0"/>
    <pivotField numFmtId="10" showAll="0"/>
    <pivotField showAll="0">
      <items count="6">
        <item x="3"/>
        <item x="4"/>
        <item x="0"/>
        <item x="2"/>
        <item x="1"/>
        <item t="default"/>
      </items>
    </pivotField>
    <pivotField axis="axisPage" showAll="0">
      <items count="5">
        <item x="0"/>
        <item x="1"/>
        <item x="2"/>
        <item x="3"/>
        <item t="default"/>
      </items>
    </pivotField>
    <pivotField showAll="0">
      <items count="5">
        <item x="1"/>
        <item x="0"/>
        <item x="3"/>
        <item x="2"/>
        <item t="default"/>
      </items>
    </pivotField>
    <pivotField showAll="0">
      <items count="11">
        <item x="3"/>
        <item x="5"/>
        <item x="7"/>
        <item x="4"/>
        <item x="6"/>
        <item x="2"/>
        <item x="9"/>
        <item x="1"/>
        <item x="8"/>
        <item x="0"/>
        <item t="default"/>
      </items>
    </pivotField>
    <pivotField showAll="0"/>
    <pivotField showAll="0">
      <items count="5">
        <item x="0"/>
        <item x="1"/>
        <item x="2"/>
        <item x="3"/>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4"/>
  </rowFields>
  <rowItems count="7">
    <i>
      <x/>
    </i>
    <i>
      <x v="1"/>
    </i>
    <i>
      <x v="4"/>
    </i>
    <i>
      <x v="5"/>
    </i>
    <i>
      <x v="3"/>
    </i>
    <i>
      <x v="2"/>
    </i>
    <i t="grand">
      <x/>
    </i>
  </rowItems>
  <colItems count="1">
    <i/>
  </colItems>
  <pageFields count="1">
    <pageField fld="15" item="1" hier="-1"/>
  </pageFields>
  <dataFields count="1">
    <dataField name="Sum of Qty" fld="5" baseField="0" baseItem="0" numFmtId="2"/>
  </dataFields>
  <formats count="6">
    <format dxfId="3301">
      <pivotArea collapsedLevelsAreSubtotals="1" fieldPosition="0">
        <references count="1">
          <reference field="4" count="0"/>
        </references>
      </pivotArea>
    </format>
    <format dxfId="3300">
      <pivotArea outline="0" collapsedLevelsAreSubtotals="1" fieldPosition="0"/>
    </format>
    <format dxfId="3299">
      <pivotArea collapsedLevelsAreSubtotals="1" fieldPosition="0">
        <references count="1">
          <reference field="4" count="0"/>
        </references>
      </pivotArea>
    </format>
    <format dxfId="3298">
      <pivotArea outline="0" fieldPosition="0">
        <references count="1">
          <reference field="4294967294" count="1">
            <x v="0"/>
          </reference>
        </references>
      </pivotArea>
    </format>
    <format dxfId="3297">
      <pivotArea collapsedLevelsAreSubtotals="1" fieldPosition="0">
        <references count="1">
          <reference field="4" count="1">
            <x v="0"/>
          </reference>
        </references>
      </pivotArea>
    </format>
    <format dxfId="3296">
      <pivotArea collapsedLevelsAreSubtotals="1" fieldPosition="0">
        <references count="1">
          <reference field="4" count="5">
            <x v="1"/>
            <x v="2"/>
            <x v="3"/>
            <x v="4"/>
            <x v="5"/>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29297FE-E188-42AD-9A47-624B2E9B00E6}" name="PRODUCT-PF-KPI"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H5:I6" firstHeaderRow="0" firstDataRow="1" firstDataCol="0" rowPageCount="1" colPageCount="1"/>
  <pivotFields count="24">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numFmtId="164" showAll="0"/>
    <pivotField numFmtId="4" showAll="0"/>
    <pivotField numFmtId="166" showAll="0"/>
    <pivotField numFmtId="10" showAll="0"/>
    <pivotField numFmtId="4" showAll="0"/>
    <pivotField dataField="1" numFmtId="4" showAll="0"/>
    <pivotField numFmtId="4" showAll="0"/>
    <pivotField dataField="1" numFmtId="4" showAll="0"/>
    <pivotField numFmtId="10" showAll="0"/>
    <pivotField showAll="0">
      <items count="6">
        <item x="3"/>
        <item x="4"/>
        <item x="0"/>
        <item x="2"/>
        <item x="1"/>
        <item t="default"/>
      </items>
    </pivotField>
    <pivotField axis="axisPage" showAll="0">
      <items count="5">
        <item x="0"/>
        <item x="1"/>
        <item x="2"/>
        <item x="3"/>
        <item t="default"/>
      </items>
    </pivotField>
    <pivotField showAll="0">
      <items count="5">
        <item x="1"/>
        <item x="0"/>
        <item x="3"/>
        <item x="2"/>
        <item t="default"/>
      </items>
    </pivotField>
    <pivotField showAll="0">
      <items count="11">
        <item x="3"/>
        <item x="5"/>
        <item x="7"/>
        <item x="4"/>
        <item x="6"/>
        <item x="2"/>
        <item x="9"/>
        <item x="1"/>
        <item x="8"/>
        <item x="0"/>
        <item t="default"/>
      </items>
    </pivotField>
    <pivotField showAll="0"/>
    <pivotField showAll="0">
      <items count="5">
        <item x="0"/>
        <item x="1"/>
        <item x="2"/>
        <item x="3"/>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s>
  <rowItems count="1">
    <i/>
  </rowItems>
  <colFields count="1">
    <field x="-2"/>
  </colFields>
  <colItems count="2">
    <i>
      <x/>
    </i>
    <i i="1">
      <x v="1"/>
    </i>
  </colItems>
  <pageFields count="1">
    <pageField fld="15" item="1" hier="-1"/>
  </pageFields>
  <dataFields count="2">
    <dataField name="Sum of Net Sales" fld="10" baseField="0" baseItem="0" numFmtId="166"/>
    <dataField name="Sum of Profit" fld="12" baseField="0" baseItem="0"/>
  </dataFields>
  <formats count="2">
    <format dxfId="3303">
      <pivotArea outline="0" collapsedLevelsAreSubtotals="1" fieldPosition="0"/>
    </format>
    <format dxfId="330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B4D374C-F8D9-4D46-8ACB-C914DB79482C}" name="PRODUCT_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B19:C26" firstHeaderRow="1" firstDataRow="1" firstDataCol="1" rowPageCount="1" colPageCount="1"/>
  <pivotFields count="24">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numFmtId="164" showAll="0"/>
    <pivotField numFmtId="4" showAll="0"/>
    <pivotField numFmtId="166" showAll="0"/>
    <pivotField numFmtId="10" showAll="0"/>
    <pivotField numFmtId="4" showAll="0"/>
    <pivotField dataField="1" numFmtId="4" showAll="0"/>
    <pivotField numFmtId="4" showAll="0"/>
    <pivotField numFmtId="4" showAll="0"/>
    <pivotField numFmtId="10" showAll="0"/>
    <pivotField showAll="0">
      <items count="6">
        <item x="3"/>
        <item x="4"/>
        <item x="0"/>
        <item x="2"/>
        <item x="1"/>
        <item t="default"/>
      </items>
    </pivotField>
    <pivotField axis="axisPage" showAll="0">
      <items count="5">
        <item x="0"/>
        <item x="1"/>
        <item x="2"/>
        <item x="3"/>
        <item t="default"/>
      </items>
    </pivotField>
    <pivotField showAll="0">
      <items count="5">
        <item x="1"/>
        <item x="0"/>
        <item x="3"/>
        <item x="2"/>
        <item t="default"/>
      </items>
    </pivotField>
    <pivotField showAll="0">
      <items count="11">
        <item x="3"/>
        <item x="5"/>
        <item x="7"/>
        <item x="4"/>
        <item x="6"/>
        <item x="2"/>
        <item x="9"/>
        <item x="1"/>
        <item x="8"/>
        <item x="0"/>
        <item t="default"/>
      </items>
    </pivotField>
    <pivotField showAll="0"/>
    <pivotField showAll="0">
      <items count="5">
        <item x="0"/>
        <item x="1"/>
        <item x="2"/>
        <item x="3"/>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4"/>
  </rowFields>
  <rowItems count="7">
    <i>
      <x v="3"/>
    </i>
    <i>
      <x v="4"/>
    </i>
    <i>
      <x v="1"/>
    </i>
    <i>
      <x v="5"/>
    </i>
    <i>
      <x v="2"/>
    </i>
    <i>
      <x/>
    </i>
    <i t="grand">
      <x/>
    </i>
  </rowItems>
  <colItems count="1">
    <i/>
  </colItems>
  <pageFields count="1">
    <pageField fld="15" item="1" hier="-1"/>
  </pageFields>
  <dataFields count="1">
    <dataField name="Sum of Net Sales" fld="10" baseField="0" baseItem="0" numFmtId="166"/>
  </dataFields>
  <formats count="2">
    <format dxfId="3305">
      <pivotArea outline="0" collapsedLevelsAreSubtotals="1" fieldPosition="0"/>
    </format>
    <format dxfId="330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5A440A9-F216-4FAF-9324-084B3105FE07}" name="PRODUCT-KPI"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E5:F6" firstHeaderRow="0" firstDataRow="1" firstDataCol="0" rowPageCount="1" colPageCount="1"/>
  <pivotFields count="24">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4" showAll="0"/>
    <pivotField numFmtId="166" showAll="0"/>
    <pivotField numFmtId="10" showAll="0"/>
    <pivotField numFmtId="4" showAll="0"/>
    <pivotField dataField="1" numFmtId="4" showAll="0"/>
    <pivotField numFmtId="4" showAll="0"/>
    <pivotField numFmtId="4" showAll="0"/>
    <pivotField numFmtId="10" showAll="0"/>
    <pivotField showAll="0">
      <items count="6">
        <item x="3"/>
        <item x="4"/>
        <item x="0"/>
        <item x="2"/>
        <item x="1"/>
        <item t="default"/>
      </items>
    </pivotField>
    <pivotField axis="axisPage" showAll="0">
      <items count="5">
        <item x="0"/>
        <item x="1"/>
        <item x="2"/>
        <item x="3"/>
        <item t="default"/>
      </items>
    </pivotField>
    <pivotField showAll="0">
      <items count="5">
        <item x="1"/>
        <item x="0"/>
        <item x="3"/>
        <item x="2"/>
        <item t="default"/>
      </items>
    </pivotField>
    <pivotField showAll="0">
      <items count="11">
        <item x="3"/>
        <item x="5"/>
        <item x="7"/>
        <item x="4"/>
        <item x="6"/>
        <item x="2"/>
        <item x="9"/>
        <item x="1"/>
        <item x="8"/>
        <item x="0"/>
        <item t="default"/>
      </items>
    </pivotField>
    <pivotField showAll="0"/>
    <pivotField showAll="0">
      <items count="5">
        <item x="0"/>
        <item x="1"/>
        <item x="2"/>
        <item x="3"/>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s>
  <rowItems count="1">
    <i/>
  </rowItems>
  <colFields count="1">
    <field x="-2"/>
  </colFields>
  <colItems count="2">
    <i>
      <x/>
    </i>
    <i i="1">
      <x v="1"/>
    </i>
  </colItems>
  <pageFields count="1">
    <pageField fld="15" item="1" hier="-1"/>
  </pageFields>
  <dataFields count="2">
    <dataField name="Sum of Net Sales" fld="10" baseField="0" baseItem="0" numFmtId="166"/>
    <dataField name="Sum of Qty" fld="5" baseField="0" baseItem="0" numFmtId="2"/>
  </dataFields>
  <formats count="3">
    <format dxfId="3308">
      <pivotArea outline="0" collapsedLevelsAreSubtotals="1" fieldPosition="0"/>
    </format>
    <format dxfId="3307">
      <pivotArea outline="0" collapsedLevelsAreSubtotals="1" fieldPosition="0">
        <references count="1">
          <reference field="4294967294" count="1" selected="0">
            <x v="1"/>
          </reference>
        </references>
      </pivotArea>
    </format>
    <format dxfId="33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EA2AEFC-0319-43D4-AA97-4E1F757E3324}" name="PRODUCT_PROFIT-MARGI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H19:I26" firstHeaderRow="1" firstDataRow="1" firstDataCol="1" rowPageCount="1" colPageCount="1"/>
  <pivotFields count="24">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numFmtId="164" showAll="0"/>
    <pivotField numFmtId="4" showAll="0"/>
    <pivotField numFmtId="166" showAll="0"/>
    <pivotField numFmtId="10" showAll="0"/>
    <pivotField numFmtId="4" showAll="0"/>
    <pivotField numFmtId="4" showAll="0"/>
    <pivotField numFmtId="4" showAll="0"/>
    <pivotField numFmtId="4" showAll="0"/>
    <pivotField numFmtId="10" showAll="0"/>
    <pivotField showAll="0">
      <items count="6">
        <item x="3"/>
        <item x="4"/>
        <item x="0"/>
        <item x="2"/>
        <item x="1"/>
        <item t="default"/>
      </items>
    </pivotField>
    <pivotField axis="axisPage" showAll="0">
      <items count="5">
        <item x="0"/>
        <item x="1"/>
        <item x="2"/>
        <item x="3"/>
        <item t="default"/>
      </items>
    </pivotField>
    <pivotField showAll="0">
      <items count="5">
        <item x="1"/>
        <item x="0"/>
        <item x="3"/>
        <item x="2"/>
        <item t="default"/>
      </items>
    </pivotField>
    <pivotField showAll="0">
      <items count="11">
        <item x="3"/>
        <item x="5"/>
        <item x="7"/>
        <item x="4"/>
        <item x="6"/>
        <item x="2"/>
        <item x="9"/>
        <item x="1"/>
        <item x="8"/>
        <item x="0"/>
        <item t="default"/>
      </items>
    </pivotField>
    <pivotField showAll="0"/>
    <pivotField showAll="0">
      <items count="5">
        <item x="0"/>
        <item x="1"/>
        <item x="2"/>
        <item x="3"/>
        <item t="default"/>
      </items>
    </pivotField>
    <pivotField showAll="0" defaultSubtotal="0"/>
    <pivotField showAll="0" defaultSubtotal="0"/>
    <pivotField showAll="0" defaultSubtotal="0">
      <items count="4">
        <item x="0"/>
        <item x="1"/>
        <item x="2"/>
        <item x="3"/>
      </items>
    </pivotField>
    <pivotField dataField="1" dragToRow="0" dragToCol="0" dragToPage="0" showAll="0" defaultSubtotal="0"/>
  </pivotFields>
  <rowFields count="1">
    <field x="4"/>
  </rowFields>
  <rowItems count="7">
    <i>
      <x/>
    </i>
    <i>
      <x v="5"/>
    </i>
    <i>
      <x v="3"/>
    </i>
    <i>
      <x v="2"/>
    </i>
    <i>
      <x v="4"/>
    </i>
    <i>
      <x v="1"/>
    </i>
    <i t="grand">
      <x/>
    </i>
  </rowItems>
  <colItems count="1">
    <i/>
  </colItems>
  <pageFields count="1">
    <pageField fld="15" item="1" hier="-1"/>
  </pageFields>
  <dataFields count="1">
    <dataField name="Sum of PROFIT MARGIN" fld="23" baseField="0" baseItem="0" numFmtId="10"/>
  </dataFields>
  <formats count="3">
    <format dxfId="3311">
      <pivotArea collapsedLevelsAreSubtotals="1" fieldPosition="0">
        <references count="1">
          <reference field="4" count="0"/>
        </references>
      </pivotArea>
    </format>
    <format dxfId="3310">
      <pivotArea outline="0" collapsedLevelsAreSubtotals="1" fieldPosition="0"/>
    </format>
    <format dxfId="330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60EC618-001A-4B73-B98E-EB7E26E90A58}" name="PRODUCT_TOP-KPI"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B5:C11" firstHeaderRow="1" firstDataRow="1" firstDataCol="1" rowPageCount="1" colPageCount="1"/>
  <pivotFields count="24">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numFmtId="164" showAll="0"/>
    <pivotField numFmtId="4" showAll="0"/>
    <pivotField numFmtId="166" showAll="0"/>
    <pivotField numFmtId="10" showAll="0"/>
    <pivotField numFmtId="4" showAll="0"/>
    <pivotField dataField="1" numFmtId="4" showAll="0"/>
    <pivotField numFmtId="4" showAll="0"/>
    <pivotField numFmtId="4" showAll="0"/>
    <pivotField numFmtId="10" showAll="0"/>
    <pivotField showAll="0">
      <items count="6">
        <item x="3"/>
        <item x="4"/>
        <item x="0"/>
        <item x="2"/>
        <item x="1"/>
        <item t="default"/>
      </items>
    </pivotField>
    <pivotField axis="axisPage" showAll="0">
      <items count="5">
        <item x="0"/>
        <item x="1"/>
        <item x="2"/>
        <item x="3"/>
        <item t="default"/>
      </items>
    </pivotField>
    <pivotField showAll="0">
      <items count="5">
        <item x="1"/>
        <item x="0"/>
        <item x="3"/>
        <item x="2"/>
        <item t="default"/>
      </items>
    </pivotField>
    <pivotField showAll="0">
      <items count="11">
        <item x="3"/>
        <item x="5"/>
        <item x="7"/>
        <item x="4"/>
        <item x="6"/>
        <item x="2"/>
        <item x="9"/>
        <item x="1"/>
        <item x="8"/>
        <item x="0"/>
        <item t="default"/>
      </items>
    </pivotField>
    <pivotField showAll="0"/>
    <pivotField showAll="0">
      <items count="5">
        <item x="0"/>
        <item x="1"/>
        <item x="2"/>
        <item x="3"/>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4"/>
  </rowFields>
  <rowItems count="6">
    <i>
      <x v="3"/>
    </i>
    <i>
      <x v="4"/>
    </i>
    <i>
      <x v="1"/>
    </i>
    <i>
      <x v="5"/>
    </i>
    <i>
      <x v="2"/>
    </i>
    <i>
      <x/>
    </i>
  </rowItems>
  <colItems count="1">
    <i/>
  </colItems>
  <pageFields count="1">
    <pageField fld="15" item="1" hier="-1"/>
  </pageFields>
  <dataFields count="1">
    <dataField name="Sum of Net Sales" fld="10" baseField="0" baseItem="0" numFmtId="166"/>
  </dataFields>
  <formats count="2">
    <format dxfId="3313">
      <pivotArea outline="0" collapsedLevelsAreSubtotals="1" fieldPosition="0"/>
    </format>
    <format dxfId="33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6E4A317-0EBE-43F2-9D61-82AD3578F0BF}" name="PRODUCT_PROFI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E19:F26" firstHeaderRow="1" firstDataRow="1" firstDataCol="1" rowPageCount="1" colPageCount="1"/>
  <pivotFields count="24">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numFmtId="164" showAll="0"/>
    <pivotField numFmtId="4" showAll="0"/>
    <pivotField numFmtId="166" showAll="0"/>
    <pivotField numFmtId="10" showAll="0"/>
    <pivotField numFmtId="4" showAll="0"/>
    <pivotField numFmtId="4" showAll="0"/>
    <pivotField numFmtId="4" showAll="0"/>
    <pivotField dataField="1" numFmtId="4" showAll="0"/>
    <pivotField numFmtId="10" showAll="0"/>
    <pivotField showAll="0">
      <items count="6">
        <item x="3"/>
        <item x="4"/>
        <item x="0"/>
        <item x="2"/>
        <item x="1"/>
        <item t="default"/>
      </items>
    </pivotField>
    <pivotField axis="axisPage" showAll="0">
      <items count="5">
        <item x="0"/>
        <item x="1"/>
        <item x="2"/>
        <item x="3"/>
        <item t="default"/>
      </items>
    </pivotField>
    <pivotField showAll="0">
      <items count="5">
        <item x="1"/>
        <item x="0"/>
        <item x="3"/>
        <item x="2"/>
        <item t="default"/>
      </items>
    </pivotField>
    <pivotField showAll="0">
      <items count="11">
        <item x="3"/>
        <item x="5"/>
        <item x="7"/>
        <item x="4"/>
        <item x="6"/>
        <item x="2"/>
        <item x="9"/>
        <item x="1"/>
        <item x="8"/>
        <item x="0"/>
        <item t="default"/>
      </items>
    </pivotField>
    <pivotField showAll="0"/>
    <pivotField showAll="0">
      <items count="5">
        <item x="0"/>
        <item x="1"/>
        <item x="2"/>
        <item x="3"/>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4"/>
  </rowFields>
  <rowItems count="7">
    <i>
      <x v="3"/>
    </i>
    <i>
      <x v="4"/>
    </i>
    <i>
      <x v="1"/>
    </i>
    <i>
      <x v="5"/>
    </i>
    <i>
      <x v="2"/>
    </i>
    <i>
      <x/>
    </i>
    <i t="grand">
      <x/>
    </i>
  </rowItems>
  <colItems count="1">
    <i/>
  </colItems>
  <pageFields count="1">
    <pageField fld="15" item="1" hier="-1"/>
  </pageFields>
  <dataFields count="1">
    <dataField name="Sum of Profit" fld="12" baseField="0" baseItem="0"/>
  </dataFields>
  <formats count="3">
    <format dxfId="3316">
      <pivotArea outline="0" collapsedLevelsAreSubtotals="1" fieldPosition="0"/>
    </format>
    <format dxfId="3315">
      <pivotArea collapsedLevelsAreSubtotals="1" fieldPosition="0">
        <references count="1">
          <reference field="4" count="0"/>
        </references>
      </pivotArea>
    </format>
    <format dxfId="331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4EB626F-AD46-4ECD-9F87-38CBD1CCF5F2}" name="SALESMAN_TOP-KPI"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J5:K11" firstHeaderRow="1" firstDataRow="1" firstDataCol="1" rowPageCount="1" colPageCount="1"/>
  <pivotFields count="24">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sortType="descending">
      <items count="7">
        <item x="3"/>
        <item x="5"/>
        <item x="0"/>
        <item x="4"/>
        <item x="1"/>
        <item x="2"/>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pivotField numFmtId="164" showAll="0"/>
    <pivotField numFmtId="4" showAll="0"/>
    <pivotField numFmtId="166" showAll="0"/>
    <pivotField numFmtId="10" showAll="0"/>
    <pivotField numFmtId="4" showAll="0"/>
    <pivotField dataField="1" numFmtId="4" showAll="0"/>
    <pivotField numFmtId="4" showAll="0"/>
    <pivotField numFmtId="4" showAll="0"/>
    <pivotField numFmtId="10" showAll="0"/>
    <pivotField showAll="0">
      <items count="6">
        <item x="3"/>
        <item x="4"/>
        <item x="0"/>
        <item x="2"/>
        <item x="1"/>
        <item t="default"/>
      </items>
    </pivotField>
    <pivotField axis="axisPage" showAll="0">
      <items count="5">
        <item x="0"/>
        <item x="1"/>
        <item x="2"/>
        <item x="3"/>
        <item t="default"/>
      </items>
    </pivotField>
    <pivotField showAll="0">
      <items count="5">
        <item x="1"/>
        <item x="0"/>
        <item x="3"/>
        <item x="2"/>
        <item t="default"/>
      </items>
    </pivotField>
    <pivotField showAll="0">
      <items count="11">
        <item x="3"/>
        <item x="5"/>
        <item x="7"/>
        <item x="4"/>
        <item x="6"/>
        <item x="2"/>
        <item x="9"/>
        <item x="1"/>
        <item x="8"/>
        <item x="0"/>
        <item t="default"/>
      </items>
    </pivotField>
    <pivotField showAll="0"/>
    <pivotField showAll="0">
      <items count="5">
        <item x="0"/>
        <item x="1"/>
        <item x="2"/>
        <item x="3"/>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2"/>
  </rowFields>
  <rowItems count="6">
    <i>
      <x v="1"/>
    </i>
    <i>
      <x v="4"/>
    </i>
    <i>
      <x v="2"/>
    </i>
    <i>
      <x v="5"/>
    </i>
    <i>
      <x/>
    </i>
    <i>
      <x v="3"/>
    </i>
  </rowItems>
  <colItems count="1">
    <i/>
  </colItems>
  <pageFields count="1">
    <pageField fld="15" item="1" hier="-1"/>
  </pageFields>
  <dataFields count="1">
    <dataField name="Sum of Net Sales" fld="10" baseField="0" baseItem="0" numFmtId="166"/>
  </dataFields>
  <formats count="2">
    <format dxfId="3275">
      <pivotArea outline="0" collapsedLevelsAreSubtotals="1" fieldPosition="0"/>
    </format>
    <format dxfId="327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13298BC-3FD3-4BC0-B8AB-294739214DEA}" name="SLAESMAN AOV"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O19:Q26" firstHeaderRow="0" firstDataRow="1" firstDataCol="1" rowPageCount="1" colPageCount="1"/>
  <pivotFields count="24">
    <pivotField dataField="1"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sortType="descending">
      <items count="7">
        <item x="2"/>
        <item x="1"/>
        <item x="4"/>
        <item x="0"/>
        <item x="5"/>
        <item x="3"/>
        <item t="default"/>
      </items>
    </pivotField>
    <pivotField showAll="0">
      <items count="5">
        <item x="0"/>
        <item x="2"/>
        <item x="3"/>
        <item x="1"/>
        <item t="default"/>
      </items>
    </pivotField>
    <pivotField showAll="0"/>
    <pivotField numFmtId="164" showAll="0"/>
    <pivotField numFmtId="4" showAll="0"/>
    <pivotField numFmtId="166" showAll="0"/>
    <pivotField numFmtId="10" showAll="0"/>
    <pivotField numFmtId="4" showAll="0"/>
    <pivotField dataField="1" numFmtId="4" showAll="0"/>
    <pivotField numFmtId="4" showAll="0"/>
    <pivotField numFmtId="4" showAll="0"/>
    <pivotField numFmtId="10" showAll="0"/>
    <pivotField showAll="0">
      <items count="6">
        <item x="3"/>
        <item x="4"/>
        <item x="0"/>
        <item x="2"/>
        <item x="1"/>
        <item t="default"/>
      </items>
    </pivotField>
    <pivotField axis="axisPage" showAll="0">
      <items count="5">
        <item x="0"/>
        <item x="1"/>
        <item x="2"/>
        <item x="3"/>
        <item t="default"/>
      </items>
    </pivotField>
    <pivotField showAll="0">
      <items count="5">
        <item x="1"/>
        <item x="0"/>
        <item x="3"/>
        <item x="2"/>
        <item t="default"/>
      </items>
    </pivotField>
    <pivotField showAll="0">
      <items count="11">
        <item x="3"/>
        <item x="5"/>
        <item x="7"/>
        <item x="4"/>
        <item x="6"/>
        <item x="2"/>
        <item x="9"/>
        <item x="1"/>
        <item x="8"/>
        <item x="0"/>
        <item t="default"/>
      </items>
    </pivotField>
    <pivotField showAll="0"/>
    <pivotField showAll="0">
      <items count="5">
        <item x="0"/>
        <item x="1"/>
        <item x="2"/>
        <item x="3"/>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2"/>
  </rowFields>
  <rowItems count="7">
    <i>
      <x/>
    </i>
    <i>
      <x v="1"/>
    </i>
    <i>
      <x v="2"/>
    </i>
    <i>
      <x v="3"/>
    </i>
    <i>
      <x v="4"/>
    </i>
    <i>
      <x v="5"/>
    </i>
    <i t="grand">
      <x/>
    </i>
  </rowItems>
  <colFields count="1">
    <field x="-2"/>
  </colFields>
  <colItems count="2">
    <i>
      <x/>
    </i>
    <i i="1">
      <x v="1"/>
    </i>
  </colItems>
  <pageFields count="1">
    <pageField fld="15" item="1" hier="-1"/>
  </pageFields>
  <dataFields count="2">
    <dataField name="Sum of Net Sales" fld="10" baseField="0" baseItem="0" numFmtId="166"/>
    <dataField name="Count of S No" fld="0" subtotal="count" baseField="2" baseItem="3"/>
  </dataFields>
  <formats count="2">
    <format dxfId="3277">
      <pivotArea outline="0" collapsedLevelsAreSubtotals="1" fieldPosition="0"/>
    </format>
    <format dxfId="3276">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4EF25AE-ADE6-4ABD-95BE-84F20BA96DF0}" name="SALESMAN-KPI"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5:G6" firstHeaderRow="0" firstDataRow="1" firstDataCol="0" rowPageCount="1" colPageCount="1"/>
  <pivotFields count="24">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x="3"/>
        <item x="5"/>
        <item x="0"/>
        <item x="4"/>
        <item x="1"/>
        <item x="2"/>
        <item t="default"/>
      </items>
    </pivotField>
    <pivotField showAll="0">
      <items count="5">
        <item x="0"/>
        <item x="2"/>
        <item x="3"/>
        <item x="1"/>
        <item t="default"/>
      </items>
    </pivotField>
    <pivotField showAll="0"/>
    <pivotField numFmtId="164" showAll="0"/>
    <pivotField numFmtId="4" showAll="0"/>
    <pivotField numFmtId="166" showAll="0"/>
    <pivotField numFmtId="10" showAll="0"/>
    <pivotField numFmtId="4" showAll="0"/>
    <pivotField dataField="1" numFmtId="4" showAll="0"/>
    <pivotField numFmtId="4" showAll="0"/>
    <pivotField dataField="1" numFmtId="4" showAll="0"/>
    <pivotField numFmtId="10" showAll="0"/>
    <pivotField showAll="0">
      <items count="6">
        <item x="3"/>
        <item x="4"/>
        <item x="0"/>
        <item x="2"/>
        <item x="1"/>
        <item t="default"/>
      </items>
    </pivotField>
    <pivotField axis="axisPage" showAll="0">
      <items count="5">
        <item x="0"/>
        <item x="1"/>
        <item x="2"/>
        <item x="3"/>
        <item t="default"/>
      </items>
    </pivotField>
    <pivotField showAll="0">
      <items count="5">
        <item x="1"/>
        <item x="0"/>
        <item x="3"/>
        <item x="2"/>
        <item t="default"/>
      </items>
    </pivotField>
    <pivotField showAll="0">
      <items count="11">
        <item x="3"/>
        <item x="5"/>
        <item x="7"/>
        <item x="4"/>
        <item x="6"/>
        <item x="2"/>
        <item x="9"/>
        <item x="1"/>
        <item x="8"/>
        <item x="0"/>
        <item t="default"/>
      </items>
    </pivotField>
    <pivotField showAll="0"/>
    <pivotField showAll="0">
      <items count="5">
        <item x="0"/>
        <item x="1"/>
        <item x="2"/>
        <item x="3"/>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s>
  <rowItems count="1">
    <i/>
  </rowItems>
  <colFields count="1">
    <field x="-2"/>
  </colFields>
  <colItems count="2">
    <i>
      <x/>
    </i>
    <i i="1">
      <x v="1"/>
    </i>
  </colItems>
  <pageFields count="1">
    <pageField fld="15" item="1" hier="-1"/>
  </pageFields>
  <dataFields count="2">
    <dataField name="Sum of Net Sales" fld="10" baseField="0" baseItem="0" numFmtId="166"/>
    <dataField name="Sum of Profit" fld="12" baseField="0" baseItem="0"/>
  </dataFields>
  <formats count="2">
    <format dxfId="3279">
      <pivotArea outline="0" collapsedLevelsAreSubtotals="1" fieldPosition="0"/>
    </format>
    <format dxfId="327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0DBC084-3F6D-4D66-A12D-960E0B037BF8}" name="SALESMAN_PROFIT-MARGI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G19:H26" firstHeaderRow="1" firstDataRow="1" firstDataCol="1" rowPageCount="1" colPageCount="1"/>
  <pivotFields count="24">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sortType="descending">
      <items count="7">
        <item x="3"/>
        <item x="5"/>
        <item x="0"/>
        <item x="4"/>
        <item x="1"/>
        <item x="2"/>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pivotField numFmtId="164" showAll="0"/>
    <pivotField numFmtId="4" showAll="0"/>
    <pivotField numFmtId="166" showAll="0"/>
    <pivotField numFmtId="10" showAll="0"/>
    <pivotField numFmtId="4" showAll="0"/>
    <pivotField numFmtId="4" showAll="0"/>
    <pivotField numFmtId="4" showAll="0"/>
    <pivotField numFmtId="4" showAll="0"/>
    <pivotField numFmtId="10" showAll="0"/>
    <pivotField showAll="0">
      <items count="6">
        <item x="3"/>
        <item x="4"/>
        <item x="0"/>
        <item x="2"/>
        <item x="1"/>
        <item t="default"/>
      </items>
    </pivotField>
    <pivotField axis="axisPage" showAll="0">
      <items count="5">
        <item x="0"/>
        <item x="1"/>
        <item x="2"/>
        <item x="3"/>
        <item t="default"/>
      </items>
    </pivotField>
    <pivotField showAll="0">
      <items count="5">
        <item x="1"/>
        <item x="0"/>
        <item x="3"/>
        <item x="2"/>
        <item t="default"/>
      </items>
    </pivotField>
    <pivotField showAll="0">
      <items count="11">
        <item x="3"/>
        <item x="5"/>
        <item x="7"/>
        <item x="4"/>
        <item x="6"/>
        <item x="2"/>
        <item x="9"/>
        <item x="1"/>
        <item x="8"/>
        <item x="0"/>
        <item t="default"/>
      </items>
    </pivotField>
    <pivotField showAll="0"/>
    <pivotField showAll="0">
      <items count="5">
        <item x="0"/>
        <item x="1"/>
        <item x="2"/>
        <item x="3"/>
        <item t="default"/>
      </items>
    </pivotField>
    <pivotField showAll="0" defaultSubtotal="0"/>
    <pivotField showAll="0" defaultSubtotal="0"/>
    <pivotField showAll="0" defaultSubtotal="0">
      <items count="4">
        <item x="0"/>
        <item x="1"/>
        <item x="2"/>
        <item x="3"/>
      </items>
    </pivotField>
    <pivotField dataField="1" dragToRow="0" dragToCol="0" dragToPage="0" showAll="0" defaultSubtotal="0"/>
  </pivotFields>
  <rowFields count="1">
    <field x="2"/>
  </rowFields>
  <rowItems count="7">
    <i>
      <x v="3"/>
    </i>
    <i>
      <x v="4"/>
    </i>
    <i>
      <x v="1"/>
    </i>
    <i>
      <x v="5"/>
    </i>
    <i>
      <x v="2"/>
    </i>
    <i>
      <x/>
    </i>
    <i t="grand">
      <x/>
    </i>
  </rowItems>
  <colItems count="1">
    <i/>
  </colItems>
  <pageFields count="1">
    <pageField fld="15" item="1" hier="-1"/>
  </pageFields>
  <dataFields count="1">
    <dataField name="Sum of PROFIT MARGIN" fld="23" baseField="0" baseItem="0" numFmtId="4"/>
  </dataFields>
  <formats count="3">
    <format dxfId="3282">
      <pivotArea outline="0" collapsedLevelsAreSubtotals="1" fieldPosition="0"/>
    </format>
    <format dxfId="3281">
      <pivotArea collapsedLevelsAreSubtotals="1" fieldPosition="0">
        <references count="1">
          <reference field="2" count="0"/>
        </references>
      </pivotArea>
    </format>
    <format dxfId="328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CA690F5-1064-4D09-9F6F-234AD0D04C24}" name="SALESMAN-SALES_PROFI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C19:E26" firstHeaderRow="0" firstDataRow="1" firstDataCol="1" rowPageCount="1" colPageCount="1"/>
  <pivotFields count="24">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sortType="ascending">
      <items count="7">
        <item x="3"/>
        <item x="5"/>
        <item x="0"/>
        <item x="4"/>
        <item x="1"/>
        <item x="2"/>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pivotField numFmtId="164" showAll="0"/>
    <pivotField numFmtId="4" showAll="0"/>
    <pivotField numFmtId="166" showAll="0"/>
    <pivotField numFmtId="10" showAll="0"/>
    <pivotField numFmtId="4" showAll="0"/>
    <pivotField dataField="1" numFmtId="4" showAll="0"/>
    <pivotField numFmtId="4" showAll="0"/>
    <pivotField dataField="1" numFmtId="4" showAll="0"/>
    <pivotField numFmtId="10" showAll="0"/>
    <pivotField showAll="0">
      <items count="6">
        <item x="3"/>
        <item x="4"/>
        <item x="0"/>
        <item x="2"/>
        <item x="1"/>
        <item t="default"/>
      </items>
    </pivotField>
    <pivotField axis="axisPage" showAll="0">
      <items count="5">
        <item x="0"/>
        <item x="1"/>
        <item x="2"/>
        <item x="3"/>
        <item t="default"/>
      </items>
    </pivotField>
    <pivotField showAll="0">
      <items count="5">
        <item x="1"/>
        <item x="0"/>
        <item x="3"/>
        <item x="2"/>
        <item t="default"/>
      </items>
    </pivotField>
    <pivotField showAll="0">
      <items count="11">
        <item x="3"/>
        <item x="5"/>
        <item x="7"/>
        <item x="4"/>
        <item x="6"/>
        <item x="2"/>
        <item x="9"/>
        <item x="1"/>
        <item x="8"/>
        <item x="0"/>
        <item t="default"/>
      </items>
    </pivotField>
    <pivotField showAll="0"/>
    <pivotField showAll="0">
      <items count="5">
        <item x="0"/>
        <item x="1"/>
        <item x="2"/>
        <item x="3"/>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2"/>
  </rowFields>
  <rowItems count="7">
    <i>
      <x v="3"/>
    </i>
    <i>
      <x/>
    </i>
    <i>
      <x v="5"/>
    </i>
    <i>
      <x v="2"/>
    </i>
    <i>
      <x v="4"/>
    </i>
    <i>
      <x v="1"/>
    </i>
    <i t="grand">
      <x/>
    </i>
  </rowItems>
  <colFields count="1">
    <field x="-2"/>
  </colFields>
  <colItems count="2">
    <i>
      <x/>
    </i>
    <i i="1">
      <x v="1"/>
    </i>
  </colItems>
  <pageFields count="1">
    <pageField fld="15" item="1" hier="-1"/>
  </pageFields>
  <dataFields count="2">
    <dataField name="Sum of Net Sales" fld="10" baseField="0" baseItem="0" numFmtId="166"/>
    <dataField name="Sum of Profit" fld="12" baseField="0" baseItem="0"/>
  </dataFields>
  <formats count="3">
    <format dxfId="3285">
      <pivotArea outline="0" collapsedLevelsAreSubtotals="1" fieldPosition="0"/>
    </format>
    <format dxfId="3284">
      <pivotArea outline="0" collapsedLevelsAreSubtotals="1" fieldPosition="0">
        <references count="1">
          <reference field="4294967294" count="1" selected="0">
            <x v="0"/>
          </reference>
        </references>
      </pivotArea>
    </format>
    <format dxfId="3283">
      <pivotArea collapsedLevelsAreSubtotals="1" fieldPosition="0">
        <references count="1">
          <reference field="2"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95909A4-D47C-4FF4-A473-5C16884507E1}" name="SALESMAN_ORDER_STATU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S3:X11" firstHeaderRow="1" firstDataRow="2" firstDataCol="1"/>
  <pivotFields count="24">
    <pivotField dataField="1"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sortType="descending">
      <items count="7">
        <item x="2"/>
        <item x="1"/>
        <item x="4"/>
        <item x="0"/>
        <item x="5"/>
        <item x="3"/>
        <item t="default"/>
      </items>
      <autoSortScope>
        <pivotArea dataOnly="0" outline="0" fieldPosition="0">
          <references count="2">
            <reference field="4294967294" count="1" selected="0">
              <x v="0"/>
            </reference>
            <reference field="15" count="1" selected="0">
              <x v="0"/>
            </reference>
          </references>
        </pivotArea>
      </autoSortScope>
    </pivotField>
    <pivotField showAll="0">
      <items count="5">
        <item x="0"/>
        <item x="2"/>
        <item x="3"/>
        <item x="1"/>
        <item t="default"/>
      </items>
    </pivotField>
    <pivotField showAll="0"/>
    <pivotField numFmtId="164" showAll="0"/>
    <pivotField numFmtId="4" showAll="0"/>
    <pivotField numFmtId="166" showAll="0"/>
    <pivotField numFmtId="10" showAll="0"/>
    <pivotField numFmtId="4" showAll="0"/>
    <pivotField numFmtId="4" showAll="0"/>
    <pivotField numFmtId="4" showAll="0"/>
    <pivotField numFmtId="4" showAll="0"/>
    <pivotField numFmtId="10" showAll="0"/>
    <pivotField showAll="0">
      <items count="6">
        <item x="3"/>
        <item x="4"/>
        <item x="0"/>
        <item x="2"/>
        <item x="1"/>
        <item t="default"/>
      </items>
    </pivotField>
    <pivotField axis="axisCol" showAll="0">
      <items count="5">
        <item x="1"/>
        <item x="2"/>
        <item x="3"/>
        <item x="0"/>
        <item t="default"/>
      </items>
    </pivotField>
    <pivotField showAll="0">
      <items count="5">
        <item x="1"/>
        <item x="0"/>
        <item x="3"/>
        <item x="2"/>
        <item t="default"/>
      </items>
    </pivotField>
    <pivotField showAll="0">
      <items count="11">
        <item x="3"/>
        <item x="5"/>
        <item x="7"/>
        <item x="4"/>
        <item x="6"/>
        <item x="2"/>
        <item x="9"/>
        <item x="1"/>
        <item x="8"/>
        <item x="0"/>
        <item t="default"/>
      </items>
    </pivotField>
    <pivotField showAll="0"/>
    <pivotField showAll="0">
      <items count="5">
        <item x="0"/>
        <item x="1"/>
        <item x="2"/>
        <item x="3"/>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2"/>
  </rowFields>
  <rowItems count="7">
    <i>
      <x v="4"/>
    </i>
    <i>
      <x v="1"/>
    </i>
    <i>
      <x v="3"/>
    </i>
    <i>
      <x/>
    </i>
    <i>
      <x v="5"/>
    </i>
    <i>
      <x v="2"/>
    </i>
    <i t="grand">
      <x/>
    </i>
  </rowItems>
  <colFields count="1">
    <field x="15"/>
  </colFields>
  <colItems count="5">
    <i>
      <x/>
    </i>
    <i>
      <x v="1"/>
    </i>
    <i>
      <x v="2"/>
    </i>
    <i>
      <x v="3"/>
    </i>
    <i t="grand">
      <x/>
    </i>
  </colItems>
  <dataFields count="1">
    <dataField name="Count of S No" fld="0" subtotal="count" baseField="2" baseItem="0" numFmtId="2"/>
  </dataFields>
  <formats count="4">
    <format dxfId="3289">
      <pivotArea outline="0" collapsedLevelsAreSubtotals="1" fieldPosition="0"/>
    </format>
    <format dxfId="3288">
      <pivotArea collapsedLevelsAreSubtotals="1" fieldPosition="0">
        <references count="1">
          <reference field="2" count="0"/>
        </references>
      </pivotArea>
    </format>
    <format dxfId="3287">
      <pivotArea field="2" type="button" dataOnly="0" labelOnly="1" outline="0" axis="axisRow" fieldPosition="0"/>
    </format>
    <format dxfId="3286">
      <pivotArea outline="0" collapsedLevelsAreSubtotals="1" fieldPosition="0"/>
    </format>
  </formats>
  <chartFormats count="10">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4" format="8" series="1">
      <pivotArea type="data" outline="0" fieldPosition="0">
        <references count="2">
          <reference field="4294967294" count="1" selected="0">
            <x v="0"/>
          </reference>
          <reference field="15" count="1" selected="0">
            <x v="0"/>
          </reference>
        </references>
      </pivotArea>
    </chartFormat>
    <chartFormat chart="4" format="9" series="1">
      <pivotArea type="data" outline="0" fieldPosition="0">
        <references count="2">
          <reference field="4294967294" count="1" selected="0">
            <x v="0"/>
          </reference>
          <reference field="15" count="1" selected="0">
            <x v="1"/>
          </reference>
        </references>
      </pivotArea>
    </chartFormat>
    <chartFormat chart="4" format="10" series="1">
      <pivotArea type="data" outline="0" fieldPosition="0">
        <references count="2">
          <reference field="4294967294" count="1" selected="0">
            <x v="0"/>
          </reference>
          <reference field="15" count="1" selected="0">
            <x v="2"/>
          </reference>
        </references>
      </pivotArea>
    </chartFormat>
    <chartFormat chart="4" format="11" series="1">
      <pivotArea type="data" outline="0" fieldPosition="0">
        <references count="2">
          <reference field="4294967294" count="1" selected="0">
            <x v="0"/>
          </reference>
          <reference field="15" count="1" selected="0">
            <x v="3"/>
          </reference>
        </references>
      </pivotArea>
    </chartFormat>
    <chartFormat chart="4"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56F4348-457E-4B59-AB95-6EFF4F95D1E4}" name="SALESMAN_RANKING"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O5:P12" firstHeaderRow="1" firstDataRow="1" firstDataCol="1" rowPageCount="1" colPageCount="1"/>
  <pivotFields count="24">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sortType="descending">
      <items count="7">
        <item x="3"/>
        <item x="5"/>
        <item x="0"/>
        <item x="4"/>
        <item x="1"/>
        <item x="2"/>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pivotField numFmtId="164" showAll="0"/>
    <pivotField numFmtId="4" showAll="0"/>
    <pivotField numFmtId="166" showAll="0"/>
    <pivotField numFmtId="10" showAll="0"/>
    <pivotField numFmtId="4" showAll="0"/>
    <pivotField dataField="1" numFmtId="4" showAll="0"/>
    <pivotField numFmtId="4" showAll="0"/>
    <pivotField numFmtId="4" showAll="0"/>
    <pivotField numFmtId="10" showAll="0"/>
    <pivotField showAll="0">
      <items count="6">
        <item x="3"/>
        <item x="4"/>
        <item x="0"/>
        <item x="2"/>
        <item x="1"/>
        <item t="default"/>
      </items>
    </pivotField>
    <pivotField axis="axisPage" showAll="0">
      <items count="5">
        <item x="0"/>
        <item x="1"/>
        <item x="2"/>
        <item x="3"/>
        <item t="default"/>
      </items>
    </pivotField>
    <pivotField showAll="0">
      <items count="5">
        <item x="1"/>
        <item x="0"/>
        <item x="3"/>
        <item x="2"/>
        <item t="default"/>
      </items>
    </pivotField>
    <pivotField showAll="0">
      <items count="11">
        <item x="3"/>
        <item x="5"/>
        <item x="7"/>
        <item x="4"/>
        <item x="6"/>
        <item x="2"/>
        <item x="9"/>
        <item x="1"/>
        <item x="8"/>
        <item x="0"/>
        <item t="default"/>
      </items>
    </pivotField>
    <pivotField showAll="0"/>
    <pivotField showAll="0">
      <items count="5">
        <item x="0"/>
        <item x="1"/>
        <item x="2"/>
        <item x="3"/>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2"/>
  </rowFields>
  <rowItems count="7">
    <i>
      <x v="1"/>
    </i>
    <i>
      <x v="4"/>
    </i>
    <i>
      <x v="2"/>
    </i>
    <i>
      <x v="5"/>
    </i>
    <i>
      <x/>
    </i>
    <i>
      <x v="3"/>
    </i>
    <i t="grand">
      <x/>
    </i>
  </rowItems>
  <colItems count="1">
    <i/>
  </colItems>
  <pageFields count="1">
    <pageField fld="15" item="1" hier="-1"/>
  </pageFields>
  <dataFields count="1">
    <dataField name="Sum of Net Sales" fld="10" baseField="0" baseItem="0" numFmtId="166"/>
  </dataFields>
  <formats count="2">
    <format dxfId="3291">
      <pivotArea outline="0" collapsedLevelsAreSubtotals="1" fieldPosition="0"/>
    </format>
    <format dxfId="3290">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521BBD2B-A050-409C-88E8-B6FFA2A65505}" name="SALESMAN_KPI"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5:D6" firstHeaderRow="0" firstDataRow="1" firstDataCol="0" rowPageCount="1" colPageCount="1"/>
  <pivotFields count="24">
    <pivotField showAll="0"/>
    <pivotField numFmtId="165"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x="3"/>
        <item x="5"/>
        <item x="0"/>
        <item x="4"/>
        <item x="1"/>
        <item x="2"/>
        <item t="default"/>
      </items>
    </pivotField>
    <pivotField showAll="0">
      <items count="5">
        <item x="0"/>
        <item x="2"/>
        <item x="3"/>
        <item x="1"/>
        <item t="default"/>
      </items>
    </pivotField>
    <pivotField showAll="0"/>
    <pivotField dataField="1" numFmtId="164" showAll="0"/>
    <pivotField numFmtId="4" showAll="0"/>
    <pivotField numFmtId="166" showAll="0"/>
    <pivotField numFmtId="10" showAll="0"/>
    <pivotField numFmtId="4" showAll="0"/>
    <pivotField dataField="1" numFmtId="4" showAll="0"/>
    <pivotField numFmtId="4" showAll="0"/>
    <pivotField numFmtId="4" showAll="0"/>
    <pivotField numFmtId="10" showAll="0"/>
    <pivotField showAll="0">
      <items count="6">
        <item x="3"/>
        <item x="4"/>
        <item x="0"/>
        <item x="2"/>
        <item x="1"/>
        <item t="default"/>
      </items>
    </pivotField>
    <pivotField axis="axisPage" showAll="0">
      <items count="5">
        <item x="0"/>
        <item x="1"/>
        <item x="2"/>
        <item x="3"/>
        <item t="default"/>
      </items>
    </pivotField>
    <pivotField showAll="0">
      <items count="5">
        <item x="1"/>
        <item x="0"/>
        <item x="3"/>
        <item x="2"/>
        <item t="default"/>
      </items>
    </pivotField>
    <pivotField showAll="0">
      <items count="11">
        <item x="3"/>
        <item x="5"/>
        <item x="7"/>
        <item x="4"/>
        <item x="6"/>
        <item x="2"/>
        <item x="9"/>
        <item x="1"/>
        <item x="8"/>
        <item x="0"/>
        <item t="default"/>
      </items>
    </pivotField>
    <pivotField showAll="0"/>
    <pivotField showAll="0">
      <items count="5">
        <item x="0"/>
        <item x="1"/>
        <item x="2"/>
        <item x="3"/>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s>
  <rowItems count="1">
    <i/>
  </rowItems>
  <colFields count="1">
    <field x="-2"/>
  </colFields>
  <colItems count="2">
    <i>
      <x/>
    </i>
    <i i="1">
      <x v="1"/>
    </i>
  </colItems>
  <pageFields count="1">
    <pageField fld="15" item="1" hier="-1"/>
  </pageFields>
  <dataFields count="2">
    <dataField name="Sum of Net Sales" fld="10" baseField="0" baseItem="0" numFmtId="166"/>
    <dataField name="Sum of Qty" fld="5" baseField="0" baseItem="0" numFmtId="2"/>
  </dataFields>
  <formats count="3">
    <format dxfId="3294">
      <pivotArea outline="0" collapsedLevelsAreSubtotals="1" fieldPosition="0">
        <references count="1">
          <reference field="4294967294" count="1" selected="0">
            <x v="1"/>
          </reference>
        </references>
      </pivotArea>
    </format>
    <format dxfId="3293">
      <pivotArea outline="0" collapsedLevelsAreSubtotals="1" fieldPosition="0"/>
    </format>
    <format dxfId="329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023AB2-D139-4836-8885-9B2FBC81DFE8}" sourceName="Region">
  <pivotTables>
    <pivotTable tabId="3" name="CITY_SALES"/>
    <pivotTable tabId="3" name="DASHBOARD-KPI"/>
    <pivotTable tabId="3" name="PT_CustomerType"/>
    <pivotTable tabId="3" name="PT_Monthly"/>
    <pivotTable tabId="3" name="PT_PaymentMode"/>
    <pivotTable tabId="3" name="PT_PROFITTREND"/>
    <pivotTable tabId="3" name="PT_Region"/>
    <pivotTable tabId="3" name="PT_Sales"/>
    <pivotTable tabId="3" name="DASHBOARD_ORDER_STATUS"/>
  </pivotTables>
  <data>
    <tabular pivotCacheId="1145008431">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665547BB-7330-4C6E-AAD1-00F224CF3032}" sourceName="Payment Mode">
  <pivotTables>
    <pivotTable tabId="3" name="CITY_SALES"/>
    <pivotTable tabId="3" name="DASHBOARD-KPI"/>
    <pivotTable tabId="3" name="PT_CustomerType"/>
    <pivotTable tabId="3" name="PT_Monthly"/>
    <pivotTable tabId="3" name="PT_PaymentMode"/>
    <pivotTable tabId="3" name="PT_PROFITTREND"/>
    <pivotTable tabId="3" name="PT_Region"/>
    <pivotTable tabId="3" name="PT_Sales"/>
    <pivotTable tabId="3" name="DASHBOARD_ORDER_STATUS"/>
  </pivotTables>
  <data>
    <tabular pivotCacheId="1145008431">
      <items count="5">
        <i x="3" s="1"/>
        <i x="4"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City" xr10:uid="{8BE0340C-17C6-4EC6-AEDB-1A3979EAF332}" sourceName="Customer City">
  <pivotTables>
    <pivotTable tabId="3" name="CITY_SALES"/>
    <pivotTable tabId="3" name="DASHBOARD-KPI"/>
    <pivotTable tabId="3" name="PT_CustomerType"/>
    <pivotTable tabId="3" name="PT_Monthly"/>
    <pivotTable tabId="3" name="PT_PaymentMode"/>
    <pivotTable tabId="3" name="PT_PROFITTREND"/>
    <pivotTable tabId="3" name="PT_Region"/>
    <pivotTable tabId="3" name="PT_Sales"/>
    <pivotTable tabId="3" name="DASHBOARD_ORDER_STATUS"/>
  </pivotTables>
  <data>
    <tabular pivotCacheId="1145008431">
      <items count="10">
        <i x="3" s="1"/>
        <i x="5" s="1"/>
        <i x="7" s="1"/>
        <i x="4" s="1"/>
        <i x="6" s="1"/>
        <i x="2" s="1"/>
        <i x="9" s="1"/>
        <i x="1" s="1"/>
        <i x="8"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DB69E2B5-0BD1-46BE-8434-00E813434D59}" sourceName="Sales Channel">
  <pivotTables>
    <pivotTable tabId="3" name="PT_Region"/>
    <pivotTable tabId="3" name="CITY_SALES"/>
    <pivotTable tabId="3" name="DASHBOARD-KPI"/>
    <pivotTable tabId="3" name="PT_CustomerType"/>
    <pivotTable tabId="3" name="PT_Monthly"/>
    <pivotTable tabId="3" name="PT_PaymentMode"/>
    <pivotTable tabId="3" name="PT_PROFITTREND"/>
    <pivotTable tabId="3" name="PT_Sales"/>
    <pivotTable tabId="3" name="DASHBOARD_ORDER_STATUS"/>
  </pivotTables>
  <data>
    <tabular pivotCacheId="1145008431">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9F6FDE3-CDC2-467F-B029-F252E38D4D78}" sourceName="Region">
  <pivotTables>
    <pivotTable tabId="11" name="PRODUCT_TOP-KPI"/>
    <pivotTable tabId="11" name="PRODUCT_PROFIT"/>
    <pivotTable tabId="11" name="PRODUCT_PROFIT-MARGIN"/>
    <pivotTable tabId="11" name="PRODUCT_QTY"/>
    <pivotTable tabId="11" name="PRODUCT_SALES"/>
    <pivotTable tabId="11" name="PRODUCT-KPI"/>
    <pivotTable tabId="11" name="PRODUCT-PF-KPI"/>
    <pivotTable tabId="11" name="PRODUCT-ORDER_STATUS"/>
  </pivotTables>
  <data>
    <tabular pivotCacheId="1145008431">
      <items count="4">
        <i x="0" s="1"/>
        <i x="2"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991B83E7-98C9-467A-BF1E-D3ACF06B9385}" sourceName="Payment Mode">
  <pivotTables>
    <pivotTable tabId="11" name="PRODUCT_TOP-KPI"/>
    <pivotTable tabId="11" name="PRODUCT_PROFIT"/>
    <pivotTable tabId="11" name="PRODUCT_PROFIT-MARGIN"/>
    <pivotTable tabId="11" name="PRODUCT_QTY"/>
    <pivotTable tabId="11" name="PRODUCT_SALES"/>
    <pivotTable tabId="11" name="PRODUCT-KPI"/>
    <pivotTable tabId="11" name="PRODUCT-PF-KPI"/>
    <pivotTable tabId="11" name="PRODUCT-ORDER_STATUS"/>
  </pivotTables>
  <data>
    <tabular pivotCacheId="1145008431">
      <items count="5">
        <i x="3" s="1"/>
        <i x="4" s="1"/>
        <i x="0" s="1"/>
        <i x="2"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6E9CE3DF-7357-4F9B-B352-8EDDCB7A5E6C}" sourceName="Customer Type">
  <pivotTables>
    <pivotTable tabId="11" name="PRODUCT_TOP-KPI"/>
    <pivotTable tabId="11" name="PRODUCT_PROFIT"/>
    <pivotTable tabId="11" name="PRODUCT_PROFIT-MARGIN"/>
    <pivotTable tabId="11" name="PRODUCT_QTY"/>
    <pivotTable tabId="11" name="PRODUCT_SALES"/>
    <pivotTable tabId="11" name="PRODUCT-KPI"/>
    <pivotTable tabId="11" name="PRODUCT-PF-KPI"/>
    <pivotTable tabId="11" name="PRODUCT-ORDER_STATUS"/>
  </pivotTables>
  <data>
    <tabular pivotCacheId="1145008431">
      <items count="4">
        <i x="1" s="1"/>
        <i x="0" s="1"/>
        <i x="3"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City1" xr10:uid="{3C1BC330-B001-490F-B85F-560F2937C1F2}" sourceName="Customer City">
  <pivotTables>
    <pivotTable tabId="11" name="PRODUCT_TOP-KPI"/>
    <pivotTable tabId="11" name="PRODUCT_PROFIT"/>
    <pivotTable tabId="11" name="PRODUCT_PROFIT-MARGIN"/>
    <pivotTable tabId="11" name="PRODUCT_QTY"/>
    <pivotTable tabId="11" name="PRODUCT_SALES"/>
    <pivotTable tabId="11" name="PRODUCT-KPI"/>
    <pivotTable tabId="11" name="PRODUCT-PF-KPI"/>
    <pivotTable tabId="11" name="PRODUCT-ORDER_STATUS"/>
  </pivotTables>
  <data>
    <tabular pivotCacheId="1145008431">
      <items count="10">
        <i x="3" s="1"/>
        <i x="5" s="1"/>
        <i x="7" s="1"/>
        <i x="4" s="1"/>
        <i x="6" s="1"/>
        <i x="2" s="1"/>
        <i x="9" s="1"/>
        <i x="1" s="1"/>
        <i x="8"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2" xr10:uid="{C46D10BC-384E-4558-84F8-CC67E0CB6DB9}" sourceName="Sales Channel">
  <pivotTables>
    <pivotTable tabId="11" name="PRODUCT_TOP-KPI"/>
    <pivotTable tabId="11" name="PRODUCT_PROFIT"/>
    <pivotTable tabId="11" name="PRODUCT_PROFIT-MARGIN"/>
    <pivotTable tabId="11" name="PRODUCT_QTY"/>
    <pivotTable tabId="11" name="PRODUCT_SALES"/>
    <pivotTable tabId="11" name="PRODUCT-KPI"/>
    <pivotTable tabId="11" name="PRODUCT-PF-KPI"/>
    <pivotTable tabId="11" name="PRODUCT-ORDER_STATUS"/>
  </pivotTables>
  <data>
    <tabular pivotCacheId="1145008431">
      <items count="4">
        <i x="0" s="1"/>
        <i x="1" s="1"/>
        <i x="2" s="1"/>
        <i x="3"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4AFE14FC-FB82-4EED-B116-B706D042BDDB}" sourceName="Item">
  <pivotTables>
    <pivotTable tabId="11" name="PRODUCT_TOP-KPI"/>
    <pivotTable tabId="11" name="PRODUCT_PROFIT"/>
    <pivotTable tabId="11" name="PRODUCT_PROFIT-MARGIN"/>
    <pivotTable tabId="11" name="PRODUCT_QTY"/>
    <pivotTable tabId="11" name="PRODUCT_SALES"/>
    <pivotTable tabId="11" name="PRODUCT-KPI"/>
    <pivotTable tabId="11" name="PRODUCT-PF-KPI"/>
    <pivotTable tabId="11" name="PRODUCT-ORDER_STATUS"/>
  </pivotTables>
  <data>
    <tabular pivotCacheId="1145008431">
      <items count="6">
        <i x="5" s="1"/>
        <i x="2" s="1"/>
        <i x="0" s="1"/>
        <i x="1" s="1"/>
        <i x="3" s="1"/>
        <i x="4"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 xr10:uid="{5FD0457F-A9C9-422A-9472-E11A4BD925AF}" sourceName="Salesman">
  <pivotTables>
    <pivotTable tabId="16" name="SALESMAN_KPI"/>
    <pivotTable tabId="16" name="SALESMAN_ORDER_STATUS"/>
    <pivotTable tabId="16" name="SALESMAN_PROFIT-MARGIN"/>
    <pivotTable tabId="16" name="SALESMAN_RANKING"/>
    <pivotTable tabId="16" name="SALESMAN_TOP-KPI"/>
    <pivotTable tabId="16" name="SALESMAN-KPI"/>
    <pivotTable tabId="16" name="SALESMAN-SALES_PROFIT"/>
    <pivotTable tabId="16" name="SLAESMAN AOV"/>
  </pivotTables>
  <data>
    <tabular pivotCacheId="1145008431">
      <items count="6">
        <i x="3" s="1"/>
        <i x="5" s="1"/>
        <i x="0" s="1"/>
        <i x="4" s="1"/>
        <i x="1" s="1"/>
        <i x="2"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26F0451E-0C48-4F61-B63A-4D3F7F71D47A}" sourceName="Region">
  <pivotTables>
    <pivotTable tabId="16" name="SALESMAN_KPI"/>
    <pivotTable tabId="16" name="SALESMAN_ORDER_STATUS"/>
    <pivotTable tabId="16" name="SALESMAN_PROFIT-MARGIN"/>
    <pivotTable tabId="16" name="SALESMAN_RANKING"/>
    <pivotTable tabId="16" name="SALESMAN_TOP-KPI"/>
    <pivotTable tabId="16" name="SALESMAN-KPI"/>
    <pivotTable tabId="16" name="SALESMAN-SALES_PROFIT"/>
    <pivotTable tabId="16" name="SLAESMAN AOV"/>
  </pivotTables>
  <data>
    <tabular pivotCacheId="1145008431">
      <items count="4">
        <i x="0" s="1"/>
        <i x="2" s="1"/>
        <i x="3" s="1"/>
        <i x="1"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2" xr10:uid="{E9EFC9B6-C07A-4070-BF54-466F27C85C4F}" sourceName="Payment Mode">
  <pivotTables>
    <pivotTable tabId="16" name="SALESMAN_KPI"/>
    <pivotTable tabId="16" name="SALESMAN_ORDER_STATUS"/>
    <pivotTable tabId="16" name="SALESMAN_PROFIT-MARGIN"/>
    <pivotTable tabId="16" name="SALESMAN_RANKING"/>
    <pivotTable tabId="16" name="SALESMAN_TOP-KPI"/>
    <pivotTable tabId="16" name="SALESMAN-KPI"/>
    <pivotTable tabId="16" name="SALESMAN-SALES_PROFIT"/>
    <pivotTable tabId="16" name="SLAESMAN AOV"/>
  </pivotTables>
  <data>
    <tabular pivotCacheId="1145008431">
      <items count="5">
        <i x="3" s="1"/>
        <i x="4" s="1"/>
        <i x="0" s="1"/>
        <i x="2" s="1"/>
        <i x="1"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2" xr10:uid="{877E389C-7C3A-4EF9-9BBF-45DC8B99BA25}" sourceName="Customer Type">
  <pivotTables>
    <pivotTable tabId="16" name="SALESMAN_KPI"/>
    <pivotTable tabId="16" name="SALESMAN_ORDER_STATUS"/>
    <pivotTable tabId="16" name="SALESMAN_PROFIT-MARGIN"/>
    <pivotTable tabId="16" name="SALESMAN_RANKING"/>
    <pivotTable tabId="16" name="SALESMAN_TOP-KPI"/>
    <pivotTable tabId="16" name="SALESMAN-KPI"/>
    <pivotTable tabId="16" name="SALESMAN-SALES_PROFIT"/>
    <pivotTable tabId="16" name="SLAESMAN AOV"/>
  </pivotTables>
  <data>
    <tabular pivotCacheId="1145008431">
      <items count="4">
        <i x="1" s="1"/>
        <i x="0" s="1"/>
        <i x="3" s="1"/>
        <i x="2"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City2" xr10:uid="{5A142829-0DEB-4E6E-9782-BC917B07F08A}" sourceName="Customer City">
  <pivotTables>
    <pivotTable tabId="16" name="SALESMAN_KPI"/>
    <pivotTable tabId="16" name="SALESMAN_ORDER_STATUS"/>
    <pivotTable tabId="16" name="SALESMAN_PROFIT-MARGIN"/>
    <pivotTable tabId="16" name="SALESMAN_RANKING"/>
    <pivotTable tabId="16" name="SALESMAN_TOP-KPI"/>
    <pivotTable tabId="16" name="SALESMAN-KPI"/>
    <pivotTable tabId="16" name="SALESMAN-SALES_PROFIT"/>
    <pivotTable tabId="16" name="SLAESMAN AOV"/>
  </pivotTables>
  <data>
    <tabular pivotCacheId="1145008431">
      <items count="10">
        <i x="3" s="1"/>
        <i x="5" s="1"/>
        <i x="7" s="1"/>
        <i x="4" s="1"/>
        <i x="6" s="1"/>
        <i x="2" s="1"/>
        <i x="9" s="1"/>
        <i x="1" s="1"/>
        <i x="8" s="1"/>
        <i x="0"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16BE4EE7-17C1-4463-89BB-162EE6813033}" sourceName="Sales Channel">
  <pivotTables>
    <pivotTable tabId="16" name="SALESMAN_KPI"/>
    <pivotTable tabId="16" name="SALESMAN_ORDER_STATUS"/>
    <pivotTable tabId="16" name="SALESMAN_PROFIT-MARGIN"/>
    <pivotTable tabId="16" name="SALESMAN_RANKING"/>
    <pivotTable tabId="16" name="SALESMAN_TOP-KPI"/>
    <pivotTable tabId="16" name="SALESMAN-KPI"/>
    <pivotTable tabId="16" name="SALESMAN-SALES_PROFIT"/>
    <pivotTable tabId="16" name="SLAESMAN AOV"/>
  </pivotTables>
  <data>
    <tabular pivotCacheId="1145008431">
      <items count="4">
        <i x="0" s="1"/>
        <i x="1" s="1"/>
        <i x="2" s="1"/>
        <i x="3"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3439659A-53E1-410C-B07A-CCDE944A173A}" sourceName="Customer Type">
  <pivotTables>
    <pivotTable tabId="3" name="CITY_SALES"/>
    <pivotTable tabId="3" name="DASHBOARD-KPI"/>
    <pivotTable tabId="3" name="PT_CustomerType"/>
    <pivotTable tabId="3" name="PT_Monthly"/>
    <pivotTable tabId="3" name="PT_PaymentMode"/>
    <pivotTable tabId="3" name="PT_PROFITTREND"/>
    <pivotTable tabId="3" name="PT_Region"/>
    <pivotTable tabId="3" name="PT_Sales"/>
    <pivotTable tabId="3" name="DASHBOARD_ORDER_STATUS"/>
  </pivotTables>
  <data>
    <tabular pivotCacheId="1145008431">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B7775D4-822D-4044-9D8B-8E8ABAEB482A}" cache="Slicer_Region" caption="Region" columnCount="4" style="SlicerStyleDark1 2" rowHeight="252000"/>
  <slicer name="Payment Mode 1" xr10:uid="{0011CBE9-FB39-4ACE-ADC9-85B573B0BC9F}" cache="Slicer_Payment_Mode" caption="Payment Mode" columnCount="2" style="SlicerStyleDark1 2" rowHeight="180000"/>
  <slicer name="City 1" xr10:uid="{735D36A0-EB0D-4B27-A7E1-918A9A78472B}" cache="Slicer_Customer_City" caption="City" columnCount="4" style="SlicerStyleDark1 2" rowHeight="216000"/>
  <slicer name="Sales Channel" xr10:uid="{90BB04FF-A9C0-4AEC-9EA5-B9A5E12542B2}" cache="Slicer_Sales_Channel1" caption="Sales Channel" columnCount="2" style="SlicerStyleDark1 2" rowHeight="180000"/>
  <slicer name="Customer Type 2" xr10:uid="{E506945D-554C-4791-8465-7A4FF0948544}" cache="Slicer_Customer_Type" caption="Type Customer " style="SlicerStyleDark1 2"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76CA8BC-467F-4F92-8534-2CD940EFF361}" cache="Slicer_Region1" caption="Region" columnCount="4" style="SlicerStyleDark1 2" rowHeight="216000"/>
  <slicer name="Payment Mode" xr10:uid="{21A9AB59-88B6-47A1-B11F-D67C71E9E953}" cache="Slicer_Payment_Mode1" caption="Payment Mode" columnCount="2" style="SlicerStyleDark1 2" rowHeight="216000"/>
  <slicer name="Customer Type" xr10:uid="{DCBCB428-842D-431E-8198-1029AFCBB548}" cache="Slicer_Customer_Type1" caption="Type Customer " style="SlicerStyleDark1 2" rowHeight="216000"/>
  <slicer name="Customer City" xr10:uid="{3EDB756E-F818-4E0A-B237-EB6D8BA81F97}" cache="Slicer_Customer_City1" caption="Customer City" columnCount="4" style="SlicerStyleDark1 2" rowHeight="216000"/>
  <slicer name="Sales Channel 3" xr10:uid="{E440DDB5-A328-4A0F-8AFA-03EA3A64561D}" cache="Slicer_Sales_Channel2" caption="Sales Channel" columnCount="2" style="SlicerStyleDark1 2" rowHeight="216000"/>
  <slicer name="Item" xr10:uid="{E515F8E8-4582-4B08-AD47-F0B5D6AF8AA9}" cache="Slicer_Item" caption="Item" style="SlicerStyleDark1 2" rowHeight="25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man 1" xr10:uid="{A05619B4-8A92-4140-B9AD-FF59EC0BEDF6}" cache="Slicer_Salesman" caption="Salesman Team" style="SlicerStyleDark1 2" rowHeight="252000"/>
  <slicer name="Region 4" xr10:uid="{9A4F1C1E-0EF1-4FBF-8707-FD3097713F89}" cache="Slicer_Region2" caption="Region" columnCount="4" style="SlicerStyleDark1 2" rowHeight="216000"/>
  <slicer name="Payment Mode 4" xr10:uid="{3401BC84-245D-4D85-83D8-E2216A408D19}" cache="Slicer_Payment_Mode2" caption="Payment Mode" startItem="2" columnCount="2" style="SlicerStyleDark1 2" rowHeight="216000"/>
  <slicer name="Customer Type 4" xr10:uid="{E6061E42-60F2-4C43-955E-BF54D3DA5761}" cache="Slicer_Customer_Type2" caption="Type Customer " style="SlicerStyleDark1 2" rowHeight="216000"/>
  <slicer name="Customer City 3" xr10:uid="{16192557-7A0E-4E3E-94C5-6FF21A0F2002}" cache="Slicer_Customer_City2" caption="Customer City" columnCount="4" style="SlicerStyleDark1 2" rowHeight="216000"/>
  <slicer name="Sales Channel 2" xr10:uid="{A1935A2F-1385-4AF5-B168-711962C4BEEA}" cache="Slicer_Sales_Channel" caption="Sales Channel" columnCount="2" style="SlicerStyleDark1 2"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68E212-4D99-4D9E-ABDC-820C354CBFCA}" name="Table2" displayName="Table2" ref="AA6:AE18" totalsRowShown="0" headerRowDxfId="3338" headerRowBorderDxfId="3337" tableBorderDxfId="3336" totalsRowBorderDxfId="3335">
  <autoFilter ref="AA6:AE18" xr:uid="{6B68E212-4D99-4D9E-ABDC-820C354CBFCA}"/>
  <tableColumns count="5">
    <tableColumn id="1" xr3:uid="{B5AE6DCB-CBAD-4E77-B300-9774CA2D77E8}" name="Month" dataDxfId="3334"/>
    <tableColumn id="2" xr3:uid="{23256EE4-E328-46A3-BA76-2255CFB44EC8}" name="Net Sales" dataDxfId="3333">
      <calculatedColumnFormula>GETPIVOTDATA("Net Sales",$X$5,"Months (Date)",AA7)</calculatedColumnFormula>
    </tableColumn>
    <tableColumn id="3" xr3:uid="{1A973943-FA7F-4CDB-A97F-ED2A3DD6E084}" name="Target" dataDxfId="3332">
      <calculatedColumnFormula>GETPIVOTDATA("Target",$T$14,"Month ",AA7)</calculatedColumnFormula>
    </tableColumn>
    <tableColumn id="4" xr3:uid="{92A425A1-BA57-4282-9AE6-443CE9C40677}" name="Net Sales2" dataDxfId="3331">
      <calculatedColumnFormula>Table2[[#This Row],[Net Sales]]/100000</calculatedColumnFormula>
    </tableColumn>
    <tableColumn id="5" xr3:uid="{0FF538F2-4FB5-40EA-989D-C37200620166}" name="Target3" dataDxfId="3330">
      <calculatedColumnFormula>Table2[[#This Row],[Target]]/100000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6C5C7C3-218D-408C-81A1-FEC923BFCA82}" name="Table6" displayName="Table6" ref="J18:L30" totalsRowShown="0" headerRowDxfId="3329" headerRowBorderDxfId="3328" tableBorderDxfId="3327" totalsRowBorderDxfId="3326">
  <autoFilter ref="J18:L30" xr:uid="{C6C5C7C3-218D-408C-81A1-FEC923BFCA82}"/>
  <tableColumns count="3">
    <tableColumn id="1" xr3:uid="{9DF9E655-A360-4217-8C7B-DD6317AF889E}" name="MONTH" dataDxfId="3325"/>
    <tableColumn id="2" xr3:uid="{23C95DF6-24FB-4101-998E-A0EB6CA62D43}" name="PROFIT " dataDxfId="3324"/>
    <tableColumn id="3" xr3:uid="{8293D25B-3047-4854-8CDF-589C5D443082}" name="IN LAKH " dataDxfId="3323">
      <calculatedColumnFormula>K19/100000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9C7823-9B79-4D6F-903B-1FBF1A536635}" name="Table3" displayName="Table3" ref="F10:H14" totalsRowShown="0" headerRowBorderDxfId="3322" tableBorderDxfId="3321" totalsRowBorderDxfId="3320">
  <autoFilter ref="F10:H14" xr:uid="{269C7823-9B79-4D6F-903B-1FBF1A536635}"/>
  <sortState xmlns:xlrd2="http://schemas.microsoft.com/office/spreadsheetml/2017/richdata2" ref="F11:H14">
    <sortCondition descending="1" ref="H10:H14"/>
  </sortState>
  <tableColumns count="3">
    <tableColumn id="1" xr3:uid="{3CE1945A-C1B6-40C5-9BD0-A33711B2F540}" name="Column1" dataDxfId="3319"/>
    <tableColumn id="2" xr3:uid="{76111425-F118-4BC3-BE7A-FDA147B5CE8B}" name="Column2" dataDxfId="3318">
      <calculatedColumnFormula>GETPIVOTDATA("Net Sales",$F$3,"Region",F11)</calculatedColumnFormula>
    </tableColumn>
    <tableColumn id="3" xr3:uid="{F1224F08-FE22-433C-9F24-ABBACF8D015E}" name="Column3" dataDxfId="3317">
      <calculatedColumnFormula>G11/100000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9C7ADA6-965D-4CD7-A7F3-365929403F3D}" name="Table9" displayName="Table9" ref="S19:S25" totalsRowShown="0" headerRowDxfId="3273" dataDxfId="3272">
  <autoFilter ref="S19:S25" xr:uid="{99C7ADA6-965D-4CD7-A7F3-365929403F3D}"/>
  <sortState xmlns:xlrd2="http://schemas.microsoft.com/office/spreadsheetml/2017/richdata2" ref="S20:S25">
    <sortCondition descending="1" ref="S20:S25"/>
  </sortState>
  <tableColumns count="1">
    <tableColumn id="1" xr3:uid="{90EBFF42-7648-45AA-AD49-9E3C4175F727}" name="AOV" dataDxfId="3271">
      <calculatedColumnFormula>GETPIVOTDATA("Sum of Net Sales",O20,"Salesman",O20)/GETPIVOTDATA("Count of S No",O19,"Salesman",O20)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811C1C-A1AD-44C4-A36C-711917E8C84F}" name="Table1" displayName="Table1" ref="A3:B15" totalsRowShown="0" headerRowDxfId="3270" dataDxfId="3269">
  <autoFilter ref="A3:B15" xr:uid="{35811C1C-A1AD-44C4-A36C-711917E8C84F}"/>
  <tableColumns count="2">
    <tableColumn id="1" xr3:uid="{4AC7188A-36F4-4A04-BE05-DBAFEE14D8E8}" name="Month " dataDxfId="3268"/>
    <tableColumn id="2" xr3:uid="{DAAA152F-994C-420F-8B3E-5D8B9A5774FB}" name="Target" dataDxfId="3267"/>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2E8B91D-DB44-4663-B82A-482720C152D5}" sourceName="Date">
  <pivotTables>
    <pivotTable tabId="3" name="CITY_SALES"/>
    <pivotTable tabId="3" name="DASHBOARD-KPI"/>
    <pivotTable tabId="3" name="PT_CustomerType"/>
    <pivotTable tabId="3" name="PT_Monthly"/>
    <pivotTable tabId="3" name="PT_PaymentMode"/>
    <pivotTable tabId="3" name="PT_PROFITTREND"/>
    <pivotTable tabId="3" name="PT_Region"/>
    <pivotTable tabId="3" name="PT_Sales"/>
    <pivotTable tabId="3" name="DASHBOARD_ORDER_STATUS"/>
  </pivotTables>
  <state minimalRefreshVersion="6" lastRefreshVersion="6" pivotCacheId="1145008431" filterType="unknown">
    <bounds startDate="2021-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6B63CB43-5DFC-45B2-A95B-0EB63BCDEDC3}" sourceName="Date">
  <pivotTables>
    <pivotTable tabId="11" name="PRODUCT_TOP-KPI"/>
    <pivotTable tabId="11" name="PRODUCT_PROFIT"/>
    <pivotTable tabId="11" name="PRODUCT_PROFIT-MARGIN"/>
    <pivotTable tabId="11" name="PRODUCT_QTY"/>
    <pivotTable tabId="11" name="PRODUCT_SALES"/>
    <pivotTable tabId="11" name="PRODUCT-KPI"/>
    <pivotTable tabId="11" name="PRODUCT-PF-KPI"/>
    <pivotTable tabId="11" name="PRODUCT-ORDER_STATUS"/>
  </pivotTables>
  <state minimalRefreshVersion="6" lastRefreshVersion="6" pivotCacheId="1145008431" filterType="unknown">
    <bounds startDate="2021-01-01T00:00:00" endDate="2023-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2" xr10:uid="{DE58865B-2897-4D76-978E-6F819D23DA64}" sourceName="Date">
  <pivotTables>
    <pivotTable tabId="16" name="SALESMAN_KPI"/>
    <pivotTable tabId="16" name="SALESMAN_ORDER_STATUS"/>
    <pivotTable tabId="16" name="SALESMAN_PROFIT-MARGIN"/>
    <pivotTable tabId="16" name="SALESMAN_RANKING"/>
    <pivotTable tabId="16" name="SALESMAN_TOP-KPI"/>
    <pivotTable tabId="16" name="SALESMAN-KPI"/>
    <pivotTable tabId="16" name="SALESMAN-SALES_PROFIT"/>
    <pivotTable tabId="16" name="SLAESMAN AOV"/>
  </pivotTables>
  <state minimalRefreshVersion="6" lastRefreshVersion="6" pivotCacheId="1145008431"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819B7F0-AD1D-4EF8-9F75-C547A4DB07E3}" cache="NativeTimeline_Date" caption="Date" level="2" selectionLevel="2" scrollPosition="2021-01-01T00:00:00" style="TimeSlicerStyleLight1 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EEB54BFB-6D50-4F52-88E4-75F97A26073F}" cache="NativeTimeline_Date1" caption="Date" level="2" selectionLevel="2" scrollPosition="2021-01-01T00:00:00" style="TimeSlicerStyleLight1 2"/>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C151C8E2-A803-40B1-87CD-19FD41F4A5D9}" cache="NativeTimeline_Date2" caption="Date" level="2" selectionLevel="2" scrollPosition="2021-01-01T00:00:00" style="TimeSlicerStyleLight1 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5.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26.xml"/><Relationship Id="rId3" Type="http://schemas.openxmlformats.org/officeDocument/2006/relationships/pivotTable" Target="../pivotTables/pivotTable21.xml"/><Relationship Id="rId7" Type="http://schemas.openxmlformats.org/officeDocument/2006/relationships/pivotTable" Target="../pivotTables/pivotTable25.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ivotTable" Target="../pivotTables/pivotTable24.xml"/><Relationship Id="rId5" Type="http://schemas.openxmlformats.org/officeDocument/2006/relationships/pivotTable" Target="../pivotTables/pivotTable23.xml"/><Relationship Id="rId4" Type="http://schemas.openxmlformats.org/officeDocument/2006/relationships/pivotTable" Target="../pivotTables/pivotTable22.xml"/><Relationship Id="rId9"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AD174-78A5-4186-AE42-4ADF124FDA12}">
  <sheetPr>
    <tabColor theme="9" tint="-0.249977111117893"/>
  </sheetPr>
  <dimension ref="V11"/>
  <sheetViews>
    <sheetView showGridLines="0" tabSelected="1" zoomScaleNormal="100" workbookViewId="0"/>
  </sheetViews>
  <sheetFormatPr defaultRowHeight="18.75" x14ac:dyDescent="0.3"/>
  <cols>
    <col min="1" max="1" width="3" customWidth="1"/>
  </cols>
  <sheetData>
    <row r="11" spans="22:22" x14ac:dyDescent="0.3">
      <c r="V11" s="33"/>
    </row>
  </sheetData>
  <sheetProtection algorithmName="SHA-512" hashValue="IjowYQl144ledzRfOyRru5GwDBIQCYF+nofvZ7/li1KMlypNs3hZpqjx/uqFYONWG1IaacC0pEQnkp8s+Xi1Ow==" saltValue="xIv0WpWoXvSoKbQkbRKSwQ==" spinCount="100000" sheet="1" objects="1" scenarios="1" pivotTables="0"/>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1D9B1-C6FB-417D-96EE-6649F288E82F}">
  <sheetPr>
    <tabColor rgb="FF00D0CB"/>
  </sheetPr>
  <dimension ref="V11"/>
  <sheetViews>
    <sheetView showGridLines="0" workbookViewId="0"/>
  </sheetViews>
  <sheetFormatPr defaultRowHeight="18.75" x14ac:dyDescent="0.3"/>
  <cols>
    <col min="1" max="1" width="3" customWidth="1"/>
  </cols>
  <sheetData>
    <row r="11" spans="22:22" x14ac:dyDescent="0.3">
      <c r="V11" s="33"/>
    </row>
  </sheetData>
  <sheetProtection algorithmName="SHA-512" hashValue="TpwMHSVCIXXl7Xtt/FSR4FWQ5ZIZd/Hj6c+UTApQwA1xG+yhn4rya464wPmVSZz4cU7cNaaQ4IyYoHJkL/HvDw==" saltValue="7d/n5611OFfDOd6FzyM5Eg==" spinCount="100000" sheet="1" scenarios="1" pivotTables="0"/>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98A3D-32E5-4C8B-95F2-5DB80765109E}">
  <sheetPr>
    <tabColor rgb="FF00D0CB"/>
  </sheetPr>
  <dimension ref="V11"/>
  <sheetViews>
    <sheetView showGridLines="0" zoomScaleNormal="100" workbookViewId="0"/>
  </sheetViews>
  <sheetFormatPr defaultRowHeight="18.75" x14ac:dyDescent="0.3"/>
  <cols>
    <col min="1" max="1" width="2.69921875" customWidth="1"/>
  </cols>
  <sheetData>
    <row r="11" spans="22:22" x14ac:dyDescent="0.3">
      <c r="V11" s="33"/>
    </row>
  </sheetData>
  <sheetProtection algorithmName="SHA-512" hashValue="nkORCgtMhjdF5u3YhxnPKiWT61O2FiEMSru0a1FrUY+cf9OLBhBaYYpLjdWEXnaG1OQwK0DHMybipAkWYg/LnQ==" saltValue="gQhY3KL4dt0TiaHFfKEmnw==" spinCount="100000" sheet="1" scenarios="1" pivotTables="0"/>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F0FF1-55B3-4645-9BC8-DA738BF366F7}">
  <sheetPr>
    <tabColor rgb="FF00D0CB"/>
  </sheetPr>
  <dimension ref="V11"/>
  <sheetViews>
    <sheetView showGridLines="0" zoomScaleNormal="100" workbookViewId="0"/>
  </sheetViews>
  <sheetFormatPr defaultRowHeight="18.75" x14ac:dyDescent="0.3"/>
  <cols>
    <col min="1" max="1" width="2.8984375" customWidth="1"/>
  </cols>
  <sheetData>
    <row r="11" spans="22:22" x14ac:dyDescent="0.3">
      <c r="V11" s="33"/>
    </row>
  </sheetData>
  <sheetProtection algorithmName="SHA-512" hashValue="RfcUTxE/gXz9d3aVWgDFPvZaq06fKZb/qSoVOzgO3qczFh3ie23W83uBCtvlDzjucofYAnYxWL3pOXAFOQN8gg==" saltValue="ciXrSRrz8tz6nzGD+lj62A==" spinCount="100000" sheet="1" objects="1" scenarios="1" deleteRows="0"/>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DA70A-4898-4333-A268-4070DA40F98C}">
  <sheetPr>
    <tabColor rgb="FFD6A300"/>
  </sheetPr>
  <dimension ref="B1:AQ30"/>
  <sheetViews>
    <sheetView workbookViewId="0">
      <selection activeCell="G27" sqref="G27"/>
    </sheetView>
  </sheetViews>
  <sheetFormatPr defaultRowHeight="18.75" x14ac:dyDescent="0.3"/>
  <cols>
    <col min="1" max="1" width="4.19921875" customWidth="1"/>
    <col min="2" max="2" width="14.09765625" bestFit="1" customWidth="1"/>
    <col min="3" max="3" width="11.09765625" bestFit="1" customWidth="1"/>
    <col min="4" max="4" width="9.3984375" bestFit="1" customWidth="1"/>
    <col min="6" max="6" width="25.796875" bestFit="1" customWidth="1"/>
    <col min="7" max="7" width="14.09765625" bestFit="1" customWidth="1"/>
    <col min="8" max="8" width="9.3984375" customWidth="1"/>
    <col min="9" max="9" width="11.3984375" bestFit="1" customWidth="1"/>
    <col min="10" max="10" width="23" bestFit="1" customWidth="1"/>
    <col min="11" max="11" width="11.09765625" bestFit="1" customWidth="1"/>
    <col min="12" max="12" width="11.3984375" bestFit="1" customWidth="1"/>
    <col min="13" max="13" width="22.796875" bestFit="1" customWidth="1"/>
    <col min="14" max="14" width="14.09765625" bestFit="1" customWidth="1"/>
    <col min="15" max="15" width="12.796875" bestFit="1" customWidth="1"/>
    <col min="16" max="19" width="11.3984375" bestFit="1" customWidth="1"/>
    <col min="20" max="20" width="14.19921875" bestFit="1" customWidth="1"/>
    <col min="21" max="21" width="14.09765625" bestFit="1" customWidth="1"/>
    <col min="22" max="22" width="15.3984375" customWidth="1"/>
    <col min="23" max="23" width="9.296875" bestFit="1" customWidth="1"/>
    <col min="24" max="24" width="25" bestFit="1" customWidth="1"/>
    <col min="25" max="25" width="14.09765625" bestFit="1" customWidth="1"/>
    <col min="26" max="26" width="11.3984375" bestFit="1" customWidth="1"/>
    <col min="27" max="27" width="14.09765625" bestFit="1" customWidth="1"/>
    <col min="28" max="28" width="12.09765625" customWidth="1"/>
    <col min="30" max="30" width="11.3984375" bestFit="1" customWidth="1"/>
    <col min="31" max="31" width="14.09765625" bestFit="1" customWidth="1"/>
    <col min="33" max="33" width="12.796875" bestFit="1" customWidth="1"/>
    <col min="34" max="34" width="14.09765625" bestFit="1" customWidth="1"/>
    <col min="35" max="35" width="15.59765625" bestFit="1" customWidth="1"/>
    <col min="36" max="36" width="16.296875" customWidth="1"/>
    <col min="37" max="37" width="11.3984375" bestFit="1" customWidth="1"/>
    <col min="38" max="38" width="14.09765625" bestFit="1" customWidth="1"/>
    <col min="39" max="39" width="10.796875" bestFit="1" customWidth="1"/>
    <col min="40" max="40" width="37.3984375" bestFit="1" customWidth="1"/>
    <col min="41" max="41" width="11.796875" bestFit="1" customWidth="1"/>
    <col min="42" max="42" width="9" bestFit="1" customWidth="1"/>
    <col min="43" max="43" width="12.5" bestFit="1" customWidth="1"/>
    <col min="44" max="44" width="10" bestFit="1" customWidth="1"/>
  </cols>
  <sheetData>
    <row r="1" spans="2:43" x14ac:dyDescent="0.3">
      <c r="B1" s="27" t="s">
        <v>15</v>
      </c>
      <c r="C1" t="s">
        <v>31</v>
      </c>
      <c r="F1" s="80" t="s">
        <v>15</v>
      </c>
      <c r="G1" s="76" t="s">
        <v>31</v>
      </c>
      <c r="J1" s="49" t="s">
        <v>15</v>
      </c>
      <c r="K1" s="1" t="s">
        <v>31</v>
      </c>
      <c r="M1" s="49" t="s">
        <v>15</v>
      </c>
      <c r="N1" s="1" t="s">
        <v>31</v>
      </c>
      <c r="Q1" s="27" t="s">
        <v>15</v>
      </c>
      <c r="R1" t="s">
        <v>31</v>
      </c>
    </row>
    <row r="2" spans="2:43" x14ac:dyDescent="0.3">
      <c r="F2" s="75" t="s">
        <v>567</v>
      </c>
      <c r="G2" s="75"/>
      <c r="H2" s="74"/>
      <c r="J2" s="66" t="s">
        <v>568</v>
      </c>
      <c r="K2" s="66"/>
      <c r="L2" s="74"/>
      <c r="M2" s="58" t="s">
        <v>569</v>
      </c>
      <c r="N2" s="58"/>
      <c r="Q2" s="67" t="s">
        <v>571</v>
      </c>
      <c r="R2" s="67"/>
      <c r="T2" s="27" t="s">
        <v>15</v>
      </c>
      <c r="U2" t="s">
        <v>31</v>
      </c>
      <c r="AK2" s="68"/>
      <c r="AL2" s="68"/>
      <c r="AM2" s="68"/>
      <c r="AO2" s="103"/>
      <c r="AP2" s="103"/>
      <c r="AQ2" s="103"/>
    </row>
    <row r="3" spans="2:43" x14ac:dyDescent="0.3">
      <c r="B3" t="s">
        <v>538</v>
      </c>
      <c r="C3" t="s">
        <v>535</v>
      </c>
      <c r="F3" s="49" t="s">
        <v>536</v>
      </c>
      <c r="G3" s="1" t="s">
        <v>538</v>
      </c>
      <c r="H3" s="77"/>
      <c r="J3" s="49" t="s">
        <v>536</v>
      </c>
      <c r="K3" s="1" t="s">
        <v>554</v>
      </c>
      <c r="L3" s="54"/>
      <c r="M3" s="49" t="s">
        <v>536</v>
      </c>
      <c r="N3" s="1" t="s">
        <v>538</v>
      </c>
      <c r="Q3" s="27" t="s">
        <v>536</v>
      </c>
      <c r="R3" t="s">
        <v>538</v>
      </c>
      <c r="T3" s="31" t="s">
        <v>566</v>
      </c>
      <c r="U3" s="31"/>
      <c r="V3" s="31"/>
      <c r="X3" s="49" t="s">
        <v>15</v>
      </c>
      <c r="Y3" s="1" t="s">
        <v>31</v>
      </c>
      <c r="AM3" s="32"/>
      <c r="AQ3" s="32"/>
    </row>
    <row r="4" spans="2:43" x14ac:dyDescent="0.3">
      <c r="B4" s="26">
        <v>7944646.6999999974</v>
      </c>
      <c r="C4" s="43">
        <v>8572</v>
      </c>
      <c r="D4" s="104" t="s">
        <v>566</v>
      </c>
      <c r="F4" s="48" t="s">
        <v>80</v>
      </c>
      <c r="G4" s="24">
        <v>759495.1</v>
      </c>
      <c r="H4" s="78"/>
      <c r="J4" s="48" t="s">
        <v>539</v>
      </c>
      <c r="K4" s="60">
        <v>207661</v>
      </c>
      <c r="L4" s="54"/>
      <c r="M4" s="48" t="s">
        <v>56</v>
      </c>
      <c r="N4" s="60">
        <v>889326.1</v>
      </c>
      <c r="Q4" s="28" t="s">
        <v>37</v>
      </c>
      <c r="R4" s="26">
        <v>2083887.4000000006</v>
      </c>
      <c r="T4" t="s">
        <v>554</v>
      </c>
      <c r="U4" t="s">
        <v>538</v>
      </c>
      <c r="V4" s="32" t="s">
        <v>556</v>
      </c>
      <c r="X4" s="31" t="s">
        <v>570</v>
      </c>
      <c r="Y4" s="31"/>
      <c r="AA4" s="31" t="s">
        <v>573</v>
      </c>
      <c r="AB4" s="31"/>
      <c r="AC4" s="31"/>
      <c r="AD4" s="31"/>
      <c r="AE4" s="31"/>
      <c r="AM4" s="45"/>
      <c r="AQ4" s="45"/>
    </row>
    <row r="5" spans="2:43" x14ac:dyDescent="0.3">
      <c r="B5" s="42">
        <f>GETPIVOTDATA("Sum of Net Sales",$B$3)</f>
        <v>7944646.6999999974</v>
      </c>
      <c r="C5" s="43">
        <f>GETPIVOTDATA("Sum of Qty",$B$3)</f>
        <v>8572</v>
      </c>
      <c r="D5" s="104"/>
      <c r="F5" s="48" t="s">
        <v>82</v>
      </c>
      <c r="G5" s="24">
        <v>1632543.9000000001</v>
      </c>
      <c r="H5" s="78"/>
      <c r="J5" s="48" t="s">
        <v>540</v>
      </c>
      <c r="K5" s="60">
        <v>208778.80000000002</v>
      </c>
      <c r="L5" s="54"/>
      <c r="M5" s="48" t="s">
        <v>38</v>
      </c>
      <c r="N5" s="60">
        <v>856545.10000000009</v>
      </c>
      <c r="Q5" s="28" t="s">
        <v>32</v>
      </c>
      <c r="R5" s="26">
        <v>2001541.5</v>
      </c>
      <c r="T5" s="59">
        <v>2147316.7000000011</v>
      </c>
      <c r="U5" s="59">
        <v>7944646.6999999974</v>
      </c>
      <c r="V5" s="45">
        <f>IFERROR(GETPIVOTDATA("Sum of Profit",$T$4)/GETPIVOTDATA("Sum of Net Sales",$T$4),"0.00 %")</f>
        <v>0.2702847314783679</v>
      </c>
      <c r="X5" s="49" t="s">
        <v>536</v>
      </c>
      <c r="Y5" s="1" t="s">
        <v>538</v>
      </c>
      <c r="AK5" s="59"/>
      <c r="AL5" s="59"/>
      <c r="AO5" s="26"/>
      <c r="AP5" s="26"/>
    </row>
    <row r="6" spans="2:43" x14ac:dyDescent="0.3">
      <c r="F6" s="48" t="s">
        <v>28</v>
      </c>
      <c r="G6" s="24">
        <v>1748893.9000000006</v>
      </c>
      <c r="H6" s="78"/>
      <c r="J6" s="48" t="s">
        <v>541</v>
      </c>
      <c r="K6" s="60">
        <v>149141.4</v>
      </c>
      <c r="L6" s="54"/>
      <c r="M6" s="48" t="s">
        <v>46</v>
      </c>
      <c r="N6" s="60">
        <v>836025.2</v>
      </c>
      <c r="Q6" s="28" t="s">
        <v>24</v>
      </c>
      <c r="R6" s="26">
        <v>1947003.7</v>
      </c>
      <c r="T6" s="59">
        <f>GETPIVOTDATA("Sum of Profit",$T$4)</f>
        <v>2147316.7000000011</v>
      </c>
      <c r="U6" s="34">
        <f>GETPIVOTDATA("Sum of Net Sales",$T$4)</f>
        <v>7944646.6999999974</v>
      </c>
      <c r="X6" s="48" t="s">
        <v>539</v>
      </c>
      <c r="Y6" s="60">
        <v>791621</v>
      </c>
      <c r="AA6" s="37" t="s">
        <v>558</v>
      </c>
      <c r="AB6" s="38" t="s">
        <v>10</v>
      </c>
      <c r="AC6" s="39" t="s">
        <v>551</v>
      </c>
      <c r="AD6" s="38" t="s">
        <v>559</v>
      </c>
      <c r="AE6" s="38" t="s">
        <v>560</v>
      </c>
    </row>
    <row r="7" spans="2:43" x14ac:dyDescent="0.3">
      <c r="F7" s="48" t="s">
        <v>20</v>
      </c>
      <c r="G7" s="24">
        <v>3803713.8000000007</v>
      </c>
      <c r="H7" s="78"/>
      <c r="J7" s="48" t="s">
        <v>542</v>
      </c>
      <c r="K7" s="60">
        <v>182212.7</v>
      </c>
      <c r="L7" s="54"/>
      <c r="M7" s="48" t="s">
        <v>88</v>
      </c>
      <c r="N7" s="60">
        <v>808541.09999999986</v>
      </c>
      <c r="Q7" s="28" t="s">
        <v>48</v>
      </c>
      <c r="R7" s="26">
        <v>1912214.1</v>
      </c>
      <c r="X7" s="48" t="s">
        <v>540</v>
      </c>
      <c r="Y7" s="60">
        <v>773328.79999999993</v>
      </c>
      <c r="AA7" s="35" t="s">
        <v>539</v>
      </c>
      <c r="AB7" s="69">
        <f t="shared" ref="AB7:AB18" si="0">GETPIVOTDATA("Net Sales",$X$5,"Months (Date)",AA7)</f>
        <v>791621</v>
      </c>
      <c r="AC7" s="36">
        <f t="shared" ref="AC7:AC18" si="1">GETPIVOTDATA("Target",$T$14,"Month ",AA7)</f>
        <v>660000</v>
      </c>
      <c r="AD7" s="57">
        <f>Table2[[#This Row],[Net Sales]]/100000</f>
        <v>7.9162100000000004</v>
      </c>
      <c r="AE7" s="57">
        <f>Table2[[#This Row],[Target]]/100000</f>
        <v>6.6</v>
      </c>
    </row>
    <row r="8" spans="2:43" x14ac:dyDescent="0.3">
      <c r="D8" s="46"/>
      <c r="F8" s="50" t="s">
        <v>537</v>
      </c>
      <c r="G8" s="51">
        <v>7944646.7000000011</v>
      </c>
      <c r="H8" s="78"/>
      <c r="J8" s="48" t="s">
        <v>543</v>
      </c>
      <c r="K8" s="60">
        <v>190841.1</v>
      </c>
      <c r="L8" s="54"/>
      <c r="M8" s="48" t="s">
        <v>50</v>
      </c>
      <c r="N8" s="60">
        <v>803364.29999999993</v>
      </c>
      <c r="Q8" s="28" t="s">
        <v>537</v>
      </c>
      <c r="R8" s="26">
        <v>7944646.7000000011</v>
      </c>
      <c r="X8" s="48" t="s">
        <v>541</v>
      </c>
      <c r="Y8" s="60">
        <v>589531.39999999991</v>
      </c>
      <c r="AA8" s="35" t="s">
        <v>540</v>
      </c>
      <c r="AB8" s="69">
        <f t="shared" si="0"/>
        <v>773328.79999999993</v>
      </c>
      <c r="AC8" s="36">
        <f t="shared" si="1"/>
        <v>660000</v>
      </c>
      <c r="AD8" s="57">
        <f>Table2[[#This Row],[Net Sales]]/100000</f>
        <v>7.7332879999999991</v>
      </c>
      <c r="AE8" s="57">
        <f>Table2[[#This Row],[Target]]/100000</f>
        <v>6.6</v>
      </c>
    </row>
    <row r="9" spans="2:43" x14ac:dyDescent="0.3">
      <c r="B9" s="26"/>
      <c r="C9" s="43"/>
      <c r="D9" s="46"/>
      <c r="F9" s="76"/>
      <c r="G9" s="53"/>
      <c r="H9" s="54"/>
      <c r="J9" s="48" t="s">
        <v>544</v>
      </c>
      <c r="K9" s="60">
        <v>155840.60000000003</v>
      </c>
      <c r="L9" s="54"/>
      <c r="M9" s="48" t="s">
        <v>63</v>
      </c>
      <c r="N9" s="60">
        <v>801512.99999999977</v>
      </c>
      <c r="X9" s="48" t="s">
        <v>542</v>
      </c>
      <c r="Y9" s="60">
        <v>677512.7</v>
      </c>
      <c r="AA9" s="35" t="s">
        <v>541</v>
      </c>
      <c r="AB9" s="69">
        <f t="shared" si="0"/>
        <v>589531.39999999991</v>
      </c>
      <c r="AC9" s="36">
        <f t="shared" si="1"/>
        <v>660000</v>
      </c>
      <c r="AD9" s="57">
        <f>Table2[[#This Row],[Net Sales]]/100000</f>
        <v>5.8953139999999991</v>
      </c>
      <c r="AE9" s="57">
        <f>Table2[[#This Row],[Target]]/100000</f>
        <v>6.6</v>
      </c>
    </row>
    <row r="10" spans="2:43" x14ac:dyDescent="0.3">
      <c r="F10" s="99" t="s">
        <v>586</v>
      </c>
      <c r="G10" s="100" t="s">
        <v>587</v>
      </c>
      <c r="H10" s="101" t="s">
        <v>588</v>
      </c>
      <c r="J10" s="48" t="s">
        <v>545</v>
      </c>
      <c r="K10" s="60">
        <v>163502.69999999998</v>
      </c>
      <c r="L10" s="54"/>
      <c r="M10" s="48" t="s">
        <v>25</v>
      </c>
      <c r="N10" s="60">
        <v>779744.79999999993</v>
      </c>
      <c r="Q10" s="27" t="s">
        <v>15</v>
      </c>
      <c r="R10" t="s">
        <v>31</v>
      </c>
      <c r="U10" s="6"/>
      <c r="X10" s="48" t="s">
        <v>543</v>
      </c>
      <c r="Y10" s="60">
        <v>674811.1</v>
      </c>
      <c r="AA10" s="35" t="s">
        <v>542</v>
      </c>
      <c r="AB10" s="69">
        <f t="shared" si="0"/>
        <v>677512.7</v>
      </c>
      <c r="AC10" s="36">
        <f t="shared" si="1"/>
        <v>660000</v>
      </c>
      <c r="AD10" s="57">
        <f>Table2[[#This Row],[Net Sales]]/100000</f>
        <v>6.7751269999999995</v>
      </c>
      <c r="AE10" s="57">
        <f>Table2[[#This Row],[Target]]/100000</f>
        <v>6.6</v>
      </c>
    </row>
    <row r="11" spans="2:43" x14ac:dyDescent="0.3">
      <c r="F11" s="35" t="s">
        <v>20</v>
      </c>
      <c r="G11" s="24">
        <f>GETPIVOTDATA("Net Sales",$F$3,"Region",F11)</f>
        <v>3803713.8000000007</v>
      </c>
      <c r="H11" s="98">
        <f>G11/100000</f>
        <v>38.037138000000006</v>
      </c>
      <c r="J11" s="48" t="s">
        <v>546</v>
      </c>
      <c r="K11" s="60">
        <v>178212.3</v>
      </c>
      <c r="L11" s="54"/>
      <c r="M11" s="48" t="s">
        <v>66</v>
      </c>
      <c r="N11" s="60">
        <v>753980.00000000012</v>
      </c>
      <c r="Q11" s="67" t="s">
        <v>572</v>
      </c>
      <c r="R11" s="67"/>
      <c r="X11" s="48" t="s">
        <v>544</v>
      </c>
      <c r="Y11" s="60">
        <v>578610.59999999986</v>
      </c>
      <c r="AA11" s="35" t="s">
        <v>543</v>
      </c>
      <c r="AB11" s="69">
        <f t="shared" si="0"/>
        <v>674811.1</v>
      </c>
      <c r="AC11" s="36">
        <f t="shared" si="1"/>
        <v>660000</v>
      </c>
      <c r="AD11" s="57">
        <f>Table2[[#This Row],[Net Sales]]/100000</f>
        <v>6.7481109999999997</v>
      </c>
      <c r="AE11" s="57">
        <f>Table2[[#This Row],[Target]]/100000</f>
        <v>6.6</v>
      </c>
    </row>
    <row r="12" spans="2:43" x14ac:dyDescent="0.3">
      <c r="D12" s="47"/>
      <c r="F12" s="35" t="s">
        <v>28</v>
      </c>
      <c r="G12" s="24">
        <f>GETPIVOTDATA("Net Sales",$F$3,"Region",F12)</f>
        <v>1748893.9000000006</v>
      </c>
      <c r="H12" s="98">
        <f>G12/100000</f>
        <v>17.488939000000006</v>
      </c>
      <c r="J12" s="48" t="s">
        <v>547</v>
      </c>
      <c r="K12" s="60">
        <v>205992.2</v>
      </c>
      <c r="L12" s="54"/>
      <c r="M12" s="48" t="s">
        <v>49</v>
      </c>
      <c r="N12" s="60">
        <v>736034.10000000009</v>
      </c>
      <c r="Q12" s="27" t="s">
        <v>536</v>
      </c>
      <c r="R12" t="s">
        <v>538</v>
      </c>
      <c r="X12" s="48" t="s">
        <v>545</v>
      </c>
      <c r="Y12" s="60">
        <v>597022.69999999995</v>
      </c>
      <c r="AA12" s="35" t="s">
        <v>544</v>
      </c>
      <c r="AB12" s="69">
        <f t="shared" si="0"/>
        <v>578610.59999999986</v>
      </c>
      <c r="AC12" s="36">
        <f t="shared" si="1"/>
        <v>660000</v>
      </c>
      <c r="AD12" s="57">
        <f>Table2[[#This Row],[Net Sales]]/100000</f>
        <v>5.7861059999999984</v>
      </c>
      <c r="AE12" s="57">
        <f>Table2[[#This Row],[Target]]/100000</f>
        <v>6.6</v>
      </c>
    </row>
    <row r="13" spans="2:43" x14ac:dyDescent="0.3">
      <c r="B13" s="26"/>
      <c r="C13" s="43"/>
      <c r="D13" s="47"/>
      <c r="F13" s="35" t="s">
        <v>82</v>
      </c>
      <c r="G13" s="24">
        <f>GETPIVOTDATA("Net Sales",$F$3,"Region",F13)</f>
        <v>1632543.9000000001</v>
      </c>
      <c r="H13" s="98">
        <f>G13/100000</f>
        <v>16.325439000000003</v>
      </c>
      <c r="J13" s="48" t="s">
        <v>548</v>
      </c>
      <c r="K13" s="60">
        <v>168789.00000000003</v>
      </c>
      <c r="L13" s="54"/>
      <c r="M13" s="48" t="s">
        <v>33</v>
      </c>
      <c r="N13" s="60">
        <v>679573</v>
      </c>
      <c r="Q13" s="28" t="s">
        <v>59</v>
      </c>
      <c r="R13" s="26">
        <v>1680084.0000000002</v>
      </c>
      <c r="T13" s="58" t="s">
        <v>575</v>
      </c>
      <c r="U13" s="58"/>
      <c r="V13" s="58"/>
      <c r="X13" s="48" t="s">
        <v>546</v>
      </c>
      <c r="Y13" s="60">
        <v>671852.3</v>
      </c>
      <c r="AA13" s="35" t="s">
        <v>545</v>
      </c>
      <c r="AB13" s="69">
        <f t="shared" si="0"/>
        <v>597022.69999999995</v>
      </c>
      <c r="AC13" s="36">
        <f t="shared" si="1"/>
        <v>660000</v>
      </c>
      <c r="AD13" s="57">
        <f>Table2[[#This Row],[Net Sales]]/100000</f>
        <v>5.9702269999999995</v>
      </c>
      <c r="AE13" s="57">
        <f>Table2[[#This Row],[Target]]/100000</f>
        <v>6.6</v>
      </c>
    </row>
    <row r="14" spans="2:43" x14ac:dyDescent="0.3">
      <c r="F14" s="40" t="s">
        <v>80</v>
      </c>
      <c r="G14" s="51">
        <f>GETPIVOTDATA("Net Sales",$F$3,"Region",F14)</f>
        <v>759495.1</v>
      </c>
      <c r="H14" s="102">
        <f>G14/100000</f>
        <v>7.594951</v>
      </c>
      <c r="J14" s="48" t="s">
        <v>549</v>
      </c>
      <c r="K14" s="60">
        <v>140583.80000000002</v>
      </c>
      <c r="L14" s="54"/>
      <c r="M14" s="48" t="s">
        <v>537</v>
      </c>
      <c r="N14" s="60">
        <v>7944646.7000000002</v>
      </c>
      <c r="Q14" s="28" t="s">
        <v>54</v>
      </c>
      <c r="R14" s="26">
        <v>1644813.9999999998</v>
      </c>
      <c r="T14" s="27" t="s">
        <v>536</v>
      </c>
      <c r="U14" t="s">
        <v>555</v>
      </c>
      <c r="X14" s="48" t="s">
        <v>547</v>
      </c>
      <c r="Y14" s="60">
        <v>736552.2</v>
      </c>
      <c r="AA14" s="35" t="s">
        <v>546</v>
      </c>
      <c r="AB14" s="69">
        <f t="shared" si="0"/>
        <v>671852.3</v>
      </c>
      <c r="AC14" s="36">
        <f t="shared" si="1"/>
        <v>660000</v>
      </c>
      <c r="AD14" s="57">
        <f>Table2[[#This Row],[Net Sales]]/100000</f>
        <v>6.7185230000000002</v>
      </c>
      <c r="AE14" s="57">
        <f>Table2[[#This Row],[Target]]/100000</f>
        <v>6.6</v>
      </c>
    </row>
    <row r="15" spans="2:43" x14ac:dyDescent="0.3">
      <c r="J15" s="48" t="s">
        <v>550</v>
      </c>
      <c r="K15" s="60">
        <v>195761.10000000003</v>
      </c>
      <c r="L15" s="54"/>
      <c r="M15" s="71"/>
      <c r="N15" s="1"/>
      <c r="Q15" s="28" t="s">
        <v>41</v>
      </c>
      <c r="R15" s="26">
        <v>1587056.2999999998</v>
      </c>
      <c r="T15" s="28" t="s">
        <v>539</v>
      </c>
      <c r="U15" s="26">
        <v>660000</v>
      </c>
      <c r="V15" s="32" t="s">
        <v>557</v>
      </c>
      <c r="X15" s="48" t="s">
        <v>548</v>
      </c>
      <c r="Y15" s="60">
        <v>637848.99999999988</v>
      </c>
      <c r="AA15" s="35" t="s">
        <v>547</v>
      </c>
      <c r="AB15" s="69">
        <f t="shared" si="0"/>
        <v>736552.2</v>
      </c>
      <c r="AC15" s="36">
        <f t="shared" si="1"/>
        <v>660000</v>
      </c>
      <c r="AD15" s="57">
        <f>Table2[[#This Row],[Net Sales]]/100000</f>
        <v>7.3655219999999995</v>
      </c>
      <c r="AE15" s="57">
        <f>Table2[[#This Row],[Target]]/100000</f>
        <v>6.6</v>
      </c>
    </row>
    <row r="16" spans="2:43" x14ac:dyDescent="0.3">
      <c r="J16" s="48" t="s">
        <v>537</v>
      </c>
      <c r="K16" s="60">
        <v>2147316.7000000002</v>
      </c>
      <c r="L16" s="54"/>
      <c r="M16" s="72" t="s">
        <v>561</v>
      </c>
      <c r="N16" s="56" t="s">
        <v>538</v>
      </c>
      <c r="Q16" s="28" t="s">
        <v>30</v>
      </c>
      <c r="R16" s="26">
        <v>1545683.9000000004</v>
      </c>
      <c r="T16" s="28" t="s">
        <v>540</v>
      </c>
      <c r="U16" s="26">
        <v>660000</v>
      </c>
      <c r="V16" s="45">
        <f>U6/U29</f>
        <v>1.0031119570707068</v>
      </c>
      <c r="X16" s="48" t="s">
        <v>549</v>
      </c>
      <c r="Y16" s="60">
        <v>505913.8</v>
      </c>
      <c r="AA16" s="35" t="s">
        <v>548</v>
      </c>
      <c r="AB16" s="69">
        <f t="shared" si="0"/>
        <v>637848.99999999988</v>
      </c>
      <c r="AC16" s="36">
        <f t="shared" si="1"/>
        <v>660000</v>
      </c>
      <c r="AD16" s="57">
        <f>Table2[[#This Row],[Net Sales]]/100000</f>
        <v>6.3784899999999984</v>
      </c>
      <c r="AE16" s="57">
        <f>Table2[[#This Row],[Target]]/100000</f>
        <v>6.6</v>
      </c>
    </row>
    <row r="17" spans="10:31" x14ac:dyDescent="0.3">
      <c r="J17" s="1"/>
      <c r="K17" s="55"/>
      <c r="L17" s="54"/>
      <c r="M17" s="35" t="s">
        <v>50</v>
      </c>
      <c r="N17" s="60">
        <f t="shared" ref="N17:N26" si="2">GETPIVOTDATA("Net Sales",$M$3,"Customer City",M17)</f>
        <v>803364.29999999993</v>
      </c>
      <c r="Q17" s="28" t="s">
        <v>22</v>
      </c>
      <c r="R17" s="26">
        <v>1487008.5000000002</v>
      </c>
      <c r="T17" s="28" t="s">
        <v>541</v>
      </c>
      <c r="U17" s="26">
        <v>660000</v>
      </c>
      <c r="X17" s="48" t="s">
        <v>550</v>
      </c>
      <c r="Y17" s="60">
        <v>710041.1</v>
      </c>
      <c r="AA17" s="35" t="s">
        <v>549</v>
      </c>
      <c r="AB17" s="69">
        <f t="shared" si="0"/>
        <v>505913.8</v>
      </c>
      <c r="AC17" s="36">
        <f t="shared" si="1"/>
        <v>660000</v>
      </c>
      <c r="AD17" s="57">
        <f>Table2[[#This Row],[Net Sales]]/100000</f>
        <v>5.0591379999999999</v>
      </c>
      <c r="AE17" s="57">
        <f>Table2[[#This Row],[Target]]/100000</f>
        <v>6.6</v>
      </c>
    </row>
    <row r="18" spans="10:31" x14ac:dyDescent="0.3">
      <c r="J18" s="52" t="s">
        <v>564</v>
      </c>
      <c r="K18" s="44" t="s">
        <v>562</v>
      </c>
      <c r="L18" s="73" t="s">
        <v>563</v>
      </c>
      <c r="M18" s="48" t="s">
        <v>56</v>
      </c>
      <c r="N18" s="60">
        <f t="shared" si="2"/>
        <v>889326.1</v>
      </c>
      <c r="Q18" s="28" t="s">
        <v>537</v>
      </c>
      <c r="R18" s="26">
        <v>7944646.7000000002</v>
      </c>
      <c r="T18" s="28" t="s">
        <v>542</v>
      </c>
      <c r="U18" s="26">
        <v>660000</v>
      </c>
      <c r="X18" s="48" t="s">
        <v>537</v>
      </c>
      <c r="Y18" s="60">
        <v>7944646.6999999993</v>
      </c>
      <c r="AA18" s="40" t="s">
        <v>550</v>
      </c>
      <c r="AB18" s="70">
        <f t="shared" si="0"/>
        <v>710041.1</v>
      </c>
      <c r="AC18" s="41">
        <f t="shared" si="1"/>
        <v>660000</v>
      </c>
      <c r="AD18" s="57">
        <f>Table2[[#This Row],[Net Sales]]/100000</f>
        <v>7.1004109999999994</v>
      </c>
      <c r="AE18" s="57">
        <f>Table2[[#This Row],[Target]]/100000</f>
        <v>6.6</v>
      </c>
    </row>
    <row r="19" spans="10:31" x14ac:dyDescent="0.3">
      <c r="J19" s="52" t="s">
        <v>539</v>
      </c>
      <c r="K19" s="79">
        <f>GETPIVOTDATA("Profit",$J$3,"Months (Date)",1)</f>
        <v>207661</v>
      </c>
      <c r="L19" s="82">
        <f>K19/100000</f>
        <v>2.0766100000000001</v>
      </c>
      <c r="M19" s="48" t="s">
        <v>38</v>
      </c>
      <c r="N19" s="60">
        <f t="shared" si="2"/>
        <v>856545.10000000009</v>
      </c>
      <c r="T19" s="28" t="s">
        <v>543</v>
      </c>
      <c r="U19" s="26">
        <v>660000</v>
      </c>
    </row>
    <row r="20" spans="10:31" x14ac:dyDescent="0.3">
      <c r="J20" s="52" t="s">
        <v>540</v>
      </c>
      <c r="K20" s="79">
        <f>GETPIVOTDATA("Profit",$J$3,"Months (Date)",2)</f>
        <v>208778.80000000002</v>
      </c>
      <c r="L20" s="82">
        <f t="shared" ref="L20:L30" si="3">K20/100000</f>
        <v>2.0877880000000002</v>
      </c>
      <c r="M20" s="48" t="s">
        <v>46</v>
      </c>
      <c r="N20" s="60">
        <f t="shared" si="2"/>
        <v>836025.2</v>
      </c>
      <c r="T20" s="28" t="s">
        <v>544</v>
      </c>
      <c r="U20" s="26">
        <v>660000</v>
      </c>
    </row>
    <row r="21" spans="10:31" x14ac:dyDescent="0.3">
      <c r="J21" s="52" t="s">
        <v>541</v>
      </c>
      <c r="K21" s="79">
        <f>GETPIVOTDATA("Profit",$J$3,"Months (Date)",3)</f>
        <v>149141.4</v>
      </c>
      <c r="L21" s="82">
        <f t="shared" si="3"/>
        <v>1.491414</v>
      </c>
      <c r="M21" s="48" t="s">
        <v>63</v>
      </c>
      <c r="N21" s="60">
        <f t="shared" si="2"/>
        <v>801512.99999999977</v>
      </c>
      <c r="T21" s="28" t="s">
        <v>545</v>
      </c>
      <c r="U21" s="26">
        <v>660000</v>
      </c>
    </row>
    <row r="22" spans="10:31" x14ac:dyDescent="0.3">
      <c r="J22" s="52" t="s">
        <v>542</v>
      </c>
      <c r="K22" s="79">
        <f>GETPIVOTDATA("Profit",$J$3,"Months (Date)",4)</f>
        <v>182212.7</v>
      </c>
      <c r="L22" s="82">
        <f t="shared" si="3"/>
        <v>1.8221270000000001</v>
      </c>
      <c r="M22" s="48" t="s">
        <v>66</v>
      </c>
      <c r="N22" s="60">
        <f t="shared" si="2"/>
        <v>753980.00000000012</v>
      </c>
      <c r="T22" s="28" t="s">
        <v>546</v>
      </c>
      <c r="U22" s="26">
        <v>660000</v>
      </c>
    </row>
    <row r="23" spans="10:31" x14ac:dyDescent="0.3">
      <c r="J23" s="52" t="s">
        <v>543</v>
      </c>
      <c r="K23" s="79">
        <f>GETPIVOTDATA("Profit",$J$3,"Months (Date)",5)</f>
        <v>190841.1</v>
      </c>
      <c r="L23" s="82">
        <f t="shared" si="3"/>
        <v>1.9084110000000001</v>
      </c>
      <c r="M23" s="48" t="s">
        <v>49</v>
      </c>
      <c r="N23" s="60">
        <f t="shared" si="2"/>
        <v>736034.10000000009</v>
      </c>
      <c r="Q23" s="67" t="s">
        <v>577</v>
      </c>
      <c r="R23" s="67"/>
      <c r="T23" s="28" t="s">
        <v>547</v>
      </c>
      <c r="U23" s="26">
        <v>660000</v>
      </c>
    </row>
    <row r="24" spans="10:31" x14ac:dyDescent="0.3">
      <c r="J24" s="52" t="s">
        <v>544</v>
      </c>
      <c r="K24" s="79">
        <f>GETPIVOTDATA("Profit",$J$3,"Months (Date)",6)</f>
        <v>155840.60000000003</v>
      </c>
      <c r="L24" s="82">
        <f t="shared" si="3"/>
        <v>1.5584060000000004</v>
      </c>
      <c r="M24" s="48" t="s">
        <v>88</v>
      </c>
      <c r="N24" s="60">
        <f t="shared" si="2"/>
        <v>808541.09999999986</v>
      </c>
      <c r="Q24" s="27" t="s">
        <v>536</v>
      </c>
      <c r="R24" t="s">
        <v>576</v>
      </c>
      <c r="T24" s="28" t="s">
        <v>548</v>
      </c>
      <c r="U24" s="26">
        <v>660000</v>
      </c>
    </row>
    <row r="25" spans="10:31" x14ac:dyDescent="0.3">
      <c r="J25" s="52" t="s">
        <v>545</v>
      </c>
      <c r="K25" s="79">
        <f>GETPIVOTDATA("Profit",$J$3,"Months (Date)",7)</f>
        <v>163502.69999999998</v>
      </c>
      <c r="L25" s="82">
        <f t="shared" si="3"/>
        <v>1.6350269999999998</v>
      </c>
      <c r="M25" s="48" t="s">
        <v>25</v>
      </c>
      <c r="N25" s="60">
        <f t="shared" si="2"/>
        <v>779744.79999999993</v>
      </c>
      <c r="Q25" s="28" t="s">
        <v>31</v>
      </c>
      <c r="R25" s="81">
        <v>1395</v>
      </c>
      <c r="T25" s="28" t="s">
        <v>549</v>
      </c>
      <c r="U25" s="26">
        <v>660000</v>
      </c>
    </row>
    <row r="26" spans="10:31" x14ac:dyDescent="0.3">
      <c r="J26" s="52" t="s">
        <v>546</v>
      </c>
      <c r="K26" s="79">
        <f>GETPIVOTDATA("Profit",$J$3,"Months (Date)",8)</f>
        <v>178212.3</v>
      </c>
      <c r="L26" s="82">
        <f t="shared" si="3"/>
        <v>1.7821229999999999</v>
      </c>
      <c r="M26" s="48" t="s">
        <v>33</v>
      </c>
      <c r="N26" s="60">
        <f t="shared" si="2"/>
        <v>679573</v>
      </c>
      <c r="Q26" s="28" t="s">
        <v>23</v>
      </c>
      <c r="R26" s="81">
        <v>59</v>
      </c>
      <c r="T26" s="28" t="s">
        <v>550</v>
      </c>
      <c r="U26" s="26">
        <v>660000</v>
      </c>
    </row>
    <row r="27" spans="10:31" x14ac:dyDescent="0.3">
      <c r="J27" s="52" t="s">
        <v>547</v>
      </c>
      <c r="K27" s="79">
        <f>GETPIVOTDATA("Profit",$J$3,"Months (Date)",9)</f>
        <v>205992.2</v>
      </c>
      <c r="L27" s="82">
        <f t="shared" si="3"/>
        <v>2.0599220000000003</v>
      </c>
      <c r="Q27" s="28" t="s">
        <v>76</v>
      </c>
      <c r="R27" s="81">
        <v>57</v>
      </c>
      <c r="T27" s="28" t="s">
        <v>537</v>
      </c>
      <c r="U27" s="26">
        <v>7920000</v>
      </c>
    </row>
    <row r="28" spans="10:31" x14ac:dyDescent="0.3">
      <c r="J28" s="52" t="s">
        <v>548</v>
      </c>
      <c r="K28" s="79">
        <f>GETPIVOTDATA("Profit",$J$3,"Months (Date)",10)</f>
        <v>168789.00000000003</v>
      </c>
      <c r="L28" s="82">
        <f t="shared" si="3"/>
        <v>1.6878900000000003</v>
      </c>
      <c r="Q28" s="28" t="s">
        <v>62</v>
      </c>
      <c r="R28" s="81">
        <v>55</v>
      </c>
    </row>
    <row r="29" spans="10:31" x14ac:dyDescent="0.3">
      <c r="J29" s="52" t="s">
        <v>549</v>
      </c>
      <c r="K29" s="79">
        <f>GETPIVOTDATA("Profit",$J$3,"Months (Date)",11)</f>
        <v>140583.80000000002</v>
      </c>
      <c r="L29" s="82">
        <f t="shared" si="3"/>
        <v>1.4058380000000001</v>
      </c>
      <c r="Q29" s="28" t="s">
        <v>537</v>
      </c>
      <c r="R29" s="81">
        <v>1566</v>
      </c>
      <c r="U29" s="26">
        <f>GETPIVOTDATA("Target",$T$14)</f>
        <v>7920000</v>
      </c>
    </row>
    <row r="30" spans="10:31" x14ac:dyDescent="0.3">
      <c r="J30" s="52" t="s">
        <v>550</v>
      </c>
      <c r="K30" s="79">
        <f>GETPIVOTDATA("Profit",$J$3,"Months (Date)",12)</f>
        <v>195761.10000000003</v>
      </c>
      <c r="L30" s="82">
        <f t="shared" si="3"/>
        <v>1.9576110000000004</v>
      </c>
    </row>
  </sheetData>
  <mergeCells count="2">
    <mergeCell ref="AO2:AQ2"/>
    <mergeCell ref="D4:D5"/>
  </mergeCells>
  <pageMargins left="0.7" right="0.7" top="0.75" bottom="0.75" header="0.3" footer="0.3"/>
  <drawing r:id="rId11"/>
  <tableParts count="3">
    <tablePart r:id="rId12"/>
    <tablePart r:id="rId13"/>
    <tablePart r:id="rId1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EF80A-DF0D-4BFB-8590-B9B2F1EE2FC4}">
  <sheetPr>
    <tabColor rgb="FFFF0000"/>
  </sheetPr>
  <dimension ref="B3:S27"/>
  <sheetViews>
    <sheetView workbookViewId="0"/>
  </sheetViews>
  <sheetFormatPr defaultRowHeight="18.75" x14ac:dyDescent="0.3"/>
  <cols>
    <col min="1" max="2" width="11.3984375" bestFit="1" customWidth="1"/>
    <col min="3" max="3" width="14.09765625" bestFit="1" customWidth="1"/>
    <col min="5" max="5" width="14.09765625" bestFit="1" customWidth="1"/>
    <col min="6" max="6" width="11.09765625" bestFit="1" customWidth="1"/>
    <col min="8" max="8" width="14.09765625" bestFit="1" customWidth="1"/>
    <col min="9" max="9" width="11.09765625" bestFit="1" customWidth="1"/>
    <col min="10" max="10" width="7.8984375" customWidth="1"/>
    <col min="11" max="11" width="11.3984375" bestFit="1" customWidth="1"/>
    <col min="12" max="12" width="11.09765625" bestFit="1" customWidth="1"/>
    <col min="14" max="14" width="11.3984375" bestFit="1" customWidth="1"/>
    <col min="15" max="15" width="14.19921875" bestFit="1" customWidth="1"/>
    <col min="16" max="16" width="7.296875" bestFit="1" customWidth="1"/>
    <col min="17" max="17" width="8.19921875" bestFit="1" customWidth="1"/>
    <col min="18" max="18" width="8.8984375" bestFit="1" customWidth="1"/>
    <col min="19" max="19" width="9.796875" bestFit="1" customWidth="1"/>
  </cols>
  <sheetData>
    <row r="3" spans="2:12" x14ac:dyDescent="0.3">
      <c r="B3" s="27" t="s">
        <v>15</v>
      </c>
      <c r="C3" t="s">
        <v>31</v>
      </c>
      <c r="E3" s="27" t="s">
        <v>15</v>
      </c>
      <c r="F3" t="s">
        <v>31</v>
      </c>
      <c r="H3" s="27" t="s">
        <v>15</v>
      </c>
      <c r="I3" t="s">
        <v>31</v>
      </c>
    </row>
    <row r="5" spans="2:12" x14ac:dyDescent="0.3">
      <c r="B5" s="27" t="s">
        <v>536</v>
      </c>
      <c r="C5" t="s">
        <v>538</v>
      </c>
      <c r="E5" t="s">
        <v>538</v>
      </c>
      <c r="F5" t="s">
        <v>535</v>
      </c>
      <c r="H5" t="s">
        <v>538</v>
      </c>
      <c r="I5" t="s">
        <v>554</v>
      </c>
      <c r="K5" s="65" t="s">
        <v>574</v>
      </c>
    </row>
    <row r="6" spans="2:12" x14ac:dyDescent="0.3">
      <c r="B6" s="28" t="s">
        <v>29</v>
      </c>
      <c r="C6" s="106">
        <v>3861936.7</v>
      </c>
      <c r="E6" s="59">
        <v>7944646.6999999974</v>
      </c>
      <c r="F6" s="63">
        <v>8572</v>
      </c>
      <c r="H6" s="106">
        <v>7944646.6999999974</v>
      </c>
      <c r="I6" s="106">
        <v>2147316.7000000011</v>
      </c>
      <c r="K6" s="45">
        <f>IFERROR(GETPIVOTDATA("Sum of Profit",$H$5)/GETPIVOTDATA("Sum of Net Sales",$H$5),"0.00 %")</f>
        <v>0.2702847314783679</v>
      </c>
    </row>
    <row r="7" spans="2:12" x14ac:dyDescent="0.3">
      <c r="B7" s="28" t="s">
        <v>40</v>
      </c>
      <c r="C7" s="106">
        <v>1675257.3000000003</v>
      </c>
      <c r="E7" s="59">
        <f>GETPIVOTDATA("Sum of Net Sales",$E$5)</f>
        <v>7944646.6999999974</v>
      </c>
      <c r="F7" s="63">
        <f>GETPIVOTDATA("Sum of Qty",$E$5)</f>
        <v>8572</v>
      </c>
      <c r="H7" s="61">
        <f>GETPIVOTDATA("Sum of Net Sales",$H$5)</f>
        <v>7944646.6999999974</v>
      </c>
      <c r="I7" s="61">
        <f>GETPIVOTDATA("Sum of Profit",$H$5)</f>
        <v>2147316.7000000011</v>
      </c>
    </row>
    <row r="8" spans="2:12" x14ac:dyDescent="0.3">
      <c r="B8" s="28" t="s">
        <v>36</v>
      </c>
      <c r="C8" s="106">
        <v>1407969</v>
      </c>
    </row>
    <row r="9" spans="2:12" x14ac:dyDescent="0.3">
      <c r="B9" s="28" t="s">
        <v>43</v>
      </c>
      <c r="C9" s="106">
        <v>411857.99999999994</v>
      </c>
      <c r="L9" s="64"/>
    </row>
    <row r="10" spans="2:12" x14ac:dyDescent="0.3">
      <c r="B10" s="28" t="s">
        <v>21</v>
      </c>
      <c r="C10" s="106">
        <v>385635.99999999994</v>
      </c>
    </row>
    <row r="11" spans="2:12" x14ac:dyDescent="0.3">
      <c r="B11" s="28" t="s">
        <v>45</v>
      </c>
      <c r="C11" s="106">
        <v>201989.69999999998</v>
      </c>
    </row>
    <row r="17" spans="2:19" x14ac:dyDescent="0.3">
      <c r="B17" s="27" t="s">
        <v>15</v>
      </c>
      <c r="C17" t="s">
        <v>31</v>
      </c>
      <c r="E17" s="27" t="s">
        <v>15</v>
      </c>
      <c r="F17" t="s">
        <v>31</v>
      </c>
      <c r="H17" s="27" t="s">
        <v>15</v>
      </c>
      <c r="I17" t="s">
        <v>31</v>
      </c>
      <c r="K17" s="27" t="s">
        <v>15</v>
      </c>
      <c r="L17" t="s">
        <v>31</v>
      </c>
    </row>
    <row r="19" spans="2:19" x14ac:dyDescent="0.3">
      <c r="B19" s="27" t="s">
        <v>536</v>
      </c>
      <c r="C19" t="s">
        <v>538</v>
      </c>
      <c r="E19" s="27" t="s">
        <v>536</v>
      </c>
      <c r="F19" t="s">
        <v>554</v>
      </c>
      <c r="H19" s="27" t="s">
        <v>536</v>
      </c>
      <c r="I19" s="64" t="s">
        <v>565</v>
      </c>
      <c r="K19" s="27" t="s">
        <v>536</v>
      </c>
      <c r="L19" t="s">
        <v>535</v>
      </c>
      <c r="N19" s="27" t="s">
        <v>576</v>
      </c>
      <c r="O19" s="27" t="s">
        <v>578</v>
      </c>
    </row>
    <row r="20" spans="2:19" x14ac:dyDescent="0.3">
      <c r="B20" s="28" t="s">
        <v>29</v>
      </c>
      <c r="C20" s="106">
        <v>3861936.7</v>
      </c>
      <c r="E20" s="28" t="s">
        <v>29</v>
      </c>
      <c r="F20" s="106">
        <v>1029626.7000000001</v>
      </c>
      <c r="H20" s="28" t="s">
        <v>45</v>
      </c>
      <c r="I20" s="62">
        <v>0.26045734015150279</v>
      </c>
      <c r="K20" s="28" t="s">
        <v>45</v>
      </c>
      <c r="L20" s="83">
        <v>1080</v>
      </c>
      <c r="N20" s="27" t="s">
        <v>536</v>
      </c>
      <c r="O20" t="s">
        <v>31</v>
      </c>
      <c r="P20" t="s">
        <v>62</v>
      </c>
      <c r="Q20" t="s">
        <v>76</v>
      </c>
      <c r="R20" t="s">
        <v>23</v>
      </c>
      <c r="S20" t="s">
        <v>537</v>
      </c>
    </row>
    <row r="21" spans="2:19" x14ac:dyDescent="0.3">
      <c r="B21" s="28" t="s">
        <v>40</v>
      </c>
      <c r="C21" s="106">
        <v>1675257.3000000003</v>
      </c>
      <c r="E21" s="28" t="s">
        <v>40</v>
      </c>
      <c r="F21" s="106">
        <v>457487.3</v>
      </c>
      <c r="H21" s="28" t="s">
        <v>43</v>
      </c>
      <c r="I21" s="62">
        <v>0.26163872014140804</v>
      </c>
      <c r="K21" s="28" t="s">
        <v>36</v>
      </c>
      <c r="L21" s="83">
        <v>1091</v>
      </c>
      <c r="N21" s="28" t="s">
        <v>21</v>
      </c>
      <c r="O21" s="43">
        <v>322</v>
      </c>
      <c r="P21" s="43">
        <v>14</v>
      </c>
      <c r="Q21" s="43">
        <v>15</v>
      </c>
      <c r="R21" s="43">
        <v>13</v>
      </c>
      <c r="S21" s="43">
        <v>364</v>
      </c>
    </row>
    <row r="22" spans="2:19" x14ac:dyDescent="0.3">
      <c r="B22" s="28" t="s">
        <v>36</v>
      </c>
      <c r="C22" s="106">
        <v>1407969</v>
      </c>
      <c r="E22" s="28" t="s">
        <v>36</v>
      </c>
      <c r="F22" s="106">
        <v>396399</v>
      </c>
      <c r="H22" s="28" t="s">
        <v>29</v>
      </c>
      <c r="I22" s="62">
        <v>0.26660890117644859</v>
      </c>
      <c r="K22" s="28" t="s">
        <v>40</v>
      </c>
      <c r="L22" s="83">
        <v>1182</v>
      </c>
      <c r="N22" s="28" t="s">
        <v>29</v>
      </c>
      <c r="O22" s="43">
        <v>283</v>
      </c>
      <c r="P22" s="43">
        <v>11</v>
      </c>
      <c r="Q22" s="43">
        <v>7</v>
      </c>
      <c r="R22" s="43">
        <v>19</v>
      </c>
      <c r="S22" s="43">
        <v>320</v>
      </c>
    </row>
    <row r="23" spans="2:19" x14ac:dyDescent="0.3">
      <c r="B23" s="28" t="s">
        <v>43</v>
      </c>
      <c r="C23" s="106">
        <v>411857.99999999994</v>
      </c>
      <c r="E23" s="28" t="s">
        <v>43</v>
      </c>
      <c r="F23" s="106">
        <v>107758.00000000001</v>
      </c>
      <c r="H23" s="28" t="s">
        <v>21</v>
      </c>
      <c r="I23" s="62">
        <v>0.26822184650810615</v>
      </c>
      <c r="K23" s="28" t="s">
        <v>43</v>
      </c>
      <c r="L23" s="83">
        <v>1406</v>
      </c>
      <c r="N23" s="28" t="s">
        <v>43</v>
      </c>
      <c r="O23" s="43">
        <v>228</v>
      </c>
      <c r="P23" s="43">
        <v>6</v>
      </c>
      <c r="Q23" s="43">
        <v>7</v>
      </c>
      <c r="R23" s="43">
        <v>7</v>
      </c>
      <c r="S23" s="43">
        <v>248</v>
      </c>
    </row>
    <row r="24" spans="2:19" x14ac:dyDescent="0.3">
      <c r="B24" s="28" t="s">
        <v>21</v>
      </c>
      <c r="C24" s="106">
        <v>385635.99999999994</v>
      </c>
      <c r="E24" s="28" t="s">
        <v>21</v>
      </c>
      <c r="F24" s="106">
        <v>103436.00000000001</v>
      </c>
      <c r="H24" s="28" t="s">
        <v>40</v>
      </c>
      <c r="I24" s="62">
        <v>0.27308479718309536</v>
      </c>
      <c r="K24" s="28" t="s">
        <v>29</v>
      </c>
      <c r="L24" s="83">
        <v>1888</v>
      </c>
      <c r="N24" s="28" t="s">
        <v>45</v>
      </c>
      <c r="O24" s="43">
        <v>198</v>
      </c>
      <c r="P24" s="43">
        <v>8</v>
      </c>
      <c r="Q24" s="43">
        <v>5</v>
      </c>
      <c r="R24" s="43">
        <v>7</v>
      </c>
      <c r="S24" s="43">
        <v>218</v>
      </c>
    </row>
    <row r="25" spans="2:19" x14ac:dyDescent="0.3">
      <c r="B25" s="28" t="s">
        <v>45</v>
      </c>
      <c r="C25" s="106">
        <v>201989.69999999998</v>
      </c>
      <c r="E25" s="28" t="s">
        <v>45</v>
      </c>
      <c r="F25" s="106">
        <v>52609.700000000004</v>
      </c>
      <c r="H25" s="28" t="s">
        <v>36</v>
      </c>
      <c r="I25" s="62">
        <v>0.28153957935153401</v>
      </c>
      <c r="K25" s="28" t="s">
        <v>21</v>
      </c>
      <c r="L25" s="83">
        <v>1925</v>
      </c>
      <c r="N25" s="28" t="s">
        <v>40</v>
      </c>
      <c r="O25" s="43">
        <v>191</v>
      </c>
      <c r="P25" s="43">
        <v>6</v>
      </c>
      <c r="Q25" s="43">
        <v>8</v>
      </c>
      <c r="R25" s="43">
        <v>8</v>
      </c>
      <c r="S25" s="43">
        <v>213</v>
      </c>
    </row>
    <row r="26" spans="2:19" x14ac:dyDescent="0.3">
      <c r="B26" s="28" t="s">
        <v>537</v>
      </c>
      <c r="C26" s="106">
        <v>7944646.7000000011</v>
      </c>
      <c r="E26" s="28" t="s">
        <v>537</v>
      </c>
      <c r="F26" s="106">
        <v>2147316.7000000002</v>
      </c>
      <c r="H26" s="28" t="s">
        <v>537</v>
      </c>
      <c r="I26" s="6">
        <v>0.27028473147836768</v>
      </c>
      <c r="K26" s="28" t="s">
        <v>537</v>
      </c>
      <c r="L26" s="43">
        <v>8572</v>
      </c>
      <c r="N26" s="28" t="s">
        <v>36</v>
      </c>
      <c r="O26" s="43">
        <v>173</v>
      </c>
      <c r="P26" s="43">
        <v>10</v>
      </c>
      <c r="Q26" s="43">
        <v>15</v>
      </c>
      <c r="R26" s="43">
        <v>5</v>
      </c>
      <c r="S26" s="43">
        <v>203</v>
      </c>
    </row>
    <row r="27" spans="2:19" x14ac:dyDescent="0.3">
      <c r="N27" s="28" t="s">
        <v>537</v>
      </c>
      <c r="O27" s="43">
        <v>1395</v>
      </c>
      <c r="P27" s="43">
        <v>55</v>
      </c>
      <c r="Q27" s="43">
        <v>57</v>
      </c>
      <c r="R27" s="43">
        <v>59</v>
      </c>
      <c r="S27" s="43">
        <v>1566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B79C8-FA4F-4A9F-9D58-A497ABF02E90}">
  <sheetPr>
    <tabColor rgb="FFF2EC00"/>
  </sheetPr>
  <dimension ref="C1:X32"/>
  <sheetViews>
    <sheetView workbookViewId="0">
      <selection activeCell="J27" sqref="J27"/>
    </sheetView>
  </sheetViews>
  <sheetFormatPr defaultRowHeight="18.75" x14ac:dyDescent="0.3"/>
  <cols>
    <col min="3" max="3" width="12.09765625" bestFit="1" customWidth="1"/>
    <col min="4" max="4" width="14.09765625" bestFit="1" customWidth="1"/>
    <col min="5" max="5" width="10.8984375" bestFit="1" customWidth="1"/>
    <col min="6" max="6" width="14.09765625" bestFit="1" customWidth="1"/>
    <col min="7" max="7" width="11.09765625" bestFit="1" customWidth="1"/>
    <col min="8" max="8" width="19.296875" bestFit="1" customWidth="1"/>
    <col min="9" max="9" width="14.09765625" bestFit="1" customWidth="1"/>
    <col min="10" max="10" width="12.09765625" bestFit="1" customWidth="1"/>
    <col min="11" max="11" width="14.09765625" bestFit="1" customWidth="1"/>
    <col min="12" max="13" width="12.09765625" customWidth="1"/>
    <col min="14" max="14" width="14.19921875" bestFit="1" customWidth="1"/>
    <col min="15" max="15" width="12.09765625" bestFit="1" customWidth="1"/>
    <col min="16" max="16" width="14.09765625" bestFit="1" customWidth="1"/>
    <col min="17" max="17" width="11.3984375" bestFit="1" customWidth="1"/>
    <col min="18" max="18" width="11.3984375" customWidth="1"/>
    <col min="19" max="19" width="12.09765625" bestFit="1" customWidth="1"/>
    <col min="20" max="20" width="14.19921875" bestFit="1" customWidth="1"/>
    <col min="21" max="21" width="7.296875" bestFit="1" customWidth="1"/>
    <col min="22" max="22" width="8.19921875" bestFit="1" customWidth="1"/>
    <col min="23" max="23" width="8.8984375" bestFit="1" customWidth="1"/>
    <col min="24" max="24" width="9.796875" bestFit="1" customWidth="1"/>
  </cols>
  <sheetData>
    <row r="1" spans="3:24" x14ac:dyDescent="0.3">
      <c r="C1" s="105" t="s">
        <v>579</v>
      </c>
      <c r="D1" s="105"/>
      <c r="F1" s="105" t="s">
        <v>579</v>
      </c>
      <c r="G1" s="105"/>
      <c r="O1" s="105" t="s">
        <v>580</v>
      </c>
      <c r="P1" s="105"/>
      <c r="S1" s="105" t="s">
        <v>583</v>
      </c>
      <c r="T1" s="105"/>
      <c r="U1" s="105"/>
      <c r="V1" s="105"/>
      <c r="W1" s="105"/>
      <c r="X1" s="105"/>
    </row>
    <row r="3" spans="3:24" x14ac:dyDescent="0.3">
      <c r="C3" s="27" t="s">
        <v>15</v>
      </c>
      <c r="D3" t="s">
        <v>31</v>
      </c>
      <c r="F3" s="27" t="s">
        <v>15</v>
      </c>
      <c r="G3" t="s">
        <v>31</v>
      </c>
      <c r="J3" s="27" t="s">
        <v>15</v>
      </c>
      <c r="K3" t="s">
        <v>31</v>
      </c>
      <c r="O3" s="27" t="s">
        <v>15</v>
      </c>
      <c r="P3" t="s">
        <v>31</v>
      </c>
      <c r="S3" s="27" t="s">
        <v>576</v>
      </c>
      <c r="T3" s="27" t="s">
        <v>578</v>
      </c>
    </row>
    <row r="4" spans="3:24" x14ac:dyDescent="0.3">
      <c r="S4" s="91" t="s">
        <v>536</v>
      </c>
      <c r="T4" t="s">
        <v>31</v>
      </c>
      <c r="U4" t="s">
        <v>62</v>
      </c>
      <c r="V4" t="s">
        <v>76</v>
      </c>
      <c r="W4" t="s">
        <v>23</v>
      </c>
      <c r="X4" t="s">
        <v>537</v>
      </c>
    </row>
    <row r="5" spans="3:24" x14ac:dyDescent="0.3">
      <c r="C5" t="s">
        <v>538</v>
      </c>
      <c r="D5" t="s">
        <v>535</v>
      </c>
      <c r="F5" t="s">
        <v>538</v>
      </c>
      <c r="G5" t="s">
        <v>554</v>
      </c>
      <c r="I5" s="89" t="s">
        <v>574</v>
      </c>
      <c r="J5" s="27" t="s">
        <v>536</v>
      </c>
      <c r="K5" t="s">
        <v>538</v>
      </c>
      <c r="L5" s="92"/>
      <c r="M5" s="92"/>
      <c r="O5" s="27" t="s">
        <v>536</v>
      </c>
      <c r="P5" t="s">
        <v>538</v>
      </c>
      <c r="S5" s="28" t="s">
        <v>533</v>
      </c>
      <c r="T5" s="63">
        <v>374</v>
      </c>
      <c r="U5" s="63">
        <v>12</v>
      </c>
      <c r="V5" s="63">
        <v>17</v>
      </c>
      <c r="W5" s="63">
        <v>13</v>
      </c>
      <c r="X5" s="63">
        <v>416</v>
      </c>
    </row>
    <row r="6" spans="3:24" ht="21" x14ac:dyDescent="0.35">
      <c r="C6" s="59">
        <v>7944646.6999999974</v>
      </c>
      <c r="D6" s="63">
        <v>8572</v>
      </c>
      <c r="F6" s="59">
        <v>7944646.6999999974</v>
      </c>
      <c r="G6" s="87">
        <v>2147316.7000000011</v>
      </c>
      <c r="I6" s="97">
        <f>IFERROR(GETPIVOTDATA("Sum of Profit",$F$5)/GETPIVOTDATA("Sum of Net Sales",$F$5),"0.00 %")</f>
        <v>0.2702847314783679</v>
      </c>
      <c r="J6" s="28" t="s">
        <v>533</v>
      </c>
      <c r="K6" s="59">
        <v>2129895.1</v>
      </c>
      <c r="L6" s="93"/>
      <c r="M6" s="93"/>
      <c r="O6" s="28" t="s">
        <v>533</v>
      </c>
      <c r="P6" s="59">
        <v>2129895.1</v>
      </c>
      <c r="S6" s="28" t="s">
        <v>529</v>
      </c>
      <c r="T6" s="63">
        <v>324</v>
      </c>
      <c r="U6" s="63">
        <v>16</v>
      </c>
      <c r="V6" s="63">
        <v>14</v>
      </c>
      <c r="W6" s="63">
        <v>17</v>
      </c>
      <c r="X6" s="63">
        <v>371</v>
      </c>
    </row>
    <row r="7" spans="3:24" ht="21" x14ac:dyDescent="0.35">
      <c r="C7" s="95">
        <f>GETPIVOTDATA("Sum of Net Sales",$C$5)</f>
        <v>7944646.6999999974</v>
      </c>
      <c r="D7" s="94">
        <f>GETPIVOTDATA("Sum of Qty",$C$5)</f>
        <v>8572</v>
      </c>
      <c r="E7" s="88"/>
      <c r="F7" s="96">
        <f>GETPIVOTDATA("Sum of Net Sales",$F$5)</f>
        <v>7944646.6999999974</v>
      </c>
      <c r="G7" s="96">
        <f>GETPIVOTDATA("Sum of Profit",$F$5)</f>
        <v>2147316.7000000011</v>
      </c>
      <c r="J7" s="28" t="s">
        <v>529</v>
      </c>
      <c r="K7" s="59">
        <v>1906327.6000000006</v>
      </c>
      <c r="O7" s="28" t="s">
        <v>529</v>
      </c>
      <c r="P7" s="59">
        <v>1906327.6000000006</v>
      </c>
      <c r="S7" s="28" t="s">
        <v>530</v>
      </c>
      <c r="T7" s="63">
        <v>319</v>
      </c>
      <c r="U7" s="63">
        <v>9</v>
      </c>
      <c r="V7" s="63">
        <v>13</v>
      </c>
      <c r="W7" s="63">
        <v>12</v>
      </c>
      <c r="X7" s="63">
        <v>353</v>
      </c>
    </row>
    <row r="8" spans="3:24" x14ac:dyDescent="0.3">
      <c r="J8" s="28" t="s">
        <v>530</v>
      </c>
      <c r="K8" s="59">
        <v>1759077.5</v>
      </c>
      <c r="O8" s="28" t="s">
        <v>530</v>
      </c>
      <c r="P8" s="59">
        <v>1759077.5</v>
      </c>
      <c r="S8" s="28" t="s">
        <v>534</v>
      </c>
      <c r="T8" s="63">
        <v>131</v>
      </c>
      <c r="U8" s="63">
        <v>5</v>
      </c>
      <c r="V8" s="63">
        <v>4</v>
      </c>
      <c r="W8" s="63">
        <v>8</v>
      </c>
      <c r="X8" s="63">
        <v>148</v>
      </c>
    </row>
    <row r="9" spans="3:24" x14ac:dyDescent="0.3">
      <c r="J9" s="28" t="s">
        <v>534</v>
      </c>
      <c r="K9" s="59">
        <v>794532.99999999988</v>
      </c>
      <c r="O9" s="28" t="s">
        <v>534</v>
      </c>
      <c r="P9" s="59">
        <v>794532.99999999988</v>
      </c>
      <c r="S9" s="28" t="s">
        <v>531</v>
      </c>
      <c r="T9" s="63">
        <v>128</v>
      </c>
      <c r="U9" s="63">
        <v>6</v>
      </c>
      <c r="V9" s="63">
        <v>5</v>
      </c>
      <c r="W9" s="63">
        <v>2</v>
      </c>
      <c r="X9" s="63">
        <v>141</v>
      </c>
    </row>
    <row r="10" spans="3:24" x14ac:dyDescent="0.3">
      <c r="J10" s="28" t="s">
        <v>531</v>
      </c>
      <c r="K10" s="59">
        <v>758499.20000000007</v>
      </c>
      <c r="O10" s="28" t="s">
        <v>531</v>
      </c>
      <c r="P10" s="59">
        <v>758499.20000000007</v>
      </c>
      <c r="S10" s="28" t="s">
        <v>532</v>
      </c>
      <c r="T10" s="63">
        <v>119</v>
      </c>
      <c r="U10" s="63">
        <v>7</v>
      </c>
      <c r="V10" s="63">
        <v>4</v>
      </c>
      <c r="W10" s="63">
        <v>7</v>
      </c>
      <c r="X10" s="63">
        <v>137</v>
      </c>
    </row>
    <row r="11" spans="3:24" x14ac:dyDescent="0.3">
      <c r="J11" s="28" t="s">
        <v>532</v>
      </c>
      <c r="K11" s="59">
        <v>596314.29999999993</v>
      </c>
      <c r="O11" s="28" t="s">
        <v>532</v>
      </c>
      <c r="P11" s="59">
        <v>596314.29999999993</v>
      </c>
      <c r="S11" s="28" t="s">
        <v>537</v>
      </c>
      <c r="T11" s="63">
        <v>1395</v>
      </c>
      <c r="U11" s="63">
        <v>55</v>
      </c>
      <c r="V11" s="63">
        <v>57</v>
      </c>
      <c r="W11" s="63">
        <v>59</v>
      </c>
      <c r="X11" s="63">
        <v>1566</v>
      </c>
    </row>
    <row r="12" spans="3:24" x14ac:dyDescent="0.3">
      <c r="O12" s="28" t="s">
        <v>537</v>
      </c>
      <c r="P12" s="59">
        <v>7944646.7000000011</v>
      </c>
    </row>
    <row r="16" spans="3:24" x14ac:dyDescent="0.3">
      <c r="C16" s="31" t="s">
        <v>581</v>
      </c>
      <c r="D16" s="31"/>
      <c r="E16" s="31"/>
      <c r="G16" s="31" t="s">
        <v>582</v>
      </c>
      <c r="H16" s="31"/>
      <c r="I16" s="90"/>
    </row>
    <row r="17" spans="3:20" x14ac:dyDescent="0.3">
      <c r="C17" s="27" t="s">
        <v>15</v>
      </c>
      <c r="D17" t="s">
        <v>31</v>
      </c>
      <c r="G17" s="27" t="s">
        <v>15</v>
      </c>
      <c r="H17" t="s">
        <v>31</v>
      </c>
      <c r="O17" s="27" t="s">
        <v>15</v>
      </c>
      <c r="P17" t="s">
        <v>31</v>
      </c>
    </row>
    <row r="19" spans="3:20" x14ac:dyDescent="0.3">
      <c r="C19" s="27" t="s">
        <v>536</v>
      </c>
      <c r="D19" t="s">
        <v>538</v>
      </c>
      <c r="E19" t="s">
        <v>554</v>
      </c>
      <c r="G19" s="27" t="s">
        <v>536</v>
      </c>
      <c r="H19" t="s">
        <v>565</v>
      </c>
      <c r="O19" s="27" t="s">
        <v>536</v>
      </c>
      <c r="P19" t="s">
        <v>538</v>
      </c>
      <c r="Q19" t="s">
        <v>576</v>
      </c>
      <c r="R19" s="84" t="s">
        <v>585</v>
      </c>
      <c r="S19" s="26" t="s">
        <v>584</v>
      </c>
    </row>
    <row r="20" spans="3:20" x14ac:dyDescent="0.3">
      <c r="C20" s="28" t="s">
        <v>532</v>
      </c>
      <c r="D20" s="59">
        <v>596314.29999999993</v>
      </c>
      <c r="E20" s="59">
        <v>172354.30000000002</v>
      </c>
      <c r="G20" s="28" t="s">
        <v>532</v>
      </c>
      <c r="H20" s="62">
        <v>0.28903264603917772</v>
      </c>
      <c r="O20" s="28" t="s">
        <v>534</v>
      </c>
      <c r="P20" s="59">
        <v>794532.99999999988</v>
      </c>
      <c r="Q20" s="87">
        <v>131</v>
      </c>
      <c r="R20" s="85" t="str">
        <f t="shared" ref="R20:R25" si="0">O20</f>
        <v>Sandeep Rai</v>
      </c>
      <c r="S20" s="34">
        <f t="shared" ref="S20:S25" si="1">GETPIVOTDATA("Sum of Net Sales",O20,"Salesman",O20)/GETPIVOTDATA("Count of S No",O19,"Salesman",O20)</f>
        <v>6065.1374045801522</v>
      </c>
    </row>
    <row r="21" spans="3:20" x14ac:dyDescent="0.3">
      <c r="C21" s="28" t="s">
        <v>531</v>
      </c>
      <c r="D21" s="59">
        <v>758499.20000000007</v>
      </c>
      <c r="E21" s="59">
        <v>199419.2</v>
      </c>
      <c r="G21" s="28" t="s">
        <v>529</v>
      </c>
      <c r="H21" s="62">
        <v>0.27354039253274187</v>
      </c>
      <c r="O21" s="28" t="s">
        <v>529</v>
      </c>
      <c r="P21" s="59">
        <v>1906327.6000000006</v>
      </c>
      <c r="Q21" s="87">
        <v>324</v>
      </c>
      <c r="R21" s="86" t="str">
        <f t="shared" si="0"/>
        <v>Rohan Khanna</v>
      </c>
      <c r="S21" s="34">
        <f t="shared" si="1"/>
        <v>5883.7271604938287</v>
      </c>
    </row>
    <row r="22" spans="3:20" x14ac:dyDescent="0.3">
      <c r="C22" s="28" t="s">
        <v>534</v>
      </c>
      <c r="D22" s="59">
        <v>794532.99999999988</v>
      </c>
      <c r="E22" s="59">
        <v>212123.00000000003</v>
      </c>
      <c r="G22" s="28" t="s">
        <v>533</v>
      </c>
      <c r="H22" s="62">
        <v>0.26894991213417041</v>
      </c>
      <c r="O22" s="28" t="s">
        <v>532</v>
      </c>
      <c r="P22" s="59">
        <v>596314.29999999993</v>
      </c>
      <c r="Q22" s="87">
        <v>119</v>
      </c>
      <c r="R22" s="85" t="str">
        <f t="shared" si="0"/>
        <v>Rizwan Khan</v>
      </c>
      <c r="S22" s="34">
        <f t="shared" si="1"/>
        <v>5011.0445378151253</v>
      </c>
    </row>
    <row r="23" spans="3:20" x14ac:dyDescent="0.3">
      <c r="C23" s="28" t="s">
        <v>530</v>
      </c>
      <c r="D23" s="59">
        <v>1759077.5</v>
      </c>
      <c r="E23" s="59">
        <v>469127.50000000006</v>
      </c>
      <c r="G23" s="28" t="s">
        <v>534</v>
      </c>
      <c r="H23" s="62">
        <v>0.26697821235870639</v>
      </c>
      <c r="O23" s="28" t="s">
        <v>530</v>
      </c>
      <c r="P23" s="59">
        <v>1759077.5</v>
      </c>
      <c r="Q23" s="87">
        <v>319</v>
      </c>
      <c r="R23" s="86" t="str">
        <f t="shared" si="0"/>
        <v>Anuj Narang</v>
      </c>
      <c r="S23" s="34">
        <f t="shared" si="1"/>
        <v>5514.3495297805639</v>
      </c>
    </row>
    <row r="24" spans="3:20" x14ac:dyDescent="0.3">
      <c r="C24" s="28" t="s">
        <v>529</v>
      </c>
      <c r="D24" s="59">
        <v>1906327.6000000006</v>
      </c>
      <c r="E24" s="59">
        <v>521457.59999999986</v>
      </c>
      <c r="G24" s="28" t="s">
        <v>530</v>
      </c>
      <c r="H24" s="62">
        <v>0.26668950060472041</v>
      </c>
      <c r="O24" s="28" t="s">
        <v>533</v>
      </c>
      <c r="P24" s="59">
        <v>2129895.1</v>
      </c>
      <c r="Q24" s="87">
        <v>374</v>
      </c>
      <c r="R24" s="85" t="str">
        <f t="shared" si="0"/>
        <v>Alok Pal</v>
      </c>
      <c r="S24" s="34">
        <f t="shared" si="1"/>
        <v>5694.9066844919789</v>
      </c>
    </row>
    <row r="25" spans="3:20" x14ac:dyDescent="0.3">
      <c r="C25" s="28" t="s">
        <v>533</v>
      </c>
      <c r="D25" s="59">
        <v>2129895.1</v>
      </c>
      <c r="E25" s="59">
        <v>572835.10000000009</v>
      </c>
      <c r="G25" s="28" t="s">
        <v>531</v>
      </c>
      <c r="H25" s="62">
        <v>0.26291286793710528</v>
      </c>
      <c r="O25" s="28" t="s">
        <v>531</v>
      </c>
      <c r="P25" s="59">
        <v>758499.20000000007</v>
      </c>
      <c r="Q25" s="87">
        <v>128</v>
      </c>
      <c r="R25" s="86" t="str">
        <f t="shared" si="0"/>
        <v>Abhishek Raj</v>
      </c>
      <c r="S25" s="34">
        <f t="shared" si="1"/>
        <v>5925.7750000000005</v>
      </c>
    </row>
    <row r="26" spans="3:20" x14ac:dyDescent="0.3">
      <c r="C26" s="28" t="s">
        <v>537</v>
      </c>
      <c r="D26" s="59">
        <v>7944646.7000000011</v>
      </c>
      <c r="E26" s="87">
        <v>2147316.7000000002</v>
      </c>
      <c r="G26" s="28" t="s">
        <v>537</v>
      </c>
      <c r="H26" s="62">
        <v>0.27028473147836812</v>
      </c>
      <c r="O26" s="28" t="s">
        <v>537</v>
      </c>
      <c r="P26" s="59">
        <v>7944646.6999999993</v>
      </c>
      <c r="Q26" s="87">
        <v>1395</v>
      </c>
      <c r="R26" s="87"/>
      <c r="T26" s="26"/>
    </row>
    <row r="27" spans="3:20" x14ac:dyDescent="0.3">
      <c r="T27" s="26"/>
    </row>
    <row r="28" spans="3:20" x14ac:dyDescent="0.3">
      <c r="T28" s="26"/>
    </row>
    <row r="29" spans="3:20" x14ac:dyDescent="0.3">
      <c r="T29" s="26"/>
    </row>
    <row r="30" spans="3:20" x14ac:dyDescent="0.3">
      <c r="T30" s="26"/>
    </row>
    <row r="31" spans="3:20" x14ac:dyDescent="0.3">
      <c r="T31" s="26"/>
    </row>
    <row r="32" spans="3:20" x14ac:dyDescent="0.3">
      <c r="T32" s="26"/>
    </row>
  </sheetData>
  <mergeCells count="4">
    <mergeCell ref="C1:D1"/>
    <mergeCell ref="F1:G1"/>
    <mergeCell ref="O1:P1"/>
    <mergeCell ref="S1:X1"/>
  </mergeCells>
  <pageMargins left="0.7" right="0.7" top="0.75" bottom="0.75" header="0.3" footer="0.3"/>
  <tableParts count="1">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74"/>
  <sheetViews>
    <sheetView workbookViewId="0">
      <pane ySplit="1" topLeftCell="A1556" activePane="bottomLeft" state="frozen"/>
      <selection pane="bottomLeft" activeCell="J1573" sqref="J1573"/>
    </sheetView>
  </sheetViews>
  <sheetFormatPr defaultRowHeight="18.75" x14ac:dyDescent="0.3"/>
  <cols>
    <col min="1" max="1" width="6" bestFit="1" customWidth="1"/>
    <col min="2" max="2" width="10.09765625" bestFit="1" customWidth="1"/>
    <col min="3" max="3" width="12.796875" customWidth="1"/>
    <col min="4" max="4" width="8" bestFit="1" customWidth="1"/>
    <col min="5" max="5" width="8.09765625" bestFit="1" customWidth="1"/>
    <col min="6" max="6" width="10.3984375" style="3" customWidth="1"/>
    <col min="7" max="7" width="14" customWidth="1"/>
    <col min="8" max="8" width="12.796875" style="26" bestFit="1" customWidth="1"/>
    <col min="9" max="9" width="11.296875" bestFit="1" customWidth="1"/>
    <col min="10" max="10" width="16.19921875" bestFit="1" customWidth="1"/>
    <col min="11" max="11" width="13.5" customWidth="1"/>
    <col min="12" max="12" width="9.796875" bestFit="1" customWidth="1"/>
    <col min="13" max="13" width="8.8984375" bestFit="1" customWidth="1"/>
    <col min="14" max="14" width="14.09765625" bestFit="1" customWidth="1"/>
    <col min="15" max="15" width="14" bestFit="1" customWidth="1"/>
    <col min="16" max="16" width="12.296875" bestFit="1" customWidth="1"/>
    <col min="17" max="17" width="14.296875" bestFit="1" customWidth="1"/>
    <col min="18" max="18" width="13.69921875" bestFit="1" customWidth="1"/>
    <col min="19" max="19" width="12.296875" bestFit="1" customWidth="1"/>
    <col min="20" max="20" width="13.69921875" bestFit="1" customWidth="1"/>
  </cols>
  <sheetData>
    <row r="1" spans="1:20" x14ac:dyDescent="0.3">
      <c r="A1" s="8" t="s">
        <v>0</v>
      </c>
      <c r="B1" s="9" t="s">
        <v>1</v>
      </c>
      <c r="C1" s="10" t="s">
        <v>2</v>
      </c>
      <c r="D1" s="10" t="s">
        <v>3</v>
      </c>
      <c r="E1" s="10" t="s">
        <v>4</v>
      </c>
      <c r="F1" s="11" t="s">
        <v>5</v>
      </c>
      <c r="G1" s="11" t="s">
        <v>6</v>
      </c>
      <c r="H1" s="23" t="s">
        <v>7</v>
      </c>
      <c r="I1" s="12" t="s">
        <v>8</v>
      </c>
      <c r="J1" s="12" t="s">
        <v>9</v>
      </c>
      <c r="K1" s="12" t="s">
        <v>10</v>
      </c>
      <c r="L1" s="12" t="s">
        <v>11</v>
      </c>
      <c r="M1" s="12" t="s">
        <v>12</v>
      </c>
      <c r="N1" s="12" t="s">
        <v>13</v>
      </c>
      <c r="O1" s="12" t="s">
        <v>14</v>
      </c>
      <c r="P1" s="12" t="s">
        <v>15</v>
      </c>
      <c r="Q1" s="12" t="s">
        <v>16</v>
      </c>
      <c r="R1" s="12" t="s">
        <v>17</v>
      </c>
      <c r="S1" s="12" t="s">
        <v>18</v>
      </c>
      <c r="T1" s="13" t="s">
        <v>19</v>
      </c>
    </row>
    <row r="2" spans="1:20" x14ac:dyDescent="0.3">
      <c r="A2" s="14">
        <v>1</v>
      </c>
      <c r="B2" s="4">
        <v>44197</v>
      </c>
      <c r="C2" s="1" t="s">
        <v>530</v>
      </c>
      <c r="D2" s="1" t="s">
        <v>20</v>
      </c>
      <c r="E2" s="1" t="s">
        <v>21</v>
      </c>
      <c r="F2" s="2">
        <v>7</v>
      </c>
      <c r="G2" s="5">
        <v>210</v>
      </c>
      <c r="H2" s="24">
        <f t="shared" ref="H2:H65" si="0">F2*G2</f>
        <v>1470</v>
      </c>
      <c r="I2" s="7">
        <v>0.15</v>
      </c>
      <c r="J2" s="5">
        <f t="shared" ref="J2:J65" si="1">H2*I2</f>
        <v>220.5</v>
      </c>
      <c r="K2" s="5">
        <f t="shared" ref="K2:K65" si="2">H2-J2</f>
        <v>1249.5</v>
      </c>
      <c r="L2" s="5">
        <v>150</v>
      </c>
      <c r="M2" s="5">
        <f t="shared" ref="M2:M65" si="3">K2-(F2*L2)</f>
        <v>199.5</v>
      </c>
      <c r="N2" s="7">
        <f t="shared" ref="N2:N65" si="4">IFERROR(M2/K2,0)</f>
        <v>0.15966386554621848</v>
      </c>
      <c r="O2" s="1" t="s">
        <v>22</v>
      </c>
      <c r="P2" s="1" t="s">
        <v>23</v>
      </c>
      <c r="Q2" s="1" t="s">
        <v>24</v>
      </c>
      <c r="R2" s="1" t="s">
        <v>25</v>
      </c>
      <c r="S2" s="1" t="s">
        <v>26</v>
      </c>
      <c r="T2" s="15" t="s">
        <v>27</v>
      </c>
    </row>
    <row r="3" spans="1:20" x14ac:dyDescent="0.3">
      <c r="A3" s="14">
        <v>2</v>
      </c>
      <c r="B3" s="4">
        <v>44198</v>
      </c>
      <c r="C3" s="1" t="s">
        <v>529</v>
      </c>
      <c r="D3" s="1" t="s">
        <v>28</v>
      </c>
      <c r="E3" s="1" t="s">
        <v>29</v>
      </c>
      <c r="F3" s="2">
        <v>6</v>
      </c>
      <c r="G3" s="5">
        <v>2100</v>
      </c>
      <c r="H3" s="24">
        <f t="shared" si="0"/>
        <v>12600</v>
      </c>
      <c r="I3" s="7">
        <v>0.1</v>
      </c>
      <c r="J3" s="5">
        <f t="shared" si="1"/>
        <v>1260</v>
      </c>
      <c r="K3" s="5">
        <f t="shared" si="2"/>
        <v>11340</v>
      </c>
      <c r="L3" s="5">
        <v>1510</v>
      </c>
      <c r="M3" s="5">
        <f t="shared" si="3"/>
        <v>2280</v>
      </c>
      <c r="N3" s="7">
        <f t="shared" si="4"/>
        <v>0.20105820105820105</v>
      </c>
      <c r="O3" s="1" t="s">
        <v>30</v>
      </c>
      <c r="P3" s="1" t="s">
        <v>31</v>
      </c>
      <c r="Q3" s="1" t="s">
        <v>32</v>
      </c>
      <c r="R3" s="1" t="s">
        <v>33</v>
      </c>
      <c r="S3" s="1" t="s">
        <v>34</v>
      </c>
      <c r="T3" s="15" t="s">
        <v>35</v>
      </c>
    </row>
    <row r="4" spans="1:20" x14ac:dyDescent="0.3">
      <c r="A4" s="14">
        <v>3</v>
      </c>
      <c r="B4" s="4">
        <v>44199</v>
      </c>
      <c r="C4" s="1" t="s">
        <v>534</v>
      </c>
      <c r="D4" s="1" t="s">
        <v>20</v>
      </c>
      <c r="E4" s="1" t="s">
        <v>36</v>
      </c>
      <c r="F4" s="2">
        <v>5</v>
      </c>
      <c r="G4" s="5">
        <v>1200</v>
      </c>
      <c r="H4" s="24">
        <f t="shared" si="0"/>
        <v>6000</v>
      </c>
      <c r="I4" s="7">
        <v>0.15</v>
      </c>
      <c r="J4" s="5">
        <f t="shared" si="1"/>
        <v>900</v>
      </c>
      <c r="K4" s="5">
        <f t="shared" si="2"/>
        <v>5100</v>
      </c>
      <c r="L4" s="5">
        <v>810</v>
      </c>
      <c r="M4" s="5">
        <f t="shared" si="3"/>
        <v>1050</v>
      </c>
      <c r="N4" s="7">
        <f t="shared" si="4"/>
        <v>0.20588235294117646</v>
      </c>
      <c r="O4" s="1" t="s">
        <v>30</v>
      </c>
      <c r="P4" s="1" t="s">
        <v>31</v>
      </c>
      <c r="Q4" s="1" t="s">
        <v>37</v>
      </c>
      <c r="R4" s="1" t="s">
        <v>38</v>
      </c>
      <c r="S4" s="1" t="s">
        <v>39</v>
      </c>
      <c r="T4" s="15" t="s">
        <v>27</v>
      </c>
    </row>
    <row r="5" spans="1:20" x14ac:dyDescent="0.3">
      <c r="A5" s="14">
        <v>4</v>
      </c>
      <c r="B5" s="4">
        <v>44200</v>
      </c>
      <c r="C5" s="1" t="s">
        <v>531</v>
      </c>
      <c r="D5" s="1" t="s">
        <v>28</v>
      </c>
      <c r="E5" s="1" t="s">
        <v>40</v>
      </c>
      <c r="F5" s="2">
        <v>4</v>
      </c>
      <c r="G5" s="5">
        <v>1500</v>
      </c>
      <c r="H5" s="24">
        <f t="shared" si="0"/>
        <v>6000</v>
      </c>
      <c r="I5" s="7">
        <v>0.1</v>
      </c>
      <c r="J5" s="5">
        <f t="shared" si="1"/>
        <v>600</v>
      </c>
      <c r="K5" s="5">
        <f t="shared" si="2"/>
        <v>5400</v>
      </c>
      <c r="L5" s="5">
        <v>1020</v>
      </c>
      <c r="M5" s="5">
        <f t="shared" si="3"/>
        <v>1320</v>
      </c>
      <c r="N5" s="7">
        <f t="shared" si="4"/>
        <v>0.24444444444444444</v>
      </c>
      <c r="O5" s="1" t="s">
        <v>41</v>
      </c>
      <c r="P5" s="1" t="s">
        <v>31</v>
      </c>
      <c r="Q5" s="1" t="s">
        <v>37</v>
      </c>
      <c r="R5" s="1" t="s">
        <v>38</v>
      </c>
      <c r="S5" s="1" t="s">
        <v>42</v>
      </c>
      <c r="T5" s="15" t="s">
        <v>35</v>
      </c>
    </row>
    <row r="6" spans="1:20" x14ac:dyDescent="0.3">
      <c r="A6" s="14">
        <v>5</v>
      </c>
      <c r="B6" s="4">
        <v>44201</v>
      </c>
      <c r="C6" s="1" t="s">
        <v>532</v>
      </c>
      <c r="D6" s="1" t="s">
        <v>20</v>
      </c>
      <c r="E6" s="1" t="s">
        <v>43</v>
      </c>
      <c r="F6" s="2">
        <v>3</v>
      </c>
      <c r="G6" s="5">
        <v>300</v>
      </c>
      <c r="H6" s="24">
        <f t="shared" si="0"/>
        <v>900</v>
      </c>
      <c r="I6" s="7">
        <v>0.05</v>
      </c>
      <c r="J6" s="5">
        <f t="shared" si="1"/>
        <v>45</v>
      </c>
      <c r="K6" s="5">
        <f t="shared" si="2"/>
        <v>855</v>
      </c>
      <c r="L6" s="5">
        <v>180</v>
      </c>
      <c r="M6" s="5">
        <f t="shared" si="3"/>
        <v>315</v>
      </c>
      <c r="N6" s="7">
        <f t="shared" si="4"/>
        <v>0.36842105263157893</v>
      </c>
      <c r="O6" s="1" t="s">
        <v>30</v>
      </c>
      <c r="P6" s="1" t="s">
        <v>31</v>
      </c>
      <c r="Q6" s="1" t="s">
        <v>37</v>
      </c>
      <c r="R6" s="1" t="s">
        <v>25</v>
      </c>
      <c r="S6" s="1" t="s">
        <v>44</v>
      </c>
      <c r="T6" s="15" t="s">
        <v>35</v>
      </c>
    </row>
    <row r="7" spans="1:20" x14ac:dyDescent="0.3">
      <c r="A7" s="14">
        <v>6</v>
      </c>
      <c r="B7" s="4">
        <v>44202</v>
      </c>
      <c r="C7" s="1" t="s">
        <v>533</v>
      </c>
      <c r="D7" s="1" t="s">
        <v>20</v>
      </c>
      <c r="E7" s="1" t="s">
        <v>45</v>
      </c>
      <c r="F7" s="2">
        <v>2</v>
      </c>
      <c r="G7" s="5">
        <v>190</v>
      </c>
      <c r="H7" s="24">
        <f t="shared" si="0"/>
        <v>380</v>
      </c>
      <c r="I7" s="7">
        <v>0.05</v>
      </c>
      <c r="J7" s="5">
        <f t="shared" si="1"/>
        <v>19</v>
      </c>
      <c r="K7" s="5">
        <f t="shared" si="2"/>
        <v>361</v>
      </c>
      <c r="L7" s="5">
        <v>130</v>
      </c>
      <c r="M7" s="5">
        <f t="shared" si="3"/>
        <v>101</v>
      </c>
      <c r="N7" s="7">
        <f t="shared" si="4"/>
        <v>0.27977839335180055</v>
      </c>
      <c r="O7" s="1" t="s">
        <v>22</v>
      </c>
      <c r="P7" s="1" t="s">
        <v>31</v>
      </c>
      <c r="Q7" s="1" t="s">
        <v>32</v>
      </c>
      <c r="R7" s="1" t="s">
        <v>46</v>
      </c>
      <c r="S7" s="1" t="s">
        <v>47</v>
      </c>
      <c r="T7" s="15" t="s">
        <v>35</v>
      </c>
    </row>
    <row r="8" spans="1:20" x14ac:dyDescent="0.3">
      <c r="A8" s="14">
        <v>7</v>
      </c>
      <c r="B8" s="4">
        <v>44203</v>
      </c>
      <c r="C8" s="1" t="s">
        <v>530</v>
      </c>
      <c r="D8" s="1" t="s">
        <v>20</v>
      </c>
      <c r="E8" s="1" t="s">
        <v>21</v>
      </c>
      <c r="F8" s="2">
        <v>7</v>
      </c>
      <c r="G8" s="5">
        <v>210</v>
      </c>
      <c r="H8" s="24">
        <f t="shared" si="0"/>
        <v>1470</v>
      </c>
      <c r="I8" s="7">
        <v>0.02</v>
      </c>
      <c r="J8" s="5">
        <f t="shared" si="1"/>
        <v>29.400000000000002</v>
      </c>
      <c r="K8" s="5">
        <f t="shared" si="2"/>
        <v>1440.6</v>
      </c>
      <c r="L8" s="5">
        <v>160</v>
      </c>
      <c r="M8" s="5">
        <f t="shared" si="3"/>
        <v>320.59999999999991</v>
      </c>
      <c r="N8" s="7">
        <f t="shared" si="4"/>
        <v>0.22254616132167149</v>
      </c>
      <c r="O8" s="1" t="s">
        <v>30</v>
      </c>
      <c r="P8" s="1" t="s">
        <v>31</v>
      </c>
      <c r="Q8" s="1" t="s">
        <v>48</v>
      </c>
      <c r="R8" s="1" t="s">
        <v>49</v>
      </c>
      <c r="S8" s="1" t="s">
        <v>44</v>
      </c>
      <c r="T8" s="15" t="s">
        <v>27</v>
      </c>
    </row>
    <row r="9" spans="1:20" x14ac:dyDescent="0.3">
      <c r="A9" s="14">
        <v>8</v>
      </c>
      <c r="B9" s="4">
        <v>44204</v>
      </c>
      <c r="C9" s="1" t="s">
        <v>529</v>
      </c>
      <c r="D9" s="1" t="s">
        <v>28</v>
      </c>
      <c r="E9" s="1" t="s">
        <v>29</v>
      </c>
      <c r="F9" s="2">
        <v>6</v>
      </c>
      <c r="G9" s="5">
        <v>2100</v>
      </c>
      <c r="H9" s="24">
        <f t="shared" si="0"/>
        <v>12600</v>
      </c>
      <c r="I9" s="7">
        <v>0</v>
      </c>
      <c r="J9" s="5">
        <f t="shared" si="1"/>
        <v>0</v>
      </c>
      <c r="K9" s="5">
        <f t="shared" si="2"/>
        <v>12600</v>
      </c>
      <c r="L9" s="5">
        <v>1470</v>
      </c>
      <c r="M9" s="5">
        <f t="shared" si="3"/>
        <v>3780</v>
      </c>
      <c r="N9" s="7">
        <f t="shared" si="4"/>
        <v>0.3</v>
      </c>
      <c r="O9" s="1" t="s">
        <v>30</v>
      </c>
      <c r="P9" s="1" t="s">
        <v>31</v>
      </c>
      <c r="Q9" s="1" t="s">
        <v>48</v>
      </c>
      <c r="R9" s="1" t="s">
        <v>50</v>
      </c>
      <c r="S9" s="1" t="s">
        <v>51</v>
      </c>
      <c r="T9" s="15" t="s">
        <v>35</v>
      </c>
    </row>
    <row r="10" spans="1:20" x14ac:dyDescent="0.3">
      <c r="A10" s="14">
        <v>9</v>
      </c>
      <c r="B10" s="4">
        <v>44205</v>
      </c>
      <c r="C10" s="1" t="s">
        <v>534</v>
      </c>
      <c r="D10" s="1" t="s">
        <v>28</v>
      </c>
      <c r="E10" s="1" t="s">
        <v>36</v>
      </c>
      <c r="F10" s="2">
        <v>5</v>
      </c>
      <c r="G10" s="5">
        <v>1200</v>
      </c>
      <c r="H10" s="24">
        <f t="shared" si="0"/>
        <v>6000</v>
      </c>
      <c r="I10" s="7">
        <v>0.02</v>
      </c>
      <c r="J10" s="5">
        <f t="shared" si="1"/>
        <v>120</v>
      </c>
      <c r="K10" s="5">
        <f t="shared" si="2"/>
        <v>5880</v>
      </c>
      <c r="L10" s="5">
        <v>950</v>
      </c>
      <c r="M10" s="5">
        <f t="shared" si="3"/>
        <v>1130</v>
      </c>
      <c r="N10" s="7">
        <f t="shared" si="4"/>
        <v>0.19217687074829931</v>
      </c>
      <c r="O10" s="1" t="s">
        <v>41</v>
      </c>
      <c r="P10" s="1" t="s">
        <v>31</v>
      </c>
      <c r="Q10" s="1" t="s">
        <v>24</v>
      </c>
      <c r="R10" s="1" t="s">
        <v>46</v>
      </c>
      <c r="S10" s="1" t="s">
        <v>52</v>
      </c>
      <c r="T10" s="15" t="s">
        <v>53</v>
      </c>
    </row>
    <row r="11" spans="1:20" x14ac:dyDescent="0.3">
      <c r="A11" s="14">
        <v>10</v>
      </c>
      <c r="B11" s="4">
        <v>44206</v>
      </c>
      <c r="C11" s="1" t="s">
        <v>531</v>
      </c>
      <c r="D11" s="1" t="s">
        <v>20</v>
      </c>
      <c r="E11" s="1" t="s">
        <v>40</v>
      </c>
      <c r="F11" s="2">
        <v>4</v>
      </c>
      <c r="G11" s="5">
        <v>1500</v>
      </c>
      <c r="H11" s="24">
        <f t="shared" si="0"/>
        <v>6000</v>
      </c>
      <c r="I11" s="7">
        <v>0.1</v>
      </c>
      <c r="J11" s="5">
        <f t="shared" si="1"/>
        <v>600</v>
      </c>
      <c r="K11" s="5">
        <f t="shared" si="2"/>
        <v>5400</v>
      </c>
      <c r="L11" s="5">
        <v>1040</v>
      </c>
      <c r="M11" s="5">
        <f t="shared" si="3"/>
        <v>1240</v>
      </c>
      <c r="N11" s="7">
        <f t="shared" si="4"/>
        <v>0.22962962962962963</v>
      </c>
      <c r="O11" s="1" t="s">
        <v>54</v>
      </c>
      <c r="P11" s="1" t="s">
        <v>31</v>
      </c>
      <c r="Q11" s="1" t="s">
        <v>24</v>
      </c>
      <c r="R11" s="1" t="s">
        <v>46</v>
      </c>
      <c r="S11" s="1" t="s">
        <v>55</v>
      </c>
      <c r="T11" s="15" t="s">
        <v>35</v>
      </c>
    </row>
    <row r="12" spans="1:20" x14ac:dyDescent="0.3">
      <c r="A12" s="14">
        <v>11</v>
      </c>
      <c r="B12" s="4">
        <v>44207</v>
      </c>
      <c r="C12" s="1" t="s">
        <v>532</v>
      </c>
      <c r="D12" s="1" t="s">
        <v>20</v>
      </c>
      <c r="E12" s="1" t="s">
        <v>43</v>
      </c>
      <c r="F12" s="2">
        <v>3</v>
      </c>
      <c r="G12" s="5">
        <v>300</v>
      </c>
      <c r="H12" s="24">
        <f t="shared" si="0"/>
        <v>900</v>
      </c>
      <c r="I12" s="7">
        <v>0.05</v>
      </c>
      <c r="J12" s="5">
        <f t="shared" si="1"/>
        <v>45</v>
      </c>
      <c r="K12" s="5">
        <f t="shared" si="2"/>
        <v>855</v>
      </c>
      <c r="L12" s="5">
        <v>230</v>
      </c>
      <c r="M12" s="5">
        <f t="shared" si="3"/>
        <v>165</v>
      </c>
      <c r="N12" s="7">
        <f t="shared" si="4"/>
        <v>0.19298245614035087</v>
      </c>
      <c r="O12" s="1" t="s">
        <v>54</v>
      </c>
      <c r="P12" s="1" t="s">
        <v>31</v>
      </c>
      <c r="Q12" s="1" t="s">
        <v>37</v>
      </c>
      <c r="R12" s="1" t="s">
        <v>56</v>
      </c>
      <c r="S12" s="1" t="s">
        <v>57</v>
      </c>
      <c r="T12" s="15" t="s">
        <v>53</v>
      </c>
    </row>
    <row r="13" spans="1:20" x14ac:dyDescent="0.3">
      <c r="A13" s="14">
        <v>12</v>
      </c>
      <c r="B13" s="4">
        <v>44208</v>
      </c>
      <c r="C13" s="1" t="s">
        <v>533</v>
      </c>
      <c r="D13" s="1" t="s">
        <v>28</v>
      </c>
      <c r="E13" s="1" t="s">
        <v>45</v>
      </c>
      <c r="F13" s="2">
        <v>2</v>
      </c>
      <c r="G13" s="5">
        <v>190</v>
      </c>
      <c r="H13" s="24">
        <f t="shared" si="0"/>
        <v>380</v>
      </c>
      <c r="I13" s="7">
        <v>0</v>
      </c>
      <c r="J13" s="5">
        <f t="shared" si="1"/>
        <v>0</v>
      </c>
      <c r="K13" s="5">
        <f t="shared" si="2"/>
        <v>380</v>
      </c>
      <c r="L13" s="5">
        <v>130</v>
      </c>
      <c r="M13" s="5">
        <f t="shared" si="3"/>
        <v>120</v>
      </c>
      <c r="N13" s="7">
        <f t="shared" si="4"/>
        <v>0.31578947368421051</v>
      </c>
      <c r="O13" s="1" t="s">
        <v>30</v>
      </c>
      <c r="P13" s="1" t="s">
        <v>31</v>
      </c>
      <c r="Q13" s="1" t="s">
        <v>24</v>
      </c>
      <c r="R13" s="1" t="s">
        <v>46</v>
      </c>
      <c r="S13" s="1" t="s">
        <v>58</v>
      </c>
      <c r="T13" s="15" t="s">
        <v>53</v>
      </c>
    </row>
    <row r="14" spans="1:20" x14ac:dyDescent="0.3">
      <c r="A14" s="14">
        <v>13</v>
      </c>
      <c r="B14" s="4">
        <v>44209</v>
      </c>
      <c r="C14" s="1" t="s">
        <v>533</v>
      </c>
      <c r="D14" s="1" t="s">
        <v>20</v>
      </c>
      <c r="E14" s="1" t="s">
        <v>21</v>
      </c>
      <c r="F14" s="2">
        <v>2</v>
      </c>
      <c r="G14" s="5">
        <v>210</v>
      </c>
      <c r="H14" s="24">
        <f t="shared" si="0"/>
        <v>420</v>
      </c>
      <c r="I14" s="7">
        <v>0.05</v>
      </c>
      <c r="J14" s="5">
        <f t="shared" si="1"/>
        <v>21</v>
      </c>
      <c r="K14" s="5">
        <f t="shared" si="2"/>
        <v>399</v>
      </c>
      <c r="L14" s="5">
        <v>130</v>
      </c>
      <c r="M14" s="5">
        <f t="shared" si="3"/>
        <v>139</v>
      </c>
      <c r="N14" s="7">
        <f t="shared" si="4"/>
        <v>0.34837092731829572</v>
      </c>
      <c r="O14" s="1" t="s">
        <v>59</v>
      </c>
      <c r="P14" s="1" t="s">
        <v>31</v>
      </c>
      <c r="Q14" s="1" t="s">
        <v>37</v>
      </c>
      <c r="R14" s="1" t="s">
        <v>49</v>
      </c>
      <c r="S14" s="1" t="s">
        <v>60</v>
      </c>
      <c r="T14" s="15" t="s">
        <v>61</v>
      </c>
    </row>
    <row r="15" spans="1:20" x14ac:dyDescent="0.3">
      <c r="A15" s="14">
        <v>14</v>
      </c>
      <c r="B15" s="4">
        <v>44210</v>
      </c>
      <c r="C15" s="1" t="s">
        <v>530</v>
      </c>
      <c r="D15" s="1" t="s">
        <v>20</v>
      </c>
      <c r="E15" s="1" t="s">
        <v>29</v>
      </c>
      <c r="F15" s="2">
        <v>7</v>
      </c>
      <c r="G15" s="5">
        <v>2100</v>
      </c>
      <c r="H15" s="24">
        <f t="shared" si="0"/>
        <v>14700</v>
      </c>
      <c r="I15" s="7">
        <v>0.1</v>
      </c>
      <c r="J15" s="5">
        <f t="shared" si="1"/>
        <v>1470</v>
      </c>
      <c r="K15" s="5">
        <f t="shared" si="2"/>
        <v>13230</v>
      </c>
      <c r="L15" s="5">
        <v>1440</v>
      </c>
      <c r="M15" s="5">
        <f t="shared" si="3"/>
        <v>3150</v>
      </c>
      <c r="N15" s="7">
        <f t="shared" si="4"/>
        <v>0.23809523809523808</v>
      </c>
      <c r="O15" s="1" t="s">
        <v>54</v>
      </c>
      <c r="P15" s="1" t="s">
        <v>31</v>
      </c>
      <c r="Q15" s="1" t="s">
        <v>32</v>
      </c>
      <c r="R15" s="1" t="s">
        <v>46</v>
      </c>
      <c r="S15" s="1" t="s">
        <v>26</v>
      </c>
      <c r="T15" s="15" t="s">
        <v>53</v>
      </c>
    </row>
    <row r="16" spans="1:20" x14ac:dyDescent="0.3">
      <c r="A16" s="14">
        <v>15</v>
      </c>
      <c r="B16" s="4">
        <v>44211</v>
      </c>
      <c r="C16" s="1" t="s">
        <v>529</v>
      </c>
      <c r="D16" s="1" t="s">
        <v>20</v>
      </c>
      <c r="E16" s="1" t="s">
        <v>36</v>
      </c>
      <c r="F16" s="2">
        <v>6</v>
      </c>
      <c r="G16" s="5">
        <v>1200</v>
      </c>
      <c r="H16" s="24">
        <f t="shared" si="0"/>
        <v>7200</v>
      </c>
      <c r="I16" s="7">
        <v>0.1</v>
      </c>
      <c r="J16" s="5">
        <f t="shared" si="1"/>
        <v>720</v>
      </c>
      <c r="K16" s="5">
        <f t="shared" si="2"/>
        <v>6480</v>
      </c>
      <c r="L16" s="5">
        <v>880</v>
      </c>
      <c r="M16" s="5">
        <f t="shared" si="3"/>
        <v>1200</v>
      </c>
      <c r="N16" s="7">
        <f t="shared" si="4"/>
        <v>0.18518518518518517</v>
      </c>
      <c r="O16" s="1" t="s">
        <v>41</v>
      </c>
      <c r="P16" s="1" t="s">
        <v>62</v>
      </c>
      <c r="Q16" s="1" t="s">
        <v>37</v>
      </c>
      <c r="R16" s="1" t="s">
        <v>63</v>
      </c>
      <c r="S16" s="1" t="s">
        <v>64</v>
      </c>
      <c r="T16" s="15" t="s">
        <v>53</v>
      </c>
    </row>
    <row r="17" spans="1:20" x14ac:dyDescent="0.3">
      <c r="A17" s="14">
        <v>16</v>
      </c>
      <c r="B17" s="4">
        <v>44212</v>
      </c>
      <c r="C17" s="1" t="s">
        <v>534</v>
      </c>
      <c r="D17" s="1" t="s">
        <v>20</v>
      </c>
      <c r="E17" s="1" t="s">
        <v>40</v>
      </c>
      <c r="F17" s="2">
        <v>5</v>
      </c>
      <c r="G17" s="5">
        <v>1500</v>
      </c>
      <c r="H17" s="24">
        <f t="shared" si="0"/>
        <v>7500</v>
      </c>
      <c r="I17" s="7">
        <v>0.05</v>
      </c>
      <c r="J17" s="5">
        <f t="shared" si="1"/>
        <v>375</v>
      </c>
      <c r="K17" s="5">
        <f t="shared" si="2"/>
        <v>7125</v>
      </c>
      <c r="L17" s="5">
        <v>1140</v>
      </c>
      <c r="M17" s="5">
        <f t="shared" si="3"/>
        <v>1425</v>
      </c>
      <c r="N17" s="7">
        <f t="shared" si="4"/>
        <v>0.2</v>
      </c>
      <c r="O17" s="1" t="s">
        <v>54</v>
      </c>
      <c r="P17" s="1" t="s">
        <v>31</v>
      </c>
      <c r="Q17" s="1" t="s">
        <v>37</v>
      </c>
      <c r="R17" s="1" t="s">
        <v>50</v>
      </c>
      <c r="S17" s="1" t="s">
        <v>65</v>
      </c>
      <c r="T17" s="15" t="s">
        <v>35</v>
      </c>
    </row>
    <row r="18" spans="1:20" x14ac:dyDescent="0.3">
      <c r="A18" s="14">
        <v>17</v>
      </c>
      <c r="B18" s="4">
        <v>44213</v>
      </c>
      <c r="C18" s="1" t="s">
        <v>531</v>
      </c>
      <c r="D18" s="1" t="s">
        <v>20</v>
      </c>
      <c r="E18" s="1" t="s">
        <v>43</v>
      </c>
      <c r="F18" s="2">
        <v>4</v>
      </c>
      <c r="G18" s="5">
        <v>300</v>
      </c>
      <c r="H18" s="24">
        <f t="shared" si="0"/>
        <v>1200</v>
      </c>
      <c r="I18" s="7">
        <v>0</v>
      </c>
      <c r="J18" s="5">
        <f t="shared" si="1"/>
        <v>0</v>
      </c>
      <c r="K18" s="5">
        <f t="shared" si="2"/>
        <v>1200</v>
      </c>
      <c r="L18" s="5">
        <v>190</v>
      </c>
      <c r="M18" s="5">
        <f t="shared" si="3"/>
        <v>440</v>
      </c>
      <c r="N18" s="7">
        <f t="shared" si="4"/>
        <v>0.36666666666666664</v>
      </c>
      <c r="O18" s="1" t="s">
        <v>30</v>
      </c>
      <c r="P18" s="1" t="s">
        <v>31</v>
      </c>
      <c r="Q18" s="1" t="s">
        <v>37</v>
      </c>
      <c r="R18" s="1" t="s">
        <v>66</v>
      </c>
      <c r="S18" s="1" t="s">
        <v>67</v>
      </c>
      <c r="T18" s="15" t="s">
        <v>61</v>
      </c>
    </row>
    <row r="19" spans="1:20" x14ac:dyDescent="0.3">
      <c r="A19" s="14">
        <v>18</v>
      </c>
      <c r="B19" s="4">
        <v>44214</v>
      </c>
      <c r="C19" s="1" t="s">
        <v>532</v>
      </c>
      <c r="D19" s="1" t="s">
        <v>20</v>
      </c>
      <c r="E19" s="1" t="s">
        <v>45</v>
      </c>
      <c r="F19" s="2">
        <v>3</v>
      </c>
      <c r="G19" s="5">
        <v>190</v>
      </c>
      <c r="H19" s="24">
        <f t="shared" si="0"/>
        <v>570</v>
      </c>
      <c r="I19" s="7">
        <v>0.05</v>
      </c>
      <c r="J19" s="5">
        <f t="shared" si="1"/>
        <v>28.5</v>
      </c>
      <c r="K19" s="5">
        <f t="shared" si="2"/>
        <v>541.5</v>
      </c>
      <c r="L19" s="5">
        <v>140</v>
      </c>
      <c r="M19" s="5">
        <f t="shared" si="3"/>
        <v>121.5</v>
      </c>
      <c r="N19" s="7">
        <f t="shared" si="4"/>
        <v>0.22437673130193905</v>
      </c>
      <c r="O19" s="1" t="s">
        <v>30</v>
      </c>
      <c r="P19" s="1" t="s">
        <v>31</v>
      </c>
      <c r="Q19" s="1" t="s">
        <v>32</v>
      </c>
      <c r="R19" s="1" t="s">
        <v>49</v>
      </c>
      <c r="S19" s="1" t="s">
        <v>68</v>
      </c>
      <c r="T19" s="15" t="s">
        <v>61</v>
      </c>
    </row>
    <row r="20" spans="1:20" x14ac:dyDescent="0.3">
      <c r="A20" s="14">
        <v>19</v>
      </c>
      <c r="B20" s="4">
        <v>44215</v>
      </c>
      <c r="C20" s="1" t="s">
        <v>533</v>
      </c>
      <c r="D20" s="1" t="s">
        <v>20</v>
      </c>
      <c r="E20" s="1" t="s">
        <v>21</v>
      </c>
      <c r="F20" s="2">
        <v>2</v>
      </c>
      <c r="G20" s="5">
        <v>210</v>
      </c>
      <c r="H20" s="24">
        <f t="shared" si="0"/>
        <v>420</v>
      </c>
      <c r="I20" s="7">
        <v>0.15</v>
      </c>
      <c r="J20" s="5">
        <f t="shared" si="1"/>
        <v>63</v>
      </c>
      <c r="K20" s="5">
        <f t="shared" si="2"/>
        <v>357</v>
      </c>
      <c r="L20" s="5">
        <v>130</v>
      </c>
      <c r="M20" s="5">
        <f t="shared" si="3"/>
        <v>97</v>
      </c>
      <c r="N20" s="7">
        <f t="shared" si="4"/>
        <v>0.27170868347338933</v>
      </c>
      <c r="O20" s="1" t="s">
        <v>59</v>
      </c>
      <c r="P20" s="1" t="s">
        <v>23</v>
      </c>
      <c r="Q20" s="1" t="s">
        <v>32</v>
      </c>
      <c r="R20" s="1" t="s">
        <v>63</v>
      </c>
      <c r="S20" s="1" t="s">
        <v>69</v>
      </c>
      <c r="T20" s="15" t="s">
        <v>35</v>
      </c>
    </row>
    <row r="21" spans="1:20" x14ac:dyDescent="0.3">
      <c r="A21" s="14">
        <v>20</v>
      </c>
      <c r="B21" s="4">
        <v>44216</v>
      </c>
      <c r="C21" s="1" t="s">
        <v>530</v>
      </c>
      <c r="D21" s="1" t="s">
        <v>20</v>
      </c>
      <c r="E21" s="1" t="s">
        <v>36</v>
      </c>
      <c r="F21" s="2">
        <v>7</v>
      </c>
      <c r="G21" s="5">
        <v>2100</v>
      </c>
      <c r="H21" s="24">
        <f t="shared" si="0"/>
        <v>14700</v>
      </c>
      <c r="I21" s="7">
        <v>0.15</v>
      </c>
      <c r="J21" s="5">
        <f t="shared" si="1"/>
        <v>2205</v>
      </c>
      <c r="K21" s="5">
        <f t="shared" si="2"/>
        <v>12495</v>
      </c>
      <c r="L21" s="5">
        <v>1560</v>
      </c>
      <c r="M21" s="5">
        <f t="shared" si="3"/>
        <v>1575</v>
      </c>
      <c r="N21" s="7">
        <f t="shared" si="4"/>
        <v>0.12605042016806722</v>
      </c>
      <c r="O21" s="1" t="s">
        <v>54</v>
      </c>
      <c r="P21" s="1" t="s">
        <v>31</v>
      </c>
      <c r="Q21" s="1" t="s">
        <v>32</v>
      </c>
      <c r="R21" s="1" t="s">
        <v>56</v>
      </c>
      <c r="S21" s="1" t="s">
        <v>70</v>
      </c>
      <c r="T21" s="15" t="s">
        <v>27</v>
      </c>
    </row>
    <row r="22" spans="1:20" x14ac:dyDescent="0.3">
      <c r="A22" s="14">
        <v>21</v>
      </c>
      <c r="B22" s="4">
        <v>44217</v>
      </c>
      <c r="C22" s="1" t="s">
        <v>529</v>
      </c>
      <c r="D22" s="1" t="s">
        <v>28</v>
      </c>
      <c r="E22" s="1" t="s">
        <v>40</v>
      </c>
      <c r="F22" s="2">
        <v>6</v>
      </c>
      <c r="G22" s="5">
        <v>1200</v>
      </c>
      <c r="H22" s="24">
        <f t="shared" si="0"/>
        <v>7200</v>
      </c>
      <c r="I22" s="7">
        <v>0.05</v>
      </c>
      <c r="J22" s="5">
        <f t="shared" si="1"/>
        <v>360</v>
      </c>
      <c r="K22" s="5">
        <f t="shared" si="2"/>
        <v>6840</v>
      </c>
      <c r="L22" s="5">
        <v>740</v>
      </c>
      <c r="M22" s="5">
        <f t="shared" si="3"/>
        <v>2400</v>
      </c>
      <c r="N22" s="7">
        <f t="shared" si="4"/>
        <v>0.35087719298245612</v>
      </c>
      <c r="O22" s="1" t="s">
        <v>30</v>
      </c>
      <c r="P22" s="1" t="s">
        <v>31</v>
      </c>
      <c r="Q22" s="1" t="s">
        <v>32</v>
      </c>
      <c r="R22" s="1" t="s">
        <v>56</v>
      </c>
      <c r="S22" s="1" t="s">
        <v>71</v>
      </c>
      <c r="T22" s="15" t="s">
        <v>35</v>
      </c>
    </row>
    <row r="23" spans="1:20" x14ac:dyDescent="0.3">
      <c r="A23" s="14">
        <v>22</v>
      </c>
      <c r="B23" s="4">
        <v>44218</v>
      </c>
      <c r="C23" s="1" t="s">
        <v>534</v>
      </c>
      <c r="D23" s="1" t="s">
        <v>20</v>
      </c>
      <c r="E23" s="1" t="s">
        <v>43</v>
      </c>
      <c r="F23" s="2">
        <v>5</v>
      </c>
      <c r="G23" s="5">
        <v>300</v>
      </c>
      <c r="H23" s="24">
        <f t="shared" si="0"/>
        <v>1500</v>
      </c>
      <c r="I23" s="7">
        <v>0</v>
      </c>
      <c r="J23" s="5">
        <f t="shared" si="1"/>
        <v>0</v>
      </c>
      <c r="K23" s="5">
        <f t="shared" si="2"/>
        <v>1500</v>
      </c>
      <c r="L23" s="5">
        <v>230</v>
      </c>
      <c r="M23" s="5">
        <f t="shared" si="3"/>
        <v>350</v>
      </c>
      <c r="N23" s="7">
        <f t="shared" si="4"/>
        <v>0.23333333333333334</v>
      </c>
      <c r="O23" s="1" t="s">
        <v>54</v>
      </c>
      <c r="P23" s="1" t="s">
        <v>31</v>
      </c>
      <c r="Q23" s="1" t="s">
        <v>32</v>
      </c>
      <c r="R23" s="1" t="s">
        <v>49</v>
      </c>
      <c r="S23" s="1" t="s">
        <v>72</v>
      </c>
      <c r="T23" s="15" t="s">
        <v>35</v>
      </c>
    </row>
    <row r="24" spans="1:20" x14ac:dyDescent="0.3">
      <c r="A24" s="14">
        <v>23</v>
      </c>
      <c r="B24" s="4">
        <v>44219</v>
      </c>
      <c r="C24" s="1" t="s">
        <v>531</v>
      </c>
      <c r="D24" s="1" t="s">
        <v>28</v>
      </c>
      <c r="E24" s="1" t="s">
        <v>45</v>
      </c>
      <c r="F24" s="2">
        <v>4</v>
      </c>
      <c r="G24" s="5">
        <v>200</v>
      </c>
      <c r="H24" s="24">
        <f t="shared" si="0"/>
        <v>800</v>
      </c>
      <c r="I24" s="7">
        <v>0</v>
      </c>
      <c r="J24" s="5">
        <f t="shared" si="1"/>
        <v>0</v>
      </c>
      <c r="K24" s="5">
        <f t="shared" si="2"/>
        <v>800</v>
      </c>
      <c r="L24" s="5">
        <v>130</v>
      </c>
      <c r="M24" s="5">
        <f t="shared" si="3"/>
        <v>280</v>
      </c>
      <c r="N24" s="7">
        <f t="shared" si="4"/>
        <v>0.35</v>
      </c>
      <c r="O24" s="1" t="s">
        <v>22</v>
      </c>
      <c r="P24" s="1" t="s">
        <v>31</v>
      </c>
      <c r="Q24" s="1" t="s">
        <v>24</v>
      </c>
      <c r="R24" s="1" t="s">
        <v>46</v>
      </c>
      <c r="S24" s="1" t="s">
        <v>73</v>
      </c>
      <c r="T24" s="15" t="s">
        <v>27</v>
      </c>
    </row>
    <row r="25" spans="1:20" x14ac:dyDescent="0.3">
      <c r="A25" s="14">
        <v>24</v>
      </c>
      <c r="B25" s="4">
        <v>44220</v>
      </c>
      <c r="C25" s="1" t="s">
        <v>532</v>
      </c>
      <c r="D25" s="1" t="s">
        <v>20</v>
      </c>
      <c r="E25" s="1" t="s">
        <v>21</v>
      </c>
      <c r="F25" s="2">
        <v>3</v>
      </c>
      <c r="G25" s="5">
        <v>190</v>
      </c>
      <c r="H25" s="24">
        <f t="shared" si="0"/>
        <v>570</v>
      </c>
      <c r="I25" s="7">
        <v>0</v>
      </c>
      <c r="J25" s="5">
        <f t="shared" si="1"/>
        <v>0</v>
      </c>
      <c r="K25" s="5">
        <f t="shared" si="2"/>
        <v>570</v>
      </c>
      <c r="L25" s="5">
        <v>150</v>
      </c>
      <c r="M25" s="5">
        <f t="shared" si="3"/>
        <v>120</v>
      </c>
      <c r="N25" s="7">
        <f t="shared" si="4"/>
        <v>0.21052631578947367</v>
      </c>
      <c r="O25" s="1" t="s">
        <v>54</v>
      </c>
      <c r="P25" s="1" t="s">
        <v>31</v>
      </c>
      <c r="Q25" s="1" t="s">
        <v>32</v>
      </c>
      <c r="R25" s="1" t="s">
        <v>63</v>
      </c>
      <c r="S25" s="1" t="s">
        <v>74</v>
      </c>
      <c r="T25" s="15" t="s">
        <v>35</v>
      </c>
    </row>
    <row r="26" spans="1:20" x14ac:dyDescent="0.3">
      <c r="A26" s="14">
        <v>25</v>
      </c>
      <c r="B26" s="4">
        <v>44221</v>
      </c>
      <c r="C26" s="1" t="s">
        <v>533</v>
      </c>
      <c r="D26" s="1" t="s">
        <v>20</v>
      </c>
      <c r="E26" s="1" t="s">
        <v>29</v>
      </c>
      <c r="F26" s="2">
        <v>2</v>
      </c>
      <c r="G26" s="5">
        <v>2100</v>
      </c>
      <c r="H26" s="24">
        <f t="shared" si="0"/>
        <v>4200</v>
      </c>
      <c r="I26" s="7">
        <v>0.02</v>
      </c>
      <c r="J26" s="5">
        <f t="shared" si="1"/>
        <v>84</v>
      </c>
      <c r="K26" s="5">
        <f t="shared" si="2"/>
        <v>4116</v>
      </c>
      <c r="L26" s="5">
        <v>1430</v>
      </c>
      <c r="M26" s="5">
        <f t="shared" si="3"/>
        <v>1256</v>
      </c>
      <c r="N26" s="7">
        <f t="shared" si="4"/>
        <v>0.3051506316812439</v>
      </c>
      <c r="O26" s="1" t="s">
        <v>54</v>
      </c>
      <c r="P26" s="1" t="s">
        <v>31</v>
      </c>
      <c r="Q26" s="1" t="s">
        <v>37</v>
      </c>
      <c r="R26" s="1" t="s">
        <v>33</v>
      </c>
      <c r="S26" s="1" t="s">
        <v>75</v>
      </c>
      <c r="T26" s="15" t="s">
        <v>35</v>
      </c>
    </row>
    <row r="27" spans="1:20" x14ac:dyDescent="0.3">
      <c r="A27" s="14">
        <v>26</v>
      </c>
      <c r="B27" s="4">
        <v>44222</v>
      </c>
      <c r="C27" s="1" t="s">
        <v>533</v>
      </c>
      <c r="D27" s="1" t="s">
        <v>20</v>
      </c>
      <c r="E27" s="1" t="s">
        <v>21</v>
      </c>
      <c r="F27" s="2">
        <v>7</v>
      </c>
      <c r="G27" s="5">
        <v>210</v>
      </c>
      <c r="H27" s="24">
        <f t="shared" si="0"/>
        <v>1470</v>
      </c>
      <c r="I27" s="7">
        <v>0.05</v>
      </c>
      <c r="J27" s="5">
        <f t="shared" si="1"/>
        <v>73.5</v>
      </c>
      <c r="K27" s="5">
        <f t="shared" si="2"/>
        <v>1396.5</v>
      </c>
      <c r="L27" s="5">
        <v>140</v>
      </c>
      <c r="M27" s="5">
        <f t="shared" si="3"/>
        <v>416.5</v>
      </c>
      <c r="N27" s="7">
        <f t="shared" si="4"/>
        <v>0.2982456140350877</v>
      </c>
      <c r="O27" s="1" t="s">
        <v>54</v>
      </c>
      <c r="P27" s="1" t="s">
        <v>76</v>
      </c>
      <c r="Q27" s="1" t="s">
        <v>24</v>
      </c>
      <c r="R27" s="1" t="s">
        <v>33</v>
      </c>
      <c r="S27" s="1" t="s">
        <v>77</v>
      </c>
      <c r="T27" s="15" t="s">
        <v>53</v>
      </c>
    </row>
    <row r="28" spans="1:20" x14ac:dyDescent="0.3">
      <c r="A28" s="14">
        <v>27</v>
      </c>
      <c r="B28" s="4">
        <v>44223</v>
      </c>
      <c r="C28" s="1" t="s">
        <v>530</v>
      </c>
      <c r="D28" s="1" t="s">
        <v>20</v>
      </c>
      <c r="E28" s="1" t="s">
        <v>29</v>
      </c>
      <c r="F28" s="2">
        <v>6</v>
      </c>
      <c r="G28" s="5">
        <v>2100</v>
      </c>
      <c r="H28" s="24">
        <f t="shared" si="0"/>
        <v>12600</v>
      </c>
      <c r="I28" s="7">
        <v>0.1</v>
      </c>
      <c r="J28" s="5">
        <f t="shared" si="1"/>
        <v>1260</v>
      </c>
      <c r="K28" s="5">
        <f t="shared" si="2"/>
        <v>11340</v>
      </c>
      <c r="L28" s="5">
        <v>1630</v>
      </c>
      <c r="M28" s="5">
        <f t="shared" si="3"/>
        <v>1560</v>
      </c>
      <c r="N28" s="7">
        <f t="shared" si="4"/>
        <v>0.13756613756613756</v>
      </c>
      <c r="O28" s="1" t="s">
        <v>22</v>
      </c>
      <c r="P28" s="1" t="s">
        <v>31</v>
      </c>
      <c r="Q28" s="1" t="s">
        <v>48</v>
      </c>
      <c r="R28" s="1" t="s">
        <v>49</v>
      </c>
      <c r="S28" s="1" t="s">
        <v>78</v>
      </c>
      <c r="T28" s="15" t="s">
        <v>27</v>
      </c>
    </row>
    <row r="29" spans="1:20" x14ac:dyDescent="0.3">
      <c r="A29" s="14">
        <v>28</v>
      </c>
      <c r="B29" s="4">
        <v>44224</v>
      </c>
      <c r="C29" s="1" t="s">
        <v>530</v>
      </c>
      <c r="D29" s="1" t="s">
        <v>28</v>
      </c>
      <c r="E29" s="1" t="s">
        <v>21</v>
      </c>
      <c r="F29" s="2">
        <v>7</v>
      </c>
      <c r="G29" s="5">
        <v>210</v>
      </c>
      <c r="H29" s="24">
        <f t="shared" si="0"/>
        <v>1470</v>
      </c>
      <c r="I29" s="7">
        <v>0</v>
      </c>
      <c r="J29" s="5">
        <f t="shared" si="1"/>
        <v>0</v>
      </c>
      <c r="K29" s="5">
        <f t="shared" si="2"/>
        <v>1470</v>
      </c>
      <c r="L29" s="5">
        <v>170</v>
      </c>
      <c r="M29" s="5">
        <f t="shared" si="3"/>
        <v>280</v>
      </c>
      <c r="N29" s="7">
        <f t="shared" si="4"/>
        <v>0.19047619047619047</v>
      </c>
      <c r="O29" s="1" t="s">
        <v>54</v>
      </c>
      <c r="P29" s="1" t="s">
        <v>31</v>
      </c>
      <c r="Q29" s="1" t="s">
        <v>32</v>
      </c>
      <c r="R29" s="1" t="s">
        <v>38</v>
      </c>
      <c r="S29" s="1" t="s">
        <v>79</v>
      </c>
      <c r="T29" s="15" t="s">
        <v>53</v>
      </c>
    </row>
    <row r="30" spans="1:20" x14ac:dyDescent="0.3">
      <c r="A30" s="14">
        <v>29</v>
      </c>
      <c r="B30" s="4">
        <v>44225</v>
      </c>
      <c r="C30" s="1" t="s">
        <v>530</v>
      </c>
      <c r="D30" s="1" t="s">
        <v>80</v>
      </c>
      <c r="E30" s="1" t="s">
        <v>21</v>
      </c>
      <c r="F30" s="2">
        <v>7</v>
      </c>
      <c r="G30" s="5">
        <v>210</v>
      </c>
      <c r="H30" s="24">
        <f t="shared" si="0"/>
        <v>1470</v>
      </c>
      <c r="I30" s="7">
        <v>0.05</v>
      </c>
      <c r="J30" s="5">
        <f t="shared" si="1"/>
        <v>73.5</v>
      </c>
      <c r="K30" s="5">
        <f t="shared" si="2"/>
        <v>1396.5</v>
      </c>
      <c r="L30" s="5">
        <v>160</v>
      </c>
      <c r="M30" s="5">
        <f t="shared" si="3"/>
        <v>276.5</v>
      </c>
      <c r="N30" s="7">
        <f t="shared" si="4"/>
        <v>0.19799498746867167</v>
      </c>
      <c r="O30" s="1" t="s">
        <v>54</v>
      </c>
      <c r="P30" s="1" t="s">
        <v>31</v>
      </c>
      <c r="Q30" s="1" t="s">
        <v>32</v>
      </c>
      <c r="R30" s="1" t="s">
        <v>25</v>
      </c>
      <c r="S30" s="1" t="s">
        <v>81</v>
      </c>
      <c r="T30" s="15" t="s">
        <v>61</v>
      </c>
    </row>
    <row r="31" spans="1:20" x14ac:dyDescent="0.3">
      <c r="A31" s="14">
        <v>30</v>
      </c>
      <c r="B31" s="4">
        <v>44226</v>
      </c>
      <c r="C31" s="1" t="s">
        <v>530</v>
      </c>
      <c r="D31" s="1" t="s">
        <v>82</v>
      </c>
      <c r="E31" s="1" t="s">
        <v>21</v>
      </c>
      <c r="F31" s="2">
        <v>7</v>
      </c>
      <c r="G31" s="5">
        <v>210</v>
      </c>
      <c r="H31" s="24">
        <f t="shared" si="0"/>
        <v>1470</v>
      </c>
      <c r="I31" s="7">
        <v>0</v>
      </c>
      <c r="J31" s="5">
        <f t="shared" si="1"/>
        <v>0</v>
      </c>
      <c r="K31" s="5">
        <f t="shared" si="2"/>
        <v>1470</v>
      </c>
      <c r="L31" s="5">
        <v>160</v>
      </c>
      <c r="M31" s="5">
        <f t="shared" si="3"/>
        <v>350</v>
      </c>
      <c r="N31" s="7">
        <f t="shared" si="4"/>
        <v>0.23809523809523808</v>
      </c>
      <c r="O31" s="1" t="s">
        <v>59</v>
      </c>
      <c r="P31" s="1" t="s">
        <v>31</v>
      </c>
      <c r="Q31" s="1" t="s">
        <v>48</v>
      </c>
      <c r="R31" s="1" t="s">
        <v>46</v>
      </c>
      <c r="S31" s="1" t="s">
        <v>83</v>
      </c>
      <c r="T31" s="15" t="s">
        <v>35</v>
      </c>
    </row>
    <row r="32" spans="1:20" x14ac:dyDescent="0.3">
      <c r="A32" s="14">
        <v>31</v>
      </c>
      <c r="B32" s="4">
        <v>44227</v>
      </c>
      <c r="C32" s="1" t="s">
        <v>530</v>
      </c>
      <c r="D32" s="1" t="s">
        <v>20</v>
      </c>
      <c r="E32" s="1" t="s">
        <v>21</v>
      </c>
      <c r="F32" s="2">
        <v>7</v>
      </c>
      <c r="G32" s="5">
        <v>210</v>
      </c>
      <c r="H32" s="24">
        <f t="shared" si="0"/>
        <v>1470</v>
      </c>
      <c r="I32" s="7">
        <v>0.1</v>
      </c>
      <c r="J32" s="5">
        <f t="shared" si="1"/>
        <v>147</v>
      </c>
      <c r="K32" s="5">
        <f t="shared" si="2"/>
        <v>1323</v>
      </c>
      <c r="L32" s="5">
        <v>120</v>
      </c>
      <c r="M32" s="5">
        <f t="shared" si="3"/>
        <v>483</v>
      </c>
      <c r="N32" s="7">
        <f t="shared" si="4"/>
        <v>0.36507936507936506</v>
      </c>
      <c r="O32" s="1" t="s">
        <v>22</v>
      </c>
      <c r="P32" s="1" t="s">
        <v>31</v>
      </c>
      <c r="Q32" s="1" t="s">
        <v>48</v>
      </c>
      <c r="R32" s="1" t="s">
        <v>66</v>
      </c>
      <c r="S32" s="1" t="s">
        <v>84</v>
      </c>
      <c r="T32" s="15" t="s">
        <v>35</v>
      </c>
    </row>
    <row r="33" spans="1:20" x14ac:dyDescent="0.3">
      <c r="A33" s="14">
        <v>32</v>
      </c>
      <c r="B33" s="4">
        <v>44228</v>
      </c>
      <c r="C33" s="1" t="s">
        <v>530</v>
      </c>
      <c r="D33" s="1" t="s">
        <v>28</v>
      </c>
      <c r="E33" s="1" t="s">
        <v>21</v>
      </c>
      <c r="F33" s="2">
        <v>7</v>
      </c>
      <c r="G33" s="5">
        <v>210</v>
      </c>
      <c r="H33" s="24">
        <f t="shared" si="0"/>
        <v>1470</v>
      </c>
      <c r="I33" s="7">
        <v>0.05</v>
      </c>
      <c r="J33" s="5">
        <f t="shared" si="1"/>
        <v>73.5</v>
      </c>
      <c r="K33" s="5">
        <f t="shared" si="2"/>
        <v>1396.5</v>
      </c>
      <c r="L33" s="5">
        <v>130</v>
      </c>
      <c r="M33" s="5">
        <f t="shared" si="3"/>
        <v>486.5</v>
      </c>
      <c r="N33" s="7">
        <f t="shared" si="4"/>
        <v>0.34837092731829572</v>
      </c>
      <c r="O33" s="1" t="s">
        <v>59</v>
      </c>
      <c r="P33" s="1" t="s">
        <v>31</v>
      </c>
      <c r="Q33" s="1" t="s">
        <v>37</v>
      </c>
      <c r="R33" s="1" t="s">
        <v>50</v>
      </c>
      <c r="S33" s="1" t="s">
        <v>77</v>
      </c>
      <c r="T33" s="15" t="s">
        <v>53</v>
      </c>
    </row>
    <row r="34" spans="1:20" x14ac:dyDescent="0.3">
      <c r="A34" s="14">
        <v>33</v>
      </c>
      <c r="B34" s="4">
        <v>44229</v>
      </c>
      <c r="C34" s="1" t="s">
        <v>530</v>
      </c>
      <c r="D34" s="1" t="s">
        <v>80</v>
      </c>
      <c r="E34" s="1" t="s">
        <v>21</v>
      </c>
      <c r="F34" s="2">
        <v>7</v>
      </c>
      <c r="G34" s="5">
        <v>210</v>
      </c>
      <c r="H34" s="24">
        <f t="shared" si="0"/>
        <v>1470</v>
      </c>
      <c r="I34" s="7">
        <v>0</v>
      </c>
      <c r="J34" s="5">
        <f t="shared" si="1"/>
        <v>0</v>
      </c>
      <c r="K34" s="5">
        <f t="shared" si="2"/>
        <v>1470</v>
      </c>
      <c r="L34" s="5">
        <v>120</v>
      </c>
      <c r="M34" s="5">
        <f t="shared" si="3"/>
        <v>630</v>
      </c>
      <c r="N34" s="7">
        <f t="shared" si="4"/>
        <v>0.42857142857142855</v>
      </c>
      <c r="O34" s="1" t="s">
        <v>41</v>
      </c>
      <c r="P34" s="1" t="s">
        <v>31</v>
      </c>
      <c r="Q34" s="1" t="s">
        <v>24</v>
      </c>
      <c r="R34" s="1" t="s">
        <v>63</v>
      </c>
      <c r="S34" s="1" t="s">
        <v>85</v>
      </c>
      <c r="T34" s="15" t="s">
        <v>53</v>
      </c>
    </row>
    <row r="35" spans="1:20" x14ac:dyDescent="0.3">
      <c r="A35" s="14">
        <v>34</v>
      </c>
      <c r="B35" s="4">
        <v>44230</v>
      </c>
      <c r="C35" s="1" t="s">
        <v>530</v>
      </c>
      <c r="D35" s="1" t="s">
        <v>82</v>
      </c>
      <c r="E35" s="1" t="s">
        <v>21</v>
      </c>
      <c r="F35" s="2">
        <v>7</v>
      </c>
      <c r="G35" s="5">
        <v>210</v>
      </c>
      <c r="H35" s="24">
        <f t="shared" si="0"/>
        <v>1470</v>
      </c>
      <c r="I35" s="7">
        <v>0</v>
      </c>
      <c r="J35" s="5">
        <f t="shared" si="1"/>
        <v>0</v>
      </c>
      <c r="K35" s="5">
        <f t="shared" si="2"/>
        <v>1470</v>
      </c>
      <c r="L35" s="5">
        <v>150</v>
      </c>
      <c r="M35" s="5">
        <f t="shared" si="3"/>
        <v>420</v>
      </c>
      <c r="N35" s="7">
        <f t="shared" si="4"/>
        <v>0.2857142857142857</v>
      </c>
      <c r="O35" s="1" t="s">
        <v>22</v>
      </c>
      <c r="P35" s="1" t="s">
        <v>31</v>
      </c>
      <c r="Q35" s="1" t="s">
        <v>24</v>
      </c>
      <c r="R35" s="1" t="s">
        <v>49</v>
      </c>
      <c r="S35" s="1" t="s">
        <v>86</v>
      </c>
      <c r="T35" s="15" t="s">
        <v>27</v>
      </c>
    </row>
    <row r="36" spans="1:20" x14ac:dyDescent="0.3">
      <c r="A36" s="14">
        <v>35</v>
      </c>
      <c r="B36" s="4">
        <v>44231</v>
      </c>
      <c r="C36" s="1" t="s">
        <v>529</v>
      </c>
      <c r="D36" s="1" t="s">
        <v>28</v>
      </c>
      <c r="E36" s="1" t="s">
        <v>21</v>
      </c>
      <c r="F36" s="2">
        <v>7</v>
      </c>
      <c r="G36" s="5">
        <v>210</v>
      </c>
      <c r="H36" s="24">
        <f t="shared" si="0"/>
        <v>1470</v>
      </c>
      <c r="I36" s="7">
        <v>0</v>
      </c>
      <c r="J36" s="5">
        <f t="shared" si="1"/>
        <v>0</v>
      </c>
      <c r="K36" s="5">
        <f t="shared" si="2"/>
        <v>1470</v>
      </c>
      <c r="L36" s="5">
        <v>160</v>
      </c>
      <c r="M36" s="5">
        <f t="shared" si="3"/>
        <v>350</v>
      </c>
      <c r="N36" s="7">
        <f t="shared" si="4"/>
        <v>0.23809523809523808</v>
      </c>
      <c r="O36" s="1" t="s">
        <v>59</v>
      </c>
      <c r="P36" s="1" t="s">
        <v>31</v>
      </c>
      <c r="Q36" s="1" t="s">
        <v>48</v>
      </c>
      <c r="R36" s="1" t="s">
        <v>38</v>
      </c>
      <c r="S36" s="1" t="s">
        <v>87</v>
      </c>
      <c r="T36" s="15" t="s">
        <v>35</v>
      </c>
    </row>
    <row r="37" spans="1:20" x14ac:dyDescent="0.3">
      <c r="A37" s="14">
        <v>36</v>
      </c>
      <c r="B37" s="4">
        <v>44232</v>
      </c>
      <c r="C37" s="1" t="s">
        <v>529</v>
      </c>
      <c r="D37" s="1" t="s">
        <v>20</v>
      </c>
      <c r="E37" s="1" t="s">
        <v>21</v>
      </c>
      <c r="F37" s="2">
        <v>7</v>
      </c>
      <c r="G37" s="5">
        <v>210</v>
      </c>
      <c r="H37" s="24">
        <f t="shared" si="0"/>
        <v>1470</v>
      </c>
      <c r="I37" s="7">
        <v>0.02</v>
      </c>
      <c r="J37" s="5">
        <f t="shared" si="1"/>
        <v>29.400000000000002</v>
      </c>
      <c r="K37" s="5">
        <f t="shared" si="2"/>
        <v>1440.6</v>
      </c>
      <c r="L37" s="5">
        <v>140</v>
      </c>
      <c r="M37" s="5">
        <f t="shared" si="3"/>
        <v>460.59999999999991</v>
      </c>
      <c r="N37" s="7">
        <f t="shared" si="4"/>
        <v>0.31972789115646255</v>
      </c>
      <c r="O37" s="1" t="s">
        <v>54</v>
      </c>
      <c r="P37" s="1" t="s">
        <v>31</v>
      </c>
      <c r="Q37" s="1" t="s">
        <v>24</v>
      </c>
      <c r="R37" s="1" t="s">
        <v>88</v>
      </c>
      <c r="S37" s="1" t="s">
        <v>89</v>
      </c>
      <c r="T37" s="15" t="s">
        <v>53</v>
      </c>
    </row>
    <row r="38" spans="1:20" x14ac:dyDescent="0.3">
      <c r="A38" s="14">
        <v>37</v>
      </c>
      <c r="B38" s="4">
        <v>44233</v>
      </c>
      <c r="C38" s="1" t="s">
        <v>529</v>
      </c>
      <c r="D38" s="1" t="s">
        <v>80</v>
      </c>
      <c r="E38" s="1" t="s">
        <v>45</v>
      </c>
      <c r="F38" s="2">
        <v>2</v>
      </c>
      <c r="G38" s="5">
        <v>190</v>
      </c>
      <c r="H38" s="24">
        <f t="shared" si="0"/>
        <v>380</v>
      </c>
      <c r="I38" s="7">
        <v>0</v>
      </c>
      <c r="J38" s="5">
        <f t="shared" si="1"/>
        <v>0</v>
      </c>
      <c r="K38" s="5">
        <f t="shared" si="2"/>
        <v>380</v>
      </c>
      <c r="L38" s="5">
        <v>140</v>
      </c>
      <c r="M38" s="5">
        <f t="shared" si="3"/>
        <v>100</v>
      </c>
      <c r="N38" s="7">
        <f t="shared" si="4"/>
        <v>0.26315789473684209</v>
      </c>
      <c r="O38" s="1" t="s">
        <v>30</v>
      </c>
      <c r="P38" s="1" t="s">
        <v>31</v>
      </c>
      <c r="Q38" s="1" t="s">
        <v>24</v>
      </c>
      <c r="R38" s="1" t="s">
        <v>49</v>
      </c>
      <c r="S38" s="1" t="s">
        <v>90</v>
      </c>
      <c r="T38" s="15" t="s">
        <v>27</v>
      </c>
    </row>
    <row r="39" spans="1:20" x14ac:dyDescent="0.3">
      <c r="A39" s="14">
        <v>38</v>
      </c>
      <c r="B39" s="4">
        <v>44234</v>
      </c>
      <c r="C39" s="1" t="s">
        <v>529</v>
      </c>
      <c r="D39" s="1" t="s">
        <v>82</v>
      </c>
      <c r="E39" s="1" t="s">
        <v>21</v>
      </c>
      <c r="F39" s="2">
        <v>2</v>
      </c>
      <c r="G39" s="5">
        <v>210</v>
      </c>
      <c r="H39" s="24">
        <f t="shared" si="0"/>
        <v>420</v>
      </c>
      <c r="I39" s="7">
        <v>0.05</v>
      </c>
      <c r="J39" s="5">
        <f t="shared" si="1"/>
        <v>21</v>
      </c>
      <c r="K39" s="5">
        <f t="shared" si="2"/>
        <v>399</v>
      </c>
      <c r="L39" s="5">
        <v>160</v>
      </c>
      <c r="M39" s="5">
        <f t="shared" si="3"/>
        <v>79</v>
      </c>
      <c r="N39" s="7">
        <f t="shared" si="4"/>
        <v>0.19799498746867167</v>
      </c>
      <c r="O39" s="1" t="s">
        <v>30</v>
      </c>
      <c r="P39" s="1" t="s">
        <v>31</v>
      </c>
      <c r="Q39" s="1" t="s">
        <v>24</v>
      </c>
      <c r="R39" s="1" t="s">
        <v>46</v>
      </c>
      <c r="S39" s="1" t="s">
        <v>91</v>
      </c>
      <c r="T39" s="15" t="s">
        <v>61</v>
      </c>
    </row>
    <row r="40" spans="1:20" x14ac:dyDescent="0.3">
      <c r="A40" s="14">
        <v>39</v>
      </c>
      <c r="B40" s="4">
        <v>44235</v>
      </c>
      <c r="C40" s="1" t="s">
        <v>529</v>
      </c>
      <c r="D40" s="1" t="s">
        <v>28</v>
      </c>
      <c r="E40" s="1" t="s">
        <v>29</v>
      </c>
      <c r="F40" s="2">
        <v>7</v>
      </c>
      <c r="G40" s="5">
        <v>2100</v>
      </c>
      <c r="H40" s="24">
        <f t="shared" si="0"/>
        <v>14700</v>
      </c>
      <c r="I40" s="7">
        <v>0</v>
      </c>
      <c r="J40" s="5">
        <f t="shared" si="1"/>
        <v>0</v>
      </c>
      <c r="K40" s="5">
        <f t="shared" si="2"/>
        <v>14700</v>
      </c>
      <c r="L40" s="5">
        <v>1420</v>
      </c>
      <c r="M40" s="5">
        <f t="shared" si="3"/>
        <v>4760</v>
      </c>
      <c r="N40" s="7">
        <f t="shared" si="4"/>
        <v>0.32380952380952382</v>
      </c>
      <c r="O40" s="1" t="s">
        <v>54</v>
      </c>
      <c r="P40" s="1" t="s">
        <v>31</v>
      </c>
      <c r="Q40" s="1" t="s">
        <v>37</v>
      </c>
      <c r="R40" s="1" t="s">
        <v>88</v>
      </c>
      <c r="S40" s="1" t="s">
        <v>92</v>
      </c>
      <c r="T40" s="15" t="s">
        <v>61</v>
      </c>
    </row>
    <row r="41" spans="1:20" x14ac:dyDescent="0.3">
      <c r="A41" s="14">
        <v>40</v>
      </c>
      <c r="B41" s="4">
        <v>44236</v>
      </c>
      <c r="C41" s="1" t="s">
        <v>529</v>
      </c>
      <c r="D41" s="1" t="s">
        <v>20</v>
      </c>
      <c r="E41" s="1" t="s">
        <v>36</v>
      </c>
      <c r="F41" s="2">
        <v>6</v>
      </c>
      <c r="G41" s="5">
        <v>1200</v>
      </c>
      <c r="H41" s="24">
        <f t="shared" si="0"/>
        <v>7200</v>
      </c>
      <c r="I41" s="7">
        <v>0.02</v>
      </c>
      <c r="J41" s="5">
        <f t="shared" si="1"/>
        <v>144</v>
      </c>
      <c r="K41" s="5">
        <f t="shared" si="2"/>
        <v>7056</v>
      </c>
      <c r="L41" s="5">
        <v>770</v>
      </c>
      <c r="M41" s="5">
        <f t="shared" si="3"/>
        <v>2436</v>
      </c>
      <c r="N41" s="7">
        <f t="shared" si="4"/>
        <v>0.34523809523809523</v>
      </c>
      <c r="O41" s="1" t="s">
        <v>30</v>
      </c>
      <c r="P41" s="1" t="s">
        <v>31</v>
      </c>
      <c r="Q41" s="1" t="s">
        <v>32</v>
      </c>
      <c r="R41" s="1" t="s">
        <v>38</v>
      </c>
      <c r="S41" s="1" t="s">
        <v>93</v>
      </c>
      <c r="T41" s="15" t="s">
        <v>35</v>
      </c>
    </row>
    <row r="42" spans="1:20" x14ac:dyDescent="0.3">
      <c r="A42" s="14">
        <v>41</v>
      </c>
      <c r="B42" s="4">
        <v>44237</v>
      </c>
      <c r="C42" s="1" t="s">
        <v>529</v>
      </c>
      <c r="D42" s="1" t="s">
        <v>80</v>
      </c>
      <c r="E42" s="1" t="s">
        <v>29</v>
      </c>
      <c r="F42" s="2">
        <v>7</v>
      </c>
      <c r="G42" s="5">
        <v>2100</v>
      </c>
      <c r="H42" s="24">
        <f t="shared" si="0"/>
        <v>14700</v>
      </c>
      <c r="I42" s="7">
        <v>0</v>
      </c>
      <c r="J42" s="5">
        <f t="shared" si="1"/>
        <v>0</v>
      </c>
      <c r="K42" s="5">
        <f t="shared" si="2"/>
        <v>14700</v>
      </c>
      <c r="L42" s="5">
        <v>1590</v>
      </c>
      <c r="M42" s="5">
        <f t="shared" si="3"/>
        <v>3570</v>
      </c>
      <c r="N42" s="7">
        <f t="shared" si="4"/>
        <v>0.24285714285714285</v>
      </c>
      <c r="O42" s="1" t="s">
        <v>41</v>
      </c>
      <c r="P42" s="1" t="s">
        <v>31</v>
      </c>
      <c r="Q42" s="1" t="s">
        <v>32</v>
      </c>
      <c r="R42" s="1" t="s">
        <v>63</v>
      </c>
      <c r="S42" s="1" t="s">
        <v>72</v>
      </c>
      <c r="T42" s="15" t="s">
        <v>61</v>
      </c>
    </row>
    <row r="43" spans="1:20" x14ac:dyDescent="0.3">
      <c r="A43" s="14">
        <v>42</v>
      </c>
      <c r="B43" s="4">
        <v>44238</v>
      </c>
      <c r="C43" s="1" t="s">
        <v>529</v>
      </c>
      <c r="D43" s="1" t="s">
        <v>82</v>
      </c>
      <c r="E43" s="1" t="s">
        <v>29</v>
      </c>
      <c r="F43" s="2">
        <v>7</v>
      </c>
      <c r="G43" s="5">
        <v>2100</v>
      </c>
      <c r="H43" s="24">
        <f t="shared" si="0"/>
        <v>14700</v>
      </c>
      <c r="I43" s="7">
        <v>0.05</v>
      </c>
      <c r="J43" s="5">
        <f t="shared" si="1"/>
        <v>735</v>
      </c>
      <c r="K43" s="5">
        <f t="shared" si="2"/>
        <v>13965</v>
      </c>
      <c r="L43" s="5">
        <v>1230</v>
      </c>
      <c r="M43" s="5">
        <f t="shared" si="3"/>
        <v>5355</v>
      </c>
      <c r="N43" s="7">
        <f t="shared" si="4"/>
        <v>0.38345864661654133</v>
      </c>
      <c r="O43" s="1" t="s">
        <v>30</v>
      </c>
      <c r="P43" s="1" t="s">
        <v>31</v>
      </c>
      <c r="Q43" s="1" t="s">
        <v>48</v>
      </c>
      <c r="R43" s="1" t="s">
        <v>88</v>
      </c>
      <c r="S43" s="1" t="s">
        <v>94</v>
      </c>
      <c r="T43" s="15" t="s">
        <v>35</v>
      </c>
    </row>
    <row r="44" spans="1:20" x14ac:dyDescent="0.3">
      <c r="A44" s="14">
        <v>43</v>
      </c>
      <c r="B44" s="4">
        <v>44239</v>
      </c>
      <c r="C44" s="1" t="s">
        <v>534</v>
      </c>
      <c r="D44" s="1" t="s">
        <v>82</v>
      </c>
      <c r="E44" s="1" t="s">
        <v>29</v>
      </c>
      <c r="F44" s="2">
        <v>7</v>
      </c>
      <c r="G44" s="5">
        <v>2100</v>
      </c>
      <c r="H44" s="24">
        <f t="shared" si="0"/>
        <v>14700</v>
      </c>
      <c r="I44" s="7">
        <v>0.05</v>
      </c>
      <c r="J44" s="5">
        <f t="shared" si="1"/>
        <v>735</v>
      </c>
      <c r="K44" s="5">
        <f t="shared" si="2"/>
        <v>13965</v>
      </c>
      <c r="L44" s="5">
        <v>1650</v>
      </c>
      <c r="M44" s="5">
        <f t="shared" si="3"/>
        <v>2415</v>
      </c>
      <c r="N44" s="7">
        <f t="shared" si="4"/>
        <v>0.17293233082706766</v>
      </c>
      <c r="O44" s="1" t="s">
        <v>54</v>
      </c>
      <c r="P44" s="1" t="s">
        <v>31</v>
      </c>
      <c r="Q44" s="1" t="s">
        <v>48</v>
      </c>
      <c r="R44" s="1" t="s">
        <v>56</v>
      </c>
      <c r="S44" s="1" t="s">
        <v>95</v>
      </c>
      <c r="T44" s="15" t="s">
        <v>27</v>
      </c>
    </row>
    <row r="45" spans="1:20" x14ac:dyDescent="0.3">
      <c r="A45" s="14">
        <v>44</v>
      </c>
      <c r="B45" s="4">
        <v>44240</v>
      </c>
      <c r="C45" s="1" t="s">
        <v>531</v>
      </c>
      <c r="D45" s="1" t="s">
        <v>82</v>
      </c>
      <c r="E45" s="1" t="s">
        <v>29</v>
      </c>
      <c r="F45" s="2">
        <v>7</v>
      </c>
      <c r="G45" s="5">
        <v>2100</v>
      </c>
      <c r="H45" s="24">
        <f t="shared" si="0"/>
        <v>14700</v>
      </c>
      <c r="I45" s="7">
        <v>0.1</v>
      </c>
      <c r="J45" s="5">
        <f t="shared" si="1"/>
        <v>1470</v>
      </c>
      <c r="K45" s="5">
        <f t="shared" si="2"/>
        <v>13230</v>
      </c>
      <c r="L45" s="5">
        <v>1390</v>
      </c>
      <c r="M45" s="5">
        <f t="shared" si="3"/>
        <v>3500</v>
      </c>
      <c r="N45" s="7">
        <f t="shared" si="4"/>
        <v>0.26455026455026454</v>
      </c>
      <c r="O45" s="1" t="s">
        <v>41</v>
      </c>
      <c r="P45" s="1" t="s">
        <v>31</v>
      </c>
      <c r="Q45" s="1" t="s">
        <v>37</v>
      </c>
      <c r="R45" s="1" t="s">
        <v>50</v>
      </c>
      <c r="S45" s="1" t="s">
        <v>96</v>
      </c>
      <c r="T45" s="15" t="s">
        <v>27</v>
      </c>
    </row>
    <row r="46" spans="1:20" x14ac:dyDescent="0.3">
      <c r="A46" s="14">
        <v>45</v>
      </c>
      <c r="B46" s="4">
        <v>44241</v>
      </c>
      <c r="C46" s="1" t="s">
        <v>532</v>
      </c>
      <c r="D46" s="1" t="s">
        <v>82</v>
      </c>
      <c r="E46" s="1" t="s">
        <v>29</v>
      </c>
      <c r="F46" s="2">
        <v>7</v>
      </c>
      <c r="G46" s="5">
        <v>2100</v>
      </c>
      <c r="H46" s="24">
        <f t="shared" si="0"/>
        <v>14700</v>
      </c>
      <c r="I46" s="7">
        <v>0.15</v>
      </c>
      <c r="J46" s="5">
        <f t="shared" si="1"/>
        <v>2205</v>
      </c>
      <c r="K46" s="5">
        <f t="shared" si="2"/>
        <v>12495</v>
      </c>
      <c r="L46" s="5">
        <v>1320</v>
      </c>
      <c r="M46" s="5">
        <f t="shared" si="3"/>
        <v>3255</v>
      </c>
      <c r="N46" s="7">
        <f t="shared" si="4"/>
        <v>0.26050420168067229</v>
      </c>
      <c r="O46" s="1" t="s">
        <v>30</v>
      </c>
      <c r="P46" s="1" t="s">
        <v>31</v>
      </c>
      <c r="Q46" s="1" t="s">
        <v>48</v>
      </c>
      <c r="R46" s="1" t="s">
        <v>50</v>
      </c>
      <c r="S46" s="1" t="s">
        <v>97</v>
      </c>
      <c r="T46" s="15" t="s">
        <v>53</v>
      </c>
    </row>
    <row r="47" spans="1:20" x14ac:dyDescent="0.3">
      <c r="A47" s="14">
        <v>46</v>
      </c>
      <c r="B47" s="4">
        <v>44242</v>
      </c>
      <c r="C47" s="1" t="s">
        <v>533</v>
      </c>
      <c r="D47" s="1" t="s">
        <v>82</v>
      </c>
      <c r="E47" s="1" t="s">
        <v>29</v>
      </c>
      <c r="F47" s="2">
        <v>7</v>
      </c>
      <c r="G47" s="5">
        <v>2100</v>
      </c>
      <c r="H47" s="24">
        <f t="shared" si="0"/>
        <v>14700</v>
      </c>
      <c r="I47" s="7">
        <v>0</v>
      </c>
      <c r="J47" s="5">
        <f t="shared" si="1"/>
        <v>0</v>
      </c>
      <c r="K47" s="5">
        <f t="shared" si="2"/>
        <v>14700</v>
      </c>
      <c r="L47" s="5">
        <v>1370</v>
      </c>
      <c r="M47" s="5">
        <f t="shared" si="3"/>
        <v>5110</v>
      </c>
      <c r="N47" s="7">
        <f t="shared" si="4"/>
        <v>0.34761904761904761</v>
      </c>
      <c r="O47" s="1" t="s">
        <v>54</v>
      </c>
      <c r="P47" s="1" t="s">
        <v>31</v>
      </c>
      <c r="Q47" s="1" t="s">
        <v>24</v>
      </c>
      <c r="R47" s="1" t="s">
        <v>38</v>
      </c>
      <c r="S47" s="1" t="s">
        <v>90</v>
      </c>
      <c r="T47" s="15" t="s">
        <v>61</v>
      </c>
    </row>
    <row r="48" spans="1:20" x14ac:dyDescent="0.3">
      <c r="A48" s="14">
        <v>47</v>
      </c>
      <c r="B48" s="4">
        <v>44243</v>
      </c>
      <c r="C48" s="1" t="s">
        <v>533</v>
      </c>
      <c r="D48" s="1" t="s">
        <v>20</v>
      </c>
      <c r="E48" s="1" t="s">
        <v>29</v>
      </c>
      <c r="F48" s="2">
        <v>7</v>
      </c>
      <c r="G48" s="5">
        <v>2100</v>
      </c>
      <c r="H48" s="24">
        <f t="shared" si="0"/>
        <v>14700</v>
      </c>
      <c r="I48" s="7">
        <v>0</v>
      </c>
      <c r="J48" s="5">
        <f t="shared" si="1"/>
        <v>0</v>
      </c>
      <c r="K48" s="5">
        <f t="shared" si="2"/>
        <v>14700</v>
      </c>
      <c r="L48" s="5">
        <v>1310</v>
      </c>
      <c r="M48" s="5">
        <f t="shared" si="3"/>
        <v>5530</v>
      </c>
      <c r="N48" s="7">
        <f t="shared" si="4"/>
        <v>0.37619047619047619</v>
      </c>
      <c r="O48" s="1" t="s">
        <v>54</v>
      </c>
      <c r="P48" s="1" t="s">
        <v>31</v>
      </c>
      <c r="Q48" s="1" t="s">
        <v>48</v>
      </c>
      <c r="R48" s="1" t="s">
        <v>46</v>
      </c>
      <c r="S48" s="1" t="s">
        <v>98</v>
      </c>
      <c r="T48" s="15" t="s">
        <v>61</v>
      </c>
    </row>
    <row r="49" spans="1:20" x14ac:dyDescent="0.3">
      <c r="A49" s="14">
        <v>48</v>
      </c>
      <c r="B49" s="4">
        <v>44244</v>
      </c>
      <c r="C49" s="1" t="s">
        <v>533</v>
      </c>
      <c r="D49" s="1" t="s">
        <v>28</v>
      </c>
      <c r="E49" s="1" t="s">
        <v>29</v>
      </c>
      <c r="F49" s="2">
        <v>7</v>
      </c>
      <c r="G49" s="5">
        <v>2100</v>
      </c>
      <c r="H49" s="24">
        <f t="shared" si="0"/>
        <v>14700</v>
      </c>
      <c r="I49" s="7">
        <v>0.02</v>
      </c>
      <c r="J49" s="5">
        <f t="shared" si="1"/>
        <v>294</v>
      </c>
      <c r="K49" s="5">
        <f t="shared" si="2"/>
        <v>14406</v>
      </c>
      <c r="L49" s="5">
        <v>1260</v>
      </c>
      <c r="M49" s="5">
        <f t="shared" si="3"/>
        <v>5586</v>
      </c>
      <c r="N49" s="7">
        <f t="shared" si="4"/>
        <v>0.38775510204081631</v>
      </c>
      <c r="O49" s="1" t="s">
        <v>41</v>
      </c>
      <c r="P49" s="1" t="s">
        <v>31</v>
      </c>
      <c r="Q49" s="1" t="s">
        <v>32</v>
      </c>
      <c r="R49" s="1" t="s">
        <v>46</v>
      </c>
      <c r="S49" s="1" t="s">
        <v>99</v>
      </c>
      <c r="T49" s="15" t="s">
        <v>35</v>
      </c>
    </row>
    <row r="50" spans="1:20" x14ac:dyDescent="0.3">
      <c r="A50" s="14">
        <v>49</v>
      </c>
      <c r="B50" s="4">
        <v>44245</v>
      </c>
      <c r="C50" s="1" t="s">
        <v>533</v>
      </c>
      <c r="D50" s="1" t="s">
        <v>80</v>
      </c>
      <c r="E50" s="1" t="s">
        <v>29</v>
      </c>
      <c r="F50" s="2">
        <v>7</v>
      </c>
      <c r="G50" s="5">
        <v>2100</v>
      </c>
      <c r="H50" s="24">
        <f t="shared" si="0"/>
        <v>14700</v>
      </c>
      <c r="I50" s="7">
        <v>0</v>
      </c>
      <c r="J50" s="5">
        <f t="shared" si="1"/>
        <v>0</v>
      </c>
      <c r="K50" s="5">
        <f t="shared" si="2"/>
        <v>14700</v>
      </c>
      <c r="L50" s="5">
        <v>1280</v>
      </c>
      <c r="M50" s="5">
        <f t="shared" si="3"/>
        <v>5740</v>
      </c>
      <c r="N50" s="7">
        <f t="shared" si="4"/>
        <v>0.39047619047619048</v>
      </c>
      <c r="O50" s="1" t="s">
        <v>30</v>
      </c>
      <c r="P50" s="1" t="s">
        <v>31</v>
      </c>
      <c r="Q50" s="1" t="s">
        <v>37</v>
      </c>
      <c r="R50" s="1" t="s">
        <v>49</v>
      </c>
      <c r="S50" s="1" t="s">
        <v>100</v>
      </c>
      <c r="T50" s="15" t="s">
        <v>53</v>
      </c>
    </row>
    <row r="51" spans="1:20" x14ac:dyDescent="0.3">
      <c r="A51" s="14">
        <v>50</v>
      </c>
      <c r="B51" s="4">
        <v>44246</v>
      </c>
      <c r="C51" s="1" t="s">
        <v>533</v>
      </c>
      <c r="D51" s="1" t="s">
        <v>82</v>
      </c>
      <c r="E51" s="1" t="s">
        <v>29</v>
      </c>
      <c r="F51" s="2">
        <v>7</v>
      </c>
      <c r="G51" s="5">
        <v>2100</v>
      </c>
      <c r="H51" s="24">
        <f t="shared" si="0"/>
        <v>14700</v>
      </c>
      <c r="I51" s="7">
        <v>0.05</v>
      </c>
      <c r="J51" s="5">
        <f t="shared" si="1"/>
        <v>735</v>
      </c>
      <c r="K51" s="5">
        <f t="shared" si="2"/>
        <v>13965</v>
      </c>
      <c r="L51" s="5">
        <v>1680</v>
      </c>
      <c r="M51" s="5">
        <f t="shared" si="3"/>
        <v>2205</v>
      </c>
      <c r="N51" s="7">
        <f t="shared" si="4"/>
        <v>0.15789473684210525</v>
      </c>
      <c r="O51" s="1" t="s">
        <v>41</v>
      </c>
      <c r="P51" s="1" t="s">
        <v>31</v>
      </c>
      <c r="Q51" s="1" t="s">
        <v>24</v>
      </c>
      <c r="R51" s="1" t="s">
        <v>49</v>
      </c>
      <c r="S51" s="1" t="s">
        <v>101</v>
      </c>
      <c r="T51" s="15" t="s">
        <v>53</v>
      </c>
    </row>
    <row r="52" spans="1:20" x14ac:dyDescent="0.3">
      <c r="A52" s="14">
        <v>51</v>
      </c>
      <c r="B52" s="4">
        <v>44247</v>
      </c>
      <c r="C52" s="1" t="s">
        <v>533</v>
      </c>
      <c r="D52" s="1" t="s">
        <v>20</v>
      </c>
      <c r="E52" s="1" t="s">
        <v>21</v>
      </c>
      <c r="F52" s="2">
        <v>7</v>
      </c>
      <c r="G52" s="5">
        <v>210</v>
      </c>
      <c r="H52" s="24">
        <f t="shared" si="0"/>
        <v>1470</v>
      </c>
      <c r="I52" s="7">
        <v>0.02</v>
      </c>
      <c r="J52" s="5">
        <f t="shared" si="1"/>
        <v>29.400000000000002</v>
      </c>
      <c r="K52" s="5">
        <f t="shared" si="2"/>
        <v>1440.6</v>
      </c>
      <c r="L52" s="5">
        <v>120</v>
      </c>
      <c r="M52" s="5">
        <f t="shared" si="3"/>
        <v>600.59999999999991</v>
      </c>
      <c r="N52" s="7">
        <f t="shared" si="4"/>
        <v>0.41690962099125362</v>
      </c>
      <c r="O52" s="1" t="s">
        <v>30</v>
      </c>
      <c r="P52" s="1" t="s">
        <v>31</v>
      </c>
      <c r="Q52" s="1" t="s">
        <v>48</v>
      </c>
      <c r="R52" s="1" t="s">
        <v>50</v>
      </c>
      <c r="S52" s="1" t="s">
        <v>102</v>
      </c>
      <c r="T52" s="15" t="s">
        <v>35</v>
      </c>
    </row>
    <row r="53" spans="1:20" x14ac:dyDescent="0.3">
      <c r="A53" s="14">
        <v>52</v>
      </c>
      <c r="B53" s="4">
        <v>44248</v>
      </c>
      <c r="C53" s="1" t="s">
        <v>533</v>
      </c>
      <c r="D53" s="1" t="s">
        <v>28</v>
      </c>
      <c r="E53" s="1" t="s">
        <v>29</v>
      </c>
      <c r="F53" s="2">
        <v>6</v>
      </c>
      <c r="G53" s="5">
        <v>2100</v>
      </c>
      <c r="H53" s="24">
        <f t="shared" si="0"/>
        <v>12600</v>
      </c>
      <c r="I53" s="7">
        <v>0.15</v>
      </c>
      <c r="J53" s="5">
        <f t="shared" si="1"/>
        <v>1890</v>
      </c>
      <c r="K53" s="5">
        <f t="shared" si="2"/>
        <v>10710</v>
      </c>
      <c r="L53" s="5">
        <v>1300</v>
      </c>
      <c r="M53" s="5">
        <f t="shared" si="3"/>
        <v>2910</v>
      </c>
      <c r="N53" s="7">
        <f t="shared" si="4"/>
        <v>0.27170868347338933</v>
      </c>
      <c r="O53" s="1" t="s">
        <v>54</v>
      </c>
      <c r="P53" s="1" t="s">
        <v>31</v>
      </c>
      <c r="Q53" s="1" t="s">
        <v>37</v>
      </c>
      <c r="R53" s="1" t="s">
        <v>25</v>
      </c>
      <c r="S53" s="1" t="s">
        <v>52</v>
      </c>
      <c r="T53" s="15" t="s">
        <v>53</v>
      </c>
    </row>
    <row r="54" spans="1:20" x14ac:dyDescent="0.3">
      <c r="A54" s="14">
        <v>53</v>
      </c>
      <c r="B54" s="4">
        <v>44249</v>
      </c>
      <c r="C54" s="1" t="s">
        <v>533</v>
      </c>
      <c r="D54" s="1" t="s">
        <v>80</v>
      </c>
      <c r="E54" s="1" t="s">
        <v>36</v>
      </c>
      <c r="F54" s="2">
        <v>5</v>
      </c>
      <c r="G54" s="5">
        <v>1200</v>
      </c>
      <c r="H54" s="24">
        <f t="shared" si="0"/>
        <v>6000</v>
      </c>
      <c r="I54" s="7">
        <v>0.15</v>
      </c>
      <c r="J54" s="5">
        <f t="shared" si="1"/>
        <v>900</v>
      </c>
      <c r="K54" s="5">
        <f t="shared" si="2"/>
        <v>5100</v>
      </c>
      <c r="L54" s="5">
        <v>840</v>
      </c>
      <c r="M54" s="5">
        <f t="shared" si="3"/>
        <v>900</v>
      </c>
      <c r="N54" s="7">
        <f t="shared" si="4"/>
        <v>0.17647058823529413</v>
      </c>
      <c r="O54" s="1" t="s">
        <v>54</v>
      </c>
      <c r="P54" s="1" t="s">
        <v>31</v>
      </c>
      <c r="Q54" s="1" t="s">
        <v>24</v>
      </c>
      <c r="R54" s="1" t="s">
        <v>25</v>
      </c>
      <c r="S54" s="1" t="s">
        <v>84</v>
      </c>
      <c r="T54" s="15" t="s">
        <v>35</v>
      </c>
    </row>
    <row r="55" spans="1:20" x14ac:dyDescent="0.3">
      <c r="A55" s="14">
        <v>54</v>
      </c>
      <c r="B55" s="4">
        <v>44250</v>
      </c>
      <c r="C55" s="1" t="s">
        <v>533</v>
      </c>
      <c r="D55" s="1" t="s">
        <v>82</v>
      </c>
      <c r="E55" s="1" t="s">
        <v>40</v>
      </c>
      <c r="F55" s="2">
        <v>4</v>
      </c>
      <c r="G55" s="5">
        <v>1500</v>
      </c>
      <c r="H55" s="24">
        <f t="shared" si="0"/>
        <v>6000</v>
      </c>
      <c r="I55" s="7">
        <v>0.02</v>
      </c>
      <c r="J55" s="5">
        <f t="shared" si="1"/>
        <v>120</v>
      </c>
      <c r="K55" s="5">
        <f t="shared" si="2"/>
        <v>5880</v>
      </c>
      <c r="L55" s="5">
        <v>1070</v>
      </c>
      <c r="M55" s="5">
        <f t="shared" si="3"/>
        <v>1600</v>
      </c>
      <c r="N55" s="7">
        <f t="shared" si="4"/>
        <v>0.27210884353741499</v>
      </c>
      <c r="O55" s="1" t="s">
        <v>41</v>
      </c>
      <c r="P55" s="1" t="s">
        <v>31</v>
      </c>
      <c r="Q55" s="1" t="s">
        <v>32</v>
      </c>
      <c r="R55" s="1" t="s">
        <v>66</v>
      </c>
      <c r="S55" s="1" t="s">
        <v>79</v>
      </c>
      <c r="T55" s="15" t="s">
        <v>27</v>
      </c>
    </row>
    <row r="56" spans="1:20" x14ac:dyDescent="0.3">
      <c r="A56" s="14">
        <v>55</v>
      </c>
      <c r="B56" s="4">
        <v>44251</v>
      </c>
      <c r="C56" s="1" t="s">
        <v>530</v>
      </c>
      <c r="D56" s="1" t="s">
        <v>20</v>
      </c>
      <c r="E56" s="1" t="s">
        <v>43</v>
      </c>
      <c r="F56" s="2">
        <v>3</v>
      </c>
      <c r="G56" s="5">
        <v>300</v>
      </c>
      <c r="H56" s="24">
        <f t="shared" si="0"/>
        <v>900</v>
      </c>
      <c r="I56" s="7">
        <v>0.15</v>
      </c>
      <c r="J56" s="5">
        <f t="shared" si="1"/>
        <v>135</v>
      </c>
      <c r="K56" s="5">
        <f t="shared" si="2"/>
        <v>765</v>
      </c>
      <c r="L56" s="5">
        <v>240</v>
      </c>
      <c r="M56" s="5">
        <f t="shared" si="3"/>
        <v>45</v>
      </c>
      <c r="N56" s="7">
        <f t="shared" si="4"/>
        <v>5.8823529411764705E-2</v>
      </c>
      <c r="O56" s="1" t="s">
        <v>30</v>
      </c>
      <c r="P56" s="1" t="s">
        <v>31</v>
      </c>
      <c r="Q56" s="1" t="s">
        <v>48</v>
      </c>
      <c r="R56" s="1" t="s">
        <v>38</v>
      </c>
      <c r="S56" s="1" t="s">
        <v>103</v>
      </c>
      <c r="T56" s="15" t="s">
        <v>61</v>
      </c>
    </row>
    <row r="57" spans="1:20" x14ac:dyDescent="0.3">
      <c r="A57" s="14">
        <v>56</v>
      </c>
      <c r="B57" s="4">
        <v>44252</v>
      </c>
      <c r="C57" s="1" t="s">
        <v>529</v>
      </c>
      <c r="D57" s="1" t="s">
        <v>28</v>
      </c>
      <c r="E57" s="1" t="s">
        <v>45</v>
      </c>
      <c r="F57" s="2">
        <v>2</v>
      </c>
      <c r="G57" s="5">
        <v>190</v>
      </c>
      <c r="H57" s="24">
        <f t="shared" si="0"/>
        <v>380</v>
      </c>
      <c r="I57" s="7">
        <v>0.05</v>
      </c>
      <c r="J57" s="5">
        <f t="shared" si="1"/>
        <v>19</v>
      </c>
      <c r="K57" s="5">
        <f t="shared" si="2"/>
        <v>361</v>
      </c>
      <c r="L57" s="5">
        <v>140</v>
      </c>
      <c r="M57" s="5">
        <f t="shared" si="3"/>
        <v>81</v>
      </c>
      <c r="N57" s="7">
        <f t="shared" si="4"/>
        <v>0.22437673130193905</v>
      </c>
      <c r="O57" s="1" t="s">
        <v>59</v>
      </c>
      <c r="P57" s="1" t="s">
        <v>31</v>
      </c>
      <c r="Q57" s="1" t="s">
        <v>37</v>
      </c>
      <c r="R57" s="1" t="s">
        <v>66</v>
      </c>
      <c r="S57" s="1" t="s">
        <v>99</v>
      </c>
      <c r="T57" s="15" t="s">
        <v>35</v>
      </c>
    </row>
    <row r="58" spans="1:20" x14ac:dyDescent="0.3">
      <c r="A58" s="14">
        <v>57</v>
      </c>
      <c r="B58" s="4">
        <v>44253</v>
      </c>
      <c r="C58" s="1" t="s">
        <v>534</v>
      </c>
      <c r="D58" s="1" t="s">
        <v>20</v>
      </c>
      <c r="E58" s="1" t="s">
        <v>21</v>
      </c>
      <c r="F58" s="2">
        <v>7</v>
      </c>
      <c r="G58" s="5">
        <v>210</v>
      </c>
      <c r="H58" s="24">
        <f t="shared" si="0"/>
        <v>1470</v>
      </c>
      <c r="I58" s="7">
        <v>0.15</v>
      </c>
      <c r="J58" s="5">
        <f t="shared" si="1"/>
        <v>220.5</v>
      </c>
      <c r="K58" s="5">
        <f t="shared" si="2"/>
        <v>1249.5</v>
      </c>
      <c r="L58" s="5">
        <v>150</v>
      </c>
      <c r="M58" s="5">
        <f t="shared" si="3"/>
        <v>199.5</v>
      </c>
      <c r="N58" s="7">
        <f t="shared" si="4"/>
        <v>0.15966386554621848</v>
      </c>
      <c r="O58" s="1" t="s">
        <v>41</v>
      </c>
      <c r="P58" s="1" t="s">
        <v>31</v>
      </c>
      <c r="Q58" s="1" t="s">
        <v>32</v>
      </c>
      <c r="R58" s="1" t="s">
        <v>50</v>
      </c>
      <c r="S58" s="1" t="s">
        <v>98</v>
      </c>
      <c r="T58" s="15" t="s">
        <v>27</v>
      </c>
    </row>
    <row r="59" spans="1:20" x14ac:dyDescent="0.3">
      <c r="A59" s="14">
        <v>58</v>
      </c>
      <c r="B59" s="4">
        <v>44254</v>
      </c>
      <c r="C59" s="1" t="s">
        <v>531</v>
      </c>
      <c r="D59" s="1" t="s">
        <v>28</v>
      </c>
      <c r="E59" s="1" t="s">
        <v>29</v>
      </c>
      <c r="F59" s="2">
        <v>6</v>
      </c>
      <c r="G59" s="5">
        <v>2100</v>
      </c>
      <c r="H59" s="24">
        <f t="shared" si="0"/>
        <v>12600</v>
      </c>
      <c r="I59" s="7">
        <v>0</v>
      </c>
      <c r="J59" s="5">
        <f t="shared" si="1"/>
        <v>0</v>
      </c>
      <c r="K59" s="5">
        <f t="shared" si="2"/>
        <v>12600</v>
      </c>
      <c r="L59" s="5">
        <v>1660</v>
      </c>
      <c r="M59" s="5">
        <f t="shared" si="3"/>
        <v>2640</v>
      </c>
      <c r="N59" s="7">
        <f t="shared" si="4"/>
        <v>0.20952380952380953</v>
      </c>
      <c r="O59" s="1" t="s">
        <v>30</v>
      </c>
      <c r="P59" s="1" t="s">
        <v>23</v>
      </c>
      <c r="Q59" s="1" t="s">
        <v>32</v>
      </c>
      <c r="R59" s="1" t="s">
        <v>38</v>
      </c>
      <c r="S59" s="1" t="s">
        <v>104</v>
      </c>
      <c r="T59" s="15" t="s">
        <v>61</v>
      </c>
    </row>
    <row r="60" spans="1:20" x14ac:dyDescent="0.3">
      <c r="A60" s="14">
        <v>59</v>
      </c>
      <c r="B60" s="4">
        <v>44255</v>
      </c>
      <c r="C60" s="1" t="s">
        <v>532</v>
      </c>
      <c r="D60" s="1" t="s">
        <v>20</v>
      </c>
      <c r="E60" s="1" t="s">
        <v>36</v>
      </c>
      <c r="F60" s="2">
        <v>5</v>
      </c>
      <c r="G60" s="5">
        <v>1200</v>
      </c>
      <c r="H60" s="24">
        <f t="shared" si="0"/>
        <v>6000</v>
      </c>
      <c r="I60" s="7">
        <v>0</v>
      </c>
      <c r="J60" s="5">
        <f t="shared" si="1"/>
        <v>0</v>
      </c>
      <c r="K60" s="5">
        <f t="shared" si="2"/>
        <v>6000</v>
      </c>
      <c r="L60" s="5">
        <v>890</v>
      </c>
      <c r="M60" s="5">
        <f t="shared" si="3"/>
        <v>1550</v>
      </c>
      <c r="N60" s="7">
        <f t="shared" si="4"/>
        <v>0.25833333333333336</v>
      </c>
      <c r="O60" s="1" t="s">
        <v>30</v>
      </c>
      <c r="P60" s="1" t="s">
        <v>62</v>
      </c>
      <c r="Q60" s="1" t="s">
        <v>48</v>
      </c>
      <c r="R60" s="1" t="s">
        <v>56</v>
      </c>
      <c r="S60" s="1" t="s">
        <v>105</v>
      </c>
      <c r="T60" s="15" t="s">
        <v>27</v>
      </c>
    </row>
    <row r="61" spans="1:20" x14ac:dyDescent="0.3">
      <c r="A61" s="14">
        <v>60</v>
      </c>
      <c r="B61" s="4">
        <v>44256</v>
      </c>
      <c r="C61" s="1" t="s">
        <v>533</v>
      </c>
      <c r="D61" s="1" t="s">
        <v>20</v>
      </c>
      <c r="E61" s="1" t="s">
        <v>40</v>
      </c>
      <c r="F61" s="2">
        <v>4</v>
      </c>
      <c r="G61" s="5">
        <v>1500</v>
      </c>
      <c r="H61" s="24">
        <f t="shared" si="0"/>
        <v>6000</v>
      </c>
      <c r="I61" s="7">
        <v>0</v>
      </c>
      <c r="J61" s="5">
        <f t="shared" si="1"/>
        <v>0</v>
      </c>
      <c r="K61" s="5">
        <f t="shared" si="2"/>
        <v>6000</v>
      </c>
      <c r="L61" s="5">
        <v>1040</v>
      </c>
      <c r="M61" s="5">
        <f t="shared" si="3"/>
        <v>1840</v>
      </c>
      <c r="N61" s="7">
        <f t="shared" si="4"/>
        <v>0.30666666666666664</v>
      </c>
      <c r="O61" s="1" t="s">
        <v>54</v>
      </c>
      <c r="P61" s="1" t="s">
        <v>62</v>
      </c>
      <c r="Q61" s="1" t="s">
        <v>32</v>
      </c>
      <c r="R61" s="1" t="s">
        <v>63</v>
      </c>
      <c r="S61" s="1" t="s">
        <v>84</v>
      </c>
      <c r="T61" s="15" t="s">
        <v>35</v>
      </c>
    </row>
    <row r="62" spans="1:20" x14ac:dyDescent="0.3">
      <c r="A62" s="14">
        <v>61</v>
      </c>
      <c r="B62" s="4">
        <v>44257</v>
      </c>
      <c r="C62" s="1" t="s">
        <v>530</v>
      </c>
      <c r="D62" s="1" t="s">
        <v>20</v>
      </c>
      <c r="E62" s="1" t="s">
        <v>43</v>
      </c>
      <c r="F62" s="2">
        <v>3</v>
      </c>
      <c r="G62" s="5">
        <v>300</v>
      </c>
      <c r="H62" s="24">
        <f t="shared" si="0"/>
        <v>900</v>
      </c>
      <c r="I62" s="7">
        <v>0.05</v>
      </c>
      <c r="J62" s="5">
        <f t="shared" si="1"/>
        <v>45</v>
      </c>
      <c r="K62" s="5">
        <f t="shared" si="2"/>
        <v>855</v>
      </c>
      <c r="L62" s="5">
        <v>230</v>
      </c>
      <c r="M62" s="5">
        <f t="shared" si="3"/>
        <v>165</v>
      </c>
      <c r="N62" s="7">
        <f t="shared" si="4"/>
        <v>0.19298245614035087</v>
      </c>
      <c r="O62" s="1" t="s">
        <v>54</v>
      </c>
      <c r="P62" s="1" t="s">
        <v>31</v>
      </c>
      <c r="Q62" s="1" t="s">
        <v>32</v>
      </c>
      <c r="R62" s="1" t="s">
        <v>50</v>
      </c>
      <c r="S62" s="1" t="s">
        <v>106</v>
      </c>
      <c r="T62" s="15" t="s">
        <v>61</v>
      </c>
    </row>
    <row r="63" spans="1:20" x14ac:dyDescent="0.3">
      <c r="A63" s="14">
        <v>62</v>
      </c>
      <c r="B63" s="4">
        <v>44258</v>
      </c>
      <c r="C63" s="1" t="s">
        <v>529</v>
      </c>
      <c r="D63" s="1" t="s">
        <v>28</v>
      </c>
      <c r="E63" s="1" t="s">
        <v>45</v>
      </c>
      <c r="F63" s="2">
        <v>2</v>
      </c>
      <c r="G63" s="5">
        <v>190</v>
      </c>
      <c r="H63" s="24">
        <f t="shared" si="0"/>
        <v>380</v>
      </c>
      <c r="I63" s="7">
        <v>0</v>
      </c>
      <c r="J63" s="5">
        <f t="shared" si="1"/>
        <v>0</v>
      </c>
      <c r="K63" s="5">
        <f t="shared" si="2"/>
        <v>380</v>
      </c>
      <c r="L63" s="5">
        <v>150</v>
      </c>
      <c r="M63" s="5">
        <f t="shared" si="3"/>
        <v>80</v>
      </c>
      <c r="N63" s="7">
        <f t="shared" si="4"/>
        <v>0.21052631578947367</v>
      </c>
      <c r="O63" s="1" t="s">
        <v>22</v>
      </c>
      <c r="P63" s="1" t="s">
        <v>31</v>
      </c>
      <c r="Q63" s="1" t="s">
        <v>37</v>
      </c>
      <c r="R63" s="1" t="s">
        <v>49</v>
      </c>
      <c r="S63" s="1" t="s">
        <v>107</v>
      </c>
      <c r="T63" s="15" t="s">
        <v>35</v>
      </c>
    </row>
    <row r="64" spans="1:20" x14ac:dyDescent="0.3">
      <c r="A64" s="14">
        <v>63</v>
      </c>
      <c r="B64" s="4">
        <v>44259</v>
      </c>
      <c r="C64" s="1" t="s">
        <v>534</v>
      </c>
      <c r="D64" s="1" t="s">
        <v>28</v>
      </c>
      <c r="E64" s="1" t="s">
        <v>21</v>
      </c>
      <c r="F64" s="2">
        <v>2</v>
      </c>
      <c r="G64" s="5">
        <v>210</v>
      </c>
      <c r="H64" s="24">
        <f t="shared" si="0"/>
        <v>420</v>
      </c>
      <c r="I64" s="7">
        <v>0.15</v>
      </c>
      <c r="J64" s="5">
        <f t="shared" si="1"/>
        <v>63</v>
      </c>
      <c r="K64" s="5">
        <f t="shared" si="2"/>
        <v>357</v>
      </c>
      <c r="L64" s="5">
        <v>140</v>
      </c>
      <c r="M64" s="5">
        <f t="shared" si="3"/>
        <v>77</v>
      </c>
      <c r="N64" s="7">
        <f t="shared" si="4"/>
        <v>0.21568627450980393</v>
      </c>
      <c r="O64" s="1" t="s">
        <v>41</v>
      </c>
      <c r="P64" s="1" t="s">
        <v>31</v>
      </c>
      <c r="Q64" s="1" t="s">
        <v>37</v>
      </c>
      <c r="R64" s="1" t="s">
        <v>56</v>
      </c>
      <c r="S64" s="1" t="s">
        <v>108</v>
      </c>
      <c r="T64" s="15" t="s">
        <v>27</v>
      </c>
    </row>
    <row r="65" spans="1:20" x14ac:dyDescent="0.3">
      <c r="A65" s="14">
        <v>64</v>
      </c>
      <c r="B65" s="4">
        <v>44260</v>
      </c>
      <c r="C65" s="1" t="s">
        <v>531</v>
      </c>
      <c r="D65" s="1" t="s">
        <v>20</v>
      </c>
      <c r="E65" s="1" t="s">
        <v>29</v>
      </c>
      <c r="F65" s="2">
        <v>7</v>
      </c>
      <c r="G65" s="5">
        <v>2100</v>
      </c>
      <c r="H65" s="24">
        <f t="shared" si="0"/>
        <v>14700</v>
      </c>
      <c r="I65" s="7">
        <v>0.05</v>
      </c>
      <c r="J65" s="5">
        <f t="shared" si="1"/>
        <v>735</v>
      </c>
      <c r="K65" s="5">
        <f t="shared" si="2"/>
        <v>13965</v>
      </c>
      <c r="L65" s="5">
        <v>1690</v>
      </c>
      <c r="M65" s="5">
        <f t="shared" si="3"/>
        <v>2135</v>
      </c>
      <c r="N65" s="7">
        <f t="shared" si="4"/>
        <v>0.15288220551378445</v>
      </c>
      <c r="O65" s="1" t="s">
        <v>22</v>
      </c>
      <c r="P65" s="1" t="s">
        <v>31</v>
      </c>
      <c r="Q65" s="1" t="s">
        <v>32</v>
      </c>
      <c r="R65" s="1" t="s">
        <v>66</v>
      </c>
      <c r="S65" s="1" t="s">
        <v>109</v>
      </c>
      <c r="T65" s="15" t="s">
        <v>35</v>
      </c>
    </row>
    <row r="66" spans="1:20" x14ac:dyDescent="0.3">
      <c r="A66" s="14">
        <v>65</v>
      </c>
      <c r="B66" s="4">
        <v>44261</v>
      </c>
      <c r="C66" s="1" t="s">
        <v>532</v>
      </c>
      <c r="D66" s="1" t="s">
        <v>20</v>
      </c>
      <c r="E66" s="1" t="s">
        <v>36</v>
      </c>
      <c r="F66" s="2">
        <v>6</v>
      </c>
      <c r="G66" s="5">
        <v>1200</v>
      </c>
      <c r="H66" s="24">
        <f t="shared" ref="H66:H129" si="5">F66*G66</f>
        <v>7200</v>
      </c>
      <c r="I66" s="7">
        <v>0</v>
      </c>
      <c r="J66" s="5">
        <f t="shared" ref="J66:J129" si="6">H66*I66</f>
        <v>0</v>
      </c>
      <c r="K66" s="5">
        <f t="shared" ref="K66:K129" si="7">H66-J66</f>
        <v>7200</v>
      </c>
      <c r="L66" s="5">
        <v>930</v>
      </c>
      <c r="M66" s="5">
        <f t="shared" ref="M66:M129" si="8">K66-(F66*L66)</f>
        <v>1620</v>
      </c>
      <c r="N66" s="7">
        <f t="shared" ref="N66:N129" si="9">IFERROR(M66/K66,0)</f>
        <v>0.22500000000000001</v>
      </c>
      <c r="O66" s="1" t="s">
        <v>41</v>
      </c>
      <c r="P66" s="1" t="s">
        <v>76</v>
      </c>
      <c r="Q66" s="1" t="s">
        <v>37</v>
      </c>
      <c r="R66" s="1" t="s">
        <v>66</v>
      </c>
      <c r="S66" s="1" t="s">
        <v>110</v>
      </c>
      <c r="T66" s="15" t="s">
        <v>61</v>
      </c>
    </row>
    <row r="67" spans="1:20" x14ac:dyDescent="0.3">
      <c r="A67" s="14">
        <v>66</v>
      </c>
      <c r="B67" s="4">
        <v>44262</v>
      </c>
      <c r="C67" s="1" t="s">
        <v>533</v>
      </c>
      <c r="D67" s="1" t="s">
        <v>28</v>
      </c>
      <c r="E67" s="1" t="s">
        <v>40</v>
      </c>
      <c r="F67" s="2">
        <v>5</v>
      </c>
      <c r="G67" s="5">
        <v>1500</v>
      </c>
      <c r="H67" s="24">
        <f t="shared" si="5"/>
        <v>7500</v>
      </c>
      <c r="I67" s="7">
        <v>0</v>
      </c>
      <c r="J67" s="5">
        <f t="shared" si="6"/>
        <v>0</v>
      </c>
      <c r="K67" s="5">
        <f t="shared" si="7"/>
        <v>7500</v>
      </c>
      <c r="L67" s="5">
        <v>1070</v>
      </c>
      <c r="M67" s="5">
        <f t="shared" si="8"/>
        <v>2150</v>
      </c>
      <c r="N67" s="7">
        <f t="shared" si="9"/>
        <v>0.28666666666666668</v>
      </c>
      <c r="O67" s="1" t="s">
        <v>30</v>
      </c>
      <c r="P67" s="1" t="s">
        <v>31</v>
      </c>
      <c r="Q67" s="1" t="s">
        <v>37</v>
      </c>
      <c r="R67" s="1" t="s">
        <v>63</v>
      </c>
      <c r="S67" s="1" t="s">
        <v>111</v>
      </c>
      <c r="T67" s="15" t="s">
        <v>53</v>
      </c>
    </row>
    <row r="68" spans="1:20" x14ac:dyDescent="0.3">
      <c r="A68" s="14">
        <v>67</v>
      </c>
      <c r="B68" s="4">
        <v>44263</v>
      </c>
      <c r="C68" s="1" t="s">
        <v>533</v>
      </c>
      <c r="D68" s="1" t="s">
        <v>20</v>
      </c>
      <c r="E68" s="1" t="s">
        <v>43</v>
      </c>
      <c r="F68" s="2">
        <v>4</v>
      </c>
      <c r="G68" s="5">
        <v>300</v>
      </c>
      <c r="H68" s="24">
        <f t="shared" si="5"/>
        <v>1200</v>
      </c>
      <c r="I68" s="7">
        <v>0.02</v>
      </c>
      <c r="J68" s="5">
        <f t="shared" si="6"/>
        <v>24</v>
      </c>
      <c r="K68" s="5">
        <f t="shared" si="7"/>
        <v>1176</v>
      </c>
      <c r="L68" s="5">
        <v>200</v>
      </c>
      <c r="M68" s="5">
        <f t="shared" si="8"/>
        <v>376</v>
      </c>
      <c r="N68" s="7">
        <f t="shared" si="9"/>
        <v>0.31972789115646261</v>
      </c>
      <c r="O68" s="1" t="s">
        <v>22</v>
      </c>
      <c r="P68" s="1" t="s">
        <v>31</v>
      </c>
      <c r="Q68" s="1" t="s">
        <v>24</v>
      </c>
      <c r="R68" s="1" t="s">
        <v>50</v>
      </c>
      <c r="S68" s="1" t="s">
        <v>112</v>
      </c>
      <c r="T68" s="15" t="s">
        <v>27</v>
      </c>
    </row>
    <row r="69" spans="1:20" x14ac:dyDescent="0.3">
      <c r="A69" s="14">
        <v>68</v>
      </c>
      <c r="B69" s="4">
        <v>44264</v>
      </c>
      <c r="C69" s="1" t="s">
        <v>530</v>
      </c>
      <c r="D69" s="1" t="s">
        <v>20</v>
      </c>
      <c r="E69" s="1" t="s">
        <v>45</v>
      </c>
      <c r="F69" s="2">
        <v>3</v>
      </c>
      <c r="G69" s="5">
        <v>190</v>
      </c>
      <c r="H69" s="24">
        <f t="shared" si="5"/>
        <v>570</v>
      </c>
      <c r="I69" s="7">
        <v>0</v>
      </c>
      <c r="J69" s="5">
        <f t="shared" si="6"/>
        <v>0</v>
      </c>
      <c r="K69" s="5">
        <f t="shared" si="7"/>
        <v>570</v>
      </c>
      <c r="L69" s="5">
        <v>120</v>
      </c>
      <c r="M69" s="5">
        <f t="shared" si="8"/>
        <v>210</v>
      </c>
      <c r="N69" s="7">
        <f t="shared" si="9"/>
        <v>0.36842105263157893</v>
      </c>
      <c r="O69" s="1" t="s">
        <v>41</v>
      </c>
      <c r="P69" s="1" t="s">
        <v>31</v>
      </c>
      <c r="Q69" s="1" t="s">
        <v>48</v>
      </c>
      <c r="R69" s="1" t="s">
        <v>63</v>
      </c>
      <c r="S69" s="1" t="s">
        <v>113</v>
      </c>
      <c r="T69" s="15" t="s">
        <v>61</v>
      </c>
    </row>
    <row r="70" spans="1:20" x14ac:dyDescent="0.3">
      <c r="A70" s="14">
        <v>69</v>
      </c>
      <c r="B70" s="4">
        <v>44265</v>
      </c>
      <c r="C70" s="1" t="s">
        <v>529</v>
      </c>
      <c r="D70" s="1" t="s">
        <v>20</v>
      </c>
      <c r="E70" s="1" t="s">
        <v>21</v>
      </c>
      <c r="F70" s="2">
        <v>2</v>
      </c>
      <c r="G70" s="5">
        <v>210</v>
      </c>
      <c r="H70" s="24">
        <f t="shared" si="5"/>
        <v>420</v>
      </c>
      <c r="I70" s="7">
        <v>0.05</v>
      </c>
      <c r="J70" s="5">
        <f t="shared" si="6"/>
        <v>21</v>
      </c>
      <c r="K70" s="5">
        <f t="shared" si="7"/>
        <v>399</v>
      </c>
      <c r="L70" s="5">
        <v>170</v>
      </c>
      <c r="M70" s="5">
        <f t="shared" si="8"/>
        <v>59</v>
      </c>
      <c r="N70" s="7">
        <f t="shared" si="9"/>
        <v>0.14786967418546365</v>
      </c>
      <c r="O70" s="1" t="s">
        <v>59</v>
      </c>
      <c r="P70" s="1" t="s">
        <v>31</v>
      </c>
      <c r="Q70" s="1" t="s">
        <v>24</v>
      </c>
      <c r="R70" s="1" t="s">
        <v>50</v>
      </c>
      <c r="S70" s="1" t="s">
        <v>84</v>
      </c>
      <c r="T70" s="15" t="s">
        <v>35</v>
      </c>
    </row>
    <row r="71" spans="1:20" x14ac:dyDescent="0.3">
      <c r="A71" s="14">
        <v>70</v>
      </c>
      <c r="B71" s="4">
        <v>44266</v>
      </c>
      <c r="C71" s="1" t="s">
        <v>534</v>
      </c>
      <c r="D71" s="1" t="s">
        <v>20</v>
      </c>
      <c r="E71" s="1" t="s">
        <v>45</v>
      </c>
      <c r="F71" s="2">
        <v>3</v>
      </c>
      <c r="G71" s="5">
        <v>190</v>
      </c>
      <c r="H71" s="24">
        <f t="shared" si="5"/>
        <v>570</v>
      </c>
      <c r="I71" s="7">
        <v>0.1</v>
      </c>
      <c r="J71" s="5">
        <f t="shared" si="6"/>
        <v>57</v>
      </c>
      <c r="K71" s="5">
        <f t="shared" si="7"/>
        <v>513</v>
      </c>
      <c r="L71" s="5">
        <v>120</v>
      </c>
      <c r="M71" s="5">
        <f t="shared" si="8"/>
        <v>153</v>
      </c>
      <c r="N71" s="7">
        <f t="shared" si="9"/>
        <v>0.2982456140350877</v>
      </c>
      <c r="O71" s="1" t="s">
        <v>59</v>
      </c>
      <c r="P71" s="1" t="s">
        <v>31</v>
      </c>
      <c r="Q71" s="1" t="s">
        <v>32</v>
      </c>
      <c r="R71" s="1" t="s">
        <v>88</v>
      </c>
      <c r="S71" s="1" t="s">
        <v>114</v>
      </c>
      <c r="T71" s="15" t="s">
        <v>27</v>
      </c>
    </row>
    <row r="72" spans="1:20" x14ac:dyDescent="0.3">
      <c r="A72" s="14">
        <v>71</v>
      </c>
      <c r="B72" s="4">
        <v>44267</v>
      </c>
      <c r="C72" s="1" t="s">
        <v>531</v>
      </c>
      <c r="D72" s="1" t="s">
        <v>20</v>
      </c>
      <c r="E72" s="1" t="s">
        <v>21</v>
      </c>
      <c r="F72" s="2">
        <v>2</v>
      </c>
      <c r="G72" s="5">
        <v>210</v>
      </c>
      <c r="H72" s="24">
        <f t="shared" si="5"/>
        <v>420</v>
      </c>
      <c r="I72" s="7">
        <v>0.05</v>
      </c>
      <c r="J72" s="5">
        <f t="shared" si="6"/>
        <v>21</v>
      </c>
      <c r="K72" s="5">
        <f t="shared" si="7"/>
        <v>399</v>
      </c>
      <c r="L72" s="5">
        <v>150</v>
      </c>
      <c r="M72" s="5">
        <f t="shared" si="8"/>
        <v>99</v>
      </c>
      <c r="N72" s="7">
        <f t="shared" si="9"/>
        <v>0.24812030075187969</v>
      </c>
      <c r="O72" s="1" t="s">
        <v>59</v>
      </c>
      <c r="P72" s="1" t="s">
        <v>31</v>
      </c>
      <c r="Q72" s="1" t="s">
        <v>48</v>
      </c>
      <c r="R72" s="1" t="s">
        <v>66</v>
      </c>
      <c r="S72" s="1" t="s">
        <v>115</v>
      </c>
      <c r="T72" s="15" t="s">
        <v>27</v>
      </c>
    </row>
    <row r="73" spans="1:20" x14ac:dyDescent="0.3">
      <c r="A73" s="14">
        <v>72</v>
      </c>
      <c r="B73" s="4">
        <v>44268</v>
      </c>
      <c r="C73" s="1" t="s">
        <v>532</v>
      </c>
      <c r="D73" s="1" t="s">
        <v>20</v>
      </c>
      <c r="E73" s="1" t="s">
        <v>45</v>
      </c>
      <c r="F73" s="2">
        <v>3</v>
      </c>
      <c r="G73" s="5">
        <v>190</v>
      </c>
      <c r="H73" s="24">
        <f t="shared" si="5"/>
        <v>570</v>
      </c>
      <c r="I73" s="7">
        <v>0</v>
      </c>
      <c r="J73" s="5">
        <f t="shared" si="6"/>
        <v>0</v>
      </c>
      <c r="K73" s="5">
        <f t="shared" si="7"/>
        <v>570</v>
      </c>
      <c r="L73" s="5">
        <v>130</v>
      </c>
      <c r="M73" s="5">
        <f t="shared" si="8"/>
        <v>180</v>
      </c>
      <c r="N73" s="7">
        <f t="shared" si="9"/>
        <v>0.31578947368421051</v>
      </c>
      <c r="O73" s="1" t="s">
        <v>54</v>
      </c>
      <c r="P73" s="1" t="s">
        <v>31</v>
      </c>
      <c r="Q73" s="1" t="s">
        <v>24</v>
      </c>
      <c r="R73" s="1" t="s">
        <v>56</v>
      </c>
      <c r="S73" s="1" t="s">
        <v>116</v>
      </c>
      <c r="T73" s="15" t="s">
        <v>61</v>
      </c>
    </row>
    <row r="74" spans="1:20" x14ac:dyDescent="0.3">
      <c r="A74" s="14">
        <v>73</v>
      </c>
      <c r="B74" s="4">
        <v>44269</v>
      </c>
      <c r="C74" s="1" t="s">
        <v>533</v>
      </c>
      <c r="D74" s="1" t="s">
        <v>20</v>
      </c>
      <c r="E74" s="1" t="s">
        <v>21</v>
      </c>
      <c r="F74" s="2">
        <v>2</v>
      </c>
      <c r="G74" s="5">
        <v>210</v>
      </c>
      <c r="H74" s="24">
        <f t="shared" si="5"/>
        <v>420</v>
      </c>
      <c r="I74" s="7">
        <v>0.15</v>
      </c>
      <c r="J74" s="5">
        <f t="shared" si="6"/>
        <v>63</v>
      </c>
      <c r="K74" s="5">
        <f t="shared" si="7"/>
        <v>357</v>
      </c>
      <c r="L74" s="5">
        <v>130</v>
      </c>
      <c r="M74" s="5">
        <f t="shared" si="8"/>
        <v>97</v>
      </c>
      <c r="N74" s="7">
        <f t="shared" si="9"/>
        <v>0.27170868347338933</v>
      </c>
      <c r="O74" s="1" t="s">
        <v>59</v>
      </c>
      <c r="P74" s="1" t="s">
        <v>31</v>
      </c>
      <c r="Q74" s="1" t="s">
        <v>37</v>
      </c>
      <c r="R74" s="1" t="s">
        <v>46</v>
      </c>
      <c r="S74" s="1" t="s">
        <v>117</v>
      </c>
      <c r="T74" s="15" t="s">
        <v>35</v>
      </c>
    </row>
    <row r="75" spans="1:20" x14ac:dyDescent="0.3">
      <c r="A75" s="14">
        <v>74</v>
      </c>
      <c r="B75" s="4">
        <v>44270</v>
      </c>
      <c r="C75" s="1" t="s">
        <v>530</v>
      </c>
      <c r="D75" s="1" t="s">
        <v>20</v>
      </c>
      <c r="E75" s="1" t="s">
        <v>45</v>
      </c>
      <c r="F75" s="2">
        <v>3</v>
      </c>
      <c r="G75" s="5">
        <v>190</v>
      </c>
      <c r="H75" s="24">
        <f t="shared" si="5"/>
        <v>570</v>
      </c>
      <c r="I75" s="7">
        <v>0.15</v>
      </c>
      <c r="J75" s="5">
        <f t="shared" si="6"/>
        <v>85.5</v>
      </c>
      <c r="K75" s="5">
        <f t="shared" si="7"/>
        <v>484.5</v>
      </c>
      <c r="L75" s="5">
        <v>130</v>
      </c>
      <c r="M75" s="5">
        <f t="shared" si="8"/>
        <v>94.5</v>
      </c>
      <c r="N75" s="7">
        <f t="shared" si="9"/>
        <v>0.19504643962848298</v>
      </c>
      <c r="O75" s="1" t="s">
        <v>30</v>
      </c>
      <c r="P75" s="1" t="s">
        <v>31</v>
      </c>
      <c r="Q75" s="1" t="s">
        <v>48</v>
      </c>
      <c r="R75" s="1" t="s">
        <v>66</v>
      </c>
      <c r="S75" s="1" t="s">
        <v>116</v>
      </c>
      <c r="T75" s="15" t="s">
        <v>35</v>
      </c>
    </row>
    <row r="76" spans="1:20" x14ac:dyDescent="0.3">
      <c r="A76" s="14">
        <v>75</v>
      </c>
      <c r="B76" s="4">
        <v>44271</v>
      </c>
      <c r="C76" s="1" t="s">
        <v>529</v>
      </c>
      <c r="D76" s="1" t="s">
        <v>28</v>
      </c>
      <c r="E76" s="1" t="s">
        <v>21</v>
      </c>
      <c r="F76" s="2">
        <v>2</v>
      </c>
      <c r="G76" s="5">
        <v>210</v>
      </c>
      <c r="H76" s="24">
        <f t="shared" si="5"/>
        <v>420</v>
      </c>
      <c r="I76" s="7">
        <v>0</v>
      </c>
      <c r="J76" s="5">
        <f t="shared" si="6"/>
        <v>0</v>
      </c>
      <c r="K76" s="5">
        <f t="shared" si="7"/>
        <v>420</v>
      </c>
      <c r="L76" s="5">
        <v>130</v>
      </c>
      <c r="M76" s="5">
        <f t="shared" si="8"/>
        <v>160</v>
      </c>
      <c r="N76" s="7">
        <f t="shared" si="9"/>
        <v>0.38095238095238093</v>
      </c>
      <c r="O76" s="1" t="s">
        <v>22</v>
      </c>
      <c r="P76" s="1" t="s">
        <v>31</v>
      </c>
      <c r="Q76" s="1" t="s">
        <v>32</v>
      </c>
      <c r="R76" s="1" t="s">
        <v>25</v>
      </c>
      <c r="S76" s="1" t="s">
        <v>118</v>
      </c>
      <c r="T76" s="15" t="s">
        <v>61</v>
      </c>
    </row>
    <row r="77" spans="1:20" x14ac:dyDescent="0.3">
      <c r="A77" s="14">
        <v>76</v>
      </c>
      <c r="B77" s="4">
        <v>44272</v>
      </c>
      <c r="C77" s="1" t="s">
        <v>534</v>
      </c>
      <c r="D77" s="1" t="s">
        <v>20</v>
      </c>
      <c r="E77" s="1" t="s">
        <v>45</v>
      </c>
      <c r="F77" s="2">
        <v>3</v>
      </c>
      <c r="G77" s="5">
        <v>190</v>
      </c>
      <c r="H77" s="24">
        <f t="shared" si="5"/>
        <v>570</v>
      </c>
      <c r="I77" s="7">
        <v>0.15</v>
      </c>
      <c r="J77" s="5">
        <f t="shared" si="6"/>
        <v>85.5</v>
      </c>
      <c r="K77" s="5">
        <f t="shared" si="7"/>
        <v>484.5</v>
      </c>
      <c r="L77" s="5">
        <v>130</v>
      </c>
      <c r="M77" s="5">
        <f t="shared" si="8"/>
        <v>94.5</v>
      </c>
      <c r="N77" s="7">
        <f t="shared" si="9"/>
        <v>0.19504643962848298</v>
      </c>
      <c r="O77" s="1" t="s">
        <v>59</v>
      </c>
      <c r="P77" s="1" t="s">
        <v>31</v>
      </c>
      <c r="Q77" s="1" t="s">
        <v>37</v>
      </c>
      <c r="R77" s="1" t="s">
        <v>38</v>
      </c>
      <c r="S77" s="1" t="s">
        <v>108</v>
      </c>
      <c r="T77" s="15" t="s">
        <v>53</v>
      </c>
    </row>
    <row r="78" spans="1:20" x14ac:dyDescent="0.3">
      <c r="A78" s="14">
        <v>77</v>
      </c>
      <c r="B78" s="4">
        <v>44273</v>
      </c>
      <c r="C78" s="1" t="s">
        <v>531</v>
      </c>
      <c r="D78" s="1" t="s">
        <v>28</v>
      </c>
      <c r="E78" s="1" t="s">
        <v>21</v>
      </c>
      <c r="F78" s="2">
        <v>2</v>
      </c>
      <c r="G78" s="5">
        <v>210</v>
      </c>
      <c r="H78" s="24">
        <f t="shared" si="5"/>
        <v>420</v>
      </c>
      <c r="I78" s="7">
        <v>0.15</v>
      </c>
      <c r="J78" s="5">
        <f t="shared" si="6"/>
        <v>63</v>
      </c>
      <c r="K78" s="5">
        <f t="shared" si="7"/>
        <v>357</v>
      </c>
      <c r="L78" s="5">
        <v>150</v>
      </c>
      <c r="M78" s="5">
        <f t="shared" si="8"/>
        <v>57</v>
      </c>
      <c r="N78" s="7">
        <f t="shared" si="9"/>
        <v>0.15966386554621848</v>
      </c>
      <c r="O78" s="1" t="s">
        <v>41</v>
      </c>
      <c r="P78" s="1" t="s">
        <v>31</v>
      </c>
      <c r="Q78" s="1" t="s">
        <v>32</v>
      </c>
      <c r="R78" s="1" t="s">
        <v>49</v>
      </c>
      <c r="S78" s="1" t="s">
        <v>119</v>
      </c>
      <c r="T78" s="15" t="s">
        <v>35</v>
      </c>
    </row>
    <row r="79" spans="1:20" x14ac:dyDescent="0.3">
      <c r="A79" s="14">
        <v>78</v>
      </c>
      <c r="B79" s="4">
        <v>44274</v>
      </c>
      <c r="C79" s="1" t="s">
        <v>532</v>
      </c>
      <c r="D79" s="1" t="s">
        <v>20</v>
      </c>
      <c r="E79" s="1" t="s">
        <v>36</v>
      </c>
      <c r="F79" s="2">
        <v>5</v>
      </c>
      <c r="G79" s="5">
        <v>1200</v>
      </c>
      <c r="H79" s="24">
        <f t="shared" si="5"/>
        <v>6000</v>
      </c>
      <c r="I79" s="7">
        <v>0.02</v>
      </c>
      <c r="J79" s="5">
        <f t="shared" si="6"/>
        <v>120</v>
      </c>
      <c r="K79" s="5">
        <f t="shared" si="7"/>
        <v>5880</v>
      </c>
      <c r="L79" s="5">
        <v>810</v>
      </c>
      <c r="M79" s="5">
        <f t="shared" si="8"/>
        <v>1830</v>
      </c>
      <c r="N79" s="7">
        <f t="shared" si="9"/>
        <v>0.31122448979591838</v>
      </c>
      <c r="O79" s="1" t="s">
        <v>54</v>
      </c>
      <c r="P79" s="1" t="s">
        <v>31</v>
      </c>
      <c r="Q79" s="1" t="s">
        <v>24</v>
      </c>
      <c r="R79" s="1" t="s">
        <v>49</v>
      </c>
      <c r="S79" s="1" t="s">
        <v>111</v>
      </c>
      <c r="T79" s="15" t="s">
        <v>27</v>
      </c>
    </row>
    <row r="80" spans="1:20" x14ac:dyDescent="0.3">
      <c r="A80" s="14">
        <v>79</v>
      </c>
      <c r="B80" s="4">
        <v>44275</v>
      </c>
      <c r="C80" s="1" t="s">
        <v>533</v>
      </c>
      <c r="D80" s="1" t="s">
        <v>20</v>
      </c>
      <c r="E80" s="1" t="s">
        <v>40</v>
      </c>
      <c r="F80" s="2">
        <v>4</v>
      </c>
      <c r="G80" s="5">
        <v>1500</v>
      </c>
      <c r="H80" s="24">
        <f t="shared" si="5"/>
        <v>6000</v>
      </c>
      <c r="I80" s="7">
        <v>0.05</v>
      </c>
      <c r="J80" s="5">
        <f t="shared" si="6"/>
        <v>300</v>
      </c>
      <c r="K80" s="5">
        <f t="shared" si="7"/>
        <v>5700</v>
      </c>
      <c r="L80" s="5">
        <v>890</v>
      </c>
      <c r="M80" s="5">
        <f t="shared" si="8"/>
        <v>2140</v>
      </c>
      <c r="N80" s="7">
        <f t="shared" si="9"/>
        <v>0.37543859649122807</v>
      </c>
      <c r="O80" s="1" t="s">
        <v>30</v>
      </c>
      <c r="P80" s="1" t="s">
        <v>31</v>
      </c>
      <c r="Q80" s="1" t="s">
        <v>24</v>
      </c>
      <c r="R80" s="1" t="s">
        <v>63</v>
      </c>
      <c r="S80" s="1" t="s">
        <v>120</v>
      </c>
      <c r="T80" s="15" t="s">
        <v>27</v>
      </c>
    </row>
    <row r="81" spans="1:20" x14ac:dyDescent="0.3">
      <c r="A81" s="14">
        <v>80</v>
      </c>
      <c r="B81" s="4">
        <v>44276</v>
      </c>
      <c r="C81" s="1" t="s">
        <v>533</v>
      </c>
      <c r="D81" s="1" t="s">
        <v>20</v>
      </c>
      <c r="E81" s="1" t="s">
        <v>43</v>
      </c>
      <c r="F81" s="2">
        <v>3</v>
      </c>
      <c r="G81" s="5">
        <v>300</v>
      </c>
      <c r="H81" s="24">
        <f t="shared" si="5"/>
        <v>900</v>
      </c>
      <c r="I81" s="7">
        <v>0.15</v>
      </c>
      <c r="J81" s="5">
        <f t="shared" si="6"/>
        <v>135</v>
      </c>
      <c r="K81" s="5">
        <f t="shared" si="7"/>
        <v>765</v>
      </c>
      <c r="L81" s="5">
        <v>230</v>
      </c>
      <c r="M81" s="5">
        <f t="shared" si="8"/>
        <v>75</v>
      </c>
      <c r="N81" s="7">
        <f t="shared" si="9"/>
        <v>9.8039215686274508E-2</v>
      </c>
      <c r="O81" s="1" t="s">
        <v>30</v>
      </c>
      <c r="P81" s="1" t="s">
        <v>31</v>
      </c>
      <c r="Q81" s="1" t="s">
        <v>32</v>
      </c>
      <c r="R81" s="1" t="s">
        <v>33</v>
      </c>
      <c r="S81" s="1" t="s">
        <v>121</v>
      </c>
      <c r="T81" s="15" t="s">
        <v>27</v>
      </c>
    </row>
    <row r="82" spans="1:20" x14ac:dyDescent="0.3">
      <c r="A82" s="14">
        <v>81</v>
      </c>
      <c r="B82" s="4">
        <v>44277</v>
      </c>
      <c r="C82" s="1" t="s">
        <v>530</v>
      </c>
      <c r="D82" s="1" t="s">
        <v>20</v>
      </c>
      <c r="E82" s="1" t="s">
        <v>45</v>
      </c>
      <c r="F82" s="2">
        <v>2</v>
      </c>
      <c r="G82" s="5">
        <v>190</v>
      </c>
      <c r="H82" s="24">
        <f t="shared" si="5"/>
        <v>380</v>
      </c>
      <c r="I82" s="7">
        <v>0.1</v>
      </c>
      <c r="J82" s="5">
        <f t="shared" si="6"/>
        <v>38</v>
      </c>
      <c r="K82" s="5">
        <f t="shared" si="7"/>
        <v>342</v>
      </c>
      <c r="L82" s="5">
        <v>130</v>
      </c>
      <c r="M82" s="5">
        <f t="shared" si="8"/>
        <v>82</v>
      </c>
      <c r="N82" s="7">
        <f t="shared" si="9"/>
        <v>0.23976608187134502</v>
      </c>
      <c r="O82" s="1" t="s">
        <v>59</v>
      </c>
      <c r="P82" s="1" t="s">
        <v>31</v>
      </c>
      <c r="Q82" s="1" t="s">
        <v>32</v>
      </c>
      <c r="R82" s="1" t="s">
        <v>56</v>
      </c>
      <c r="S82" s="1" t="s">
        <v>91</v>
      </c>
      <c r="T82" s="15" t="s">
        <v>35</v>
      </c>
    </row>
    <row r="83" spans="1:20" x14ac:dyDescent="0.3">
      <c r="A83" s="14">
        <v>82</v>
      </c>
      <c r="B83" s="4">
        <v>44278</v>
      </c>
      <c r="C83" s="1" t="s">
        <v>530</v>
      </c>
      <c r="D83" s="1" t="s">
        <v>28</v>
      </c>
      <c r="E83" s="1" t="s">
        <v>21</v>
      </c>
      <c r="F83" s="2">
        <v>7</v>
      </c>
      <c r="G83" s="5">
        <v>210</v>
      </c>
      <c r="H83" s="24">
        <f t="shared" si="5"/>
        <v>1470</v>
      </c>
      <c r="I83" s="7">
        <v>0.15</v>
      </c>
      <c r="J83" s="5">
        <f t="shared" si="6"/>
        <v>220.5</v>
      </c>
      <c r="K83" s="5">
        <f t="shared" si="7"/>
        <v>1249.5</v>
      </c>
      <c r="L83" s="5">
        <v>170</v>
      </c>
      <c r="M83" s="5">
        <f t="shared" si="8"/>
        <v>59.5</v>
      </c>
      <c r="N83" s="7">
        <f t="shared" si="9"/>
        <v>4.7619047619047616E-2</v>
      </c>
      <c r="O83" s="1" t="s">
        <v>54</v>
      </c>
      <c r="P83" s="1" t="s">
        <v>31</v>
      </c>
      <c r="Q83" s="1" t="s">
        <v>32</v>
      </c>
      <c r="R83" s="1" t="s">
        <v>49</v>
      </c>
      <c r="S83" s="1" t="s">
        <v>122</v>
      </c>
      <c r="T83" s="15" t="s">
        <v>61</v>
      </c>
    </row>
    <row r="84" spans="1:20" x14ac:dyDescent="0.3">
      <c r="A84" s="14">
        <v>83</v>
      </c>
      <c r="B84" s="4">
        <v>44279</v>
      </c>
      <c r="C84" s="1" t="s">
        <v>530</v>
      </c>
      <c r="D84" s="1" t="s">
        <v>80</v>
      </c>
      <c r="E84" s="1" t="s">
        <v>29</v>
      </c>
      <c r="F84" s="2">
        <v>6</v>
      </c>
      <c r="G84" s="5">
        <v>2100</v>
      </c>
      <c r="H84" s="24">
        <f t="shared" si="5"/>
        <v>12600</v>
      </c>
      <c r="I84" s="7">
        <v>0.15</v>
      </c>
      <c r="J84" s="5">
        <f t="shared" si="6"/>
        <v>1890</v>
      </c>
      <c r="K84" s="5">
        <f t="shared" si="7"/>
        <v>10710</v>
      </c>
      <c r="L84" s="5">
        <v>1440</v>
      </c>
      <c r="M84" s="5">
        <f t="shared" si="8"/>
        <v>2070</v>
      </c>
      <c r="N84" s="7">
        <f t="shared" si="9"/>
        <v>0.19327731092436976</v>
      </c>
      <c r="O84" s="1" t="s">
        <v>54</v>
      </c>
      <c r="P84" s="1" t="s">
        <v>31</v>
      </c>
      <c r="Q84" s="1" t="s">
        <v>32</v>
      </c>
      <c r="R84" s="1" t="s">
        <v>38</v>
      </c>
      <c r="S84" s="1" t="s">
        <v>123</v>
      </c>
      <c r="T84" s="15" t="s">
        <v>61</v>
      </c>
    </row>
    <row r="85" spans="1:20" x14ac:dyDescent="0.3">
      <c r="A85" s="14">
        <v>84</v>
      </c>
      <c r="B85" s="4">
        <v>44280</v>
      </c>
      <c r="C85" s="1" t="s">
        <v>530</v>
      </c>
      <c r="D85" s="1" t="s">
        <v>82</v>
      </c>
      <c r="E85" s="1" t="s">
        <v>36</v>
      </c>
      <c r="F85" s="2">
        <v>5</v>
      </c>
      <c r="G85" s="5">
        <v>1200</v>
      </c>
      <c r="H85" s="24">
        <f t="shared" si="5"/>
        <v>6000</v>
      </c>
      <c r="I85" s="7">
        <v>0.1</v>
      </c>
      <c r="J85" s="5">
        <f t="shared" si="6"/>
        <v>600</v>
      </c>
      <c r="K85" s="5">
        <f t="shared" si="7"/>
        <v>5400</v>
      </c>
      <c r="L85" s="5">
        <v>850</v>
      </c>
      <c r="M85" s="5">
        <f t="shared" si="8"/>
        <v>1150</v>
      </c>
      <c r="N85" s="7">
        <f t="shared" si="9"/>
        <v>0.21296296296296297</v>
      </c>
      <c r="O85" s="1" t="s">
        <v>30</v>
      </c>
      <c r="P85" s="1" t="s">
        <v>31</v>
      </c>
      <c r="Q85" s="1" t="s">
        <v>24</v>
      </c>
      <c r="R85" s="1" t="s">
        <v>66</v>
      </c>
      <c r="S85" s="1" t="s">
        <v>124</v>
      </c>
      <c r="T85" s="15" t="s">
        <v>61</v>
      </c>
    </row>
    <row r="86" spans="1:20" x14ac:dyDescent="0.3">
      <c r="A86" s="14">
        <v>85</v>
      </c>
      <c r="B86" s="4">
        <v>44281</v>
      </c>
      <c r="C86" s="1" t="s">
        <v>530</v>
      </c>
      <c r="D86" s="1" t="s">
        <v>20</v>
      </c>
      <c r="E86" s="1" t="s">
        <v>40</v>
      </c>
      <c r="F86" s="2">
        <v>4</v>
      </c>
      <c r="G86" s="5">
        <v>1500</v>
      </c>
      <c r="H86" s="24">
        <f t="shared" si="5"/>
        <v>6000</v>
      </c>
      <c r="I86" s="7">
        <v>0</v>
      </c>
      <c r="J86" s="5">
        <f t="shared" si="6"/>
        <v>0</v>
      </c>
      <c r="K86" s="5">
        <f t="shared" si="7"/>
        <v>6000</v>
      </c>
      <c r="L86" s="5">
        <v>1080</v>
      </c>
      <c r="M86" s="5">
        <f t="shared" si="8"/>
        <v>1680</v>
      </c>
      <c r="N86" s="7">
        <f t="shared" si="9"/>
        <v>0.28000000000000003</v>
      </c>
      <c r="O86" s="1" t="s">
        <v>41</v>
      </c>
      <c r="P86" s="1" t="s">
        <v>62</v>
      </c>
      <c r="Q86" s="1" t="s">
        <v>48</v>
      </c>
      <c r="R86" s="1" t="s">
        <v>46</v>
      </c>
      <c r="S86" s="1" t="s">
        <v>125</v>
      </c>
      <c r="T86" s="15" t="s">
        <v>53</v>
      </c>
    </row>
    <row r="87" spans="1:20" x14ac:dyDescent="0.3">
      <c r="A87" s="14">
        <v>86</v>
      </c>
      <c r="B87" s="4">
        <v>44282</v>
      </c>
      <c r="C87" s="1" t="s">
        <v>530</v>
      </c>
      <c r="D87" s="1" t="s">
        <v>28</v>
      </c>
      <c r="E87" s="1" t="s">
        <v>43</v>
      </c>
      <c r="F87" s="2">
        <v>3</v>
      </c>
      <c r="G87" s="5">
        <v>300</v>
      </c>
      <c r="H87" s="24">
        <f t="shared" si="5"/>
        <v>900</v>
      </c>
      <c r="I87" s="7">
        <v>0</v>
      </c>
      <c r="J87" s="5">
        <f t="shared" si="6"/>
        <v>0</v>
      </c>
      <c r="K87" s="5">
        <f t="shared" si="7"/>
        <v>900</v>
      </c>
      <c r="L87" s="5">
        <v>210</v>
      </c>
      <c r="M87" s="5">
        <f t="shared" si="8"/>
        <v>270</v>
      </c>
      <c r="N87" s="7">
        <f t="shared" si="9"/>
        <v>0.3</v>
      </c>
      <c r="O87" s="1" t="s">
        <v>30</v>
      </c>
      <c r="P87" s="1" t="s">
        <v>31</v>
      </c>
      <c r="Q87" s="1" t="s">
        <v>24</v>
      </c>
      <c r="R87" s="1" t="s">
        <v>66</v>
      </c>
      <c r="S87" s="1" t="s">
        <v>126</v>
      </c>
      <c r="T87" s="15" t="s">
        <v>27</v>
      </c>
    </row>
    <row r="88" spans="1:20" x14ac:dyDescent="0.3">
      <c r="A88" s="14">
        <v>87</v>
      </c>
      <c r="B88" s="4">
        <v>44283</v>
      </c>
      <c r="C88" s="1" t="s">
        <v>530</v>
      </c>
      <c r="D88" s="1" t="s">
        <v>80</v>
      </c>
      <c r="E88" s="1" t="s">
        <v>45</v>
      </c>
      <c r="F88" s="2">
        <v>2</v>
      </c>
      <c r="G88" s="5">
        <v>190</v>
      </c>
      <c r="H88" s="24">
        <f t="shared" si="5"/>
        <v>380</v>
      </c>
      <c r="I88" s="7">
        <v>0</v>
      </c>
      <c r="J88" s="5">
        <f t="shared" si="6"/>
        <v>0</v>
      </c>
      <c r="K88" s="5">
        <f t="shared" si="7"/>
        <v>380</v>
      </c>
      <c r="L88" s="5">
        <v>110</v>
      </c>
      <c r="M88" s="5">
        <f t="shared" si="8"/>
        <v>160</v>
      </c>
      <c r="N88" s="7">
        <f t="shared" si="9"/>
        <v>0.42105263157894735</v>
      </c>
      <c r="O88" s="1" t="s">
        <v>54</v>
      </c>
      <c r="P88" s="1" t="s">
        <v>31</v>
      </c>
      <c r="Q88" s="1" t="s">
        <v>37</v>
      </c>
      <c r="R88" s="1" t="s">
        <v>49</v>
      </c>
      <c r="S88" s="1" t="s">
        <v>127</v>
      </c>
      <c r="T88" s="15" t="s">
        <v>53</v>
      </c>
    </row>
    <row r="89" spans="1:20" x14ac:dyDescent="0.3">
      <c r="A89" s="14">
        <v>88</v>
      </c>
      <c r="B89" s="4">
        <v>44284</v>
      </c>
      <c r="C89" s="1" t="s">
        <v>530</v>
      </c>
      <c r="D89" s="1" t="s">
        <v>82</v>
      </c>
      <c r="E89" s="1" t="s">
        <v>21</v>
      </c>
      <c r="F89" s="2">
        <v>2</v>
      </c>
      <c r="G89" s="5">
        <v>210</v>
      </c>
      <c r="H89" s="24">
        <f t="shared" si="5"/>
        <v>420</v>
      </c>
      <c r="I89" s="7">
        <v>0</v>
      </c>
      <c r="J89" s="5">
        <f t="shared" si="6"/>
        <v>0</v>
      </c>
      <c r="K89" s="5">
        <f t="shared" si="7"/>
        <v>420</v>
      </c>
      <c r="L89" s="5">
        <v>120</v>
      </c>
      <c r="M89" s="5">
        <f t="shared" si="8"/>
        <v>180</v>
      </c>
      <c r="N89" s="7">
        <f t="shared" si="9"/>
        <v>0.42857142857142855</v>
      </c>
      <c r="O89" s="1" t="s">
        <v>22</v>
      </c>
      <c r="P89" s="1" t="s">
        <v>31</v>
      </c>
      <c r="Q89" s="1" t="s">
        <v>37</v>
      </c>
      <c r="R89" s="1" t="s">
        <v>66</v>
      </c>
      <c r="S89" s="1" t="s">
        <v>128</v>
      </c>
      <c r="T89" s="15" t="s">
        <v>61</v>
      </c>
    </row>
    <row r="90" spans="1:20" x14ac:dyDescent="0.3">
      <c r="A90" s="14">
        <v>89</v>
      </c>
      <c r="B90" s="4">
        <v>44285</v>
      </c>
      <c r="C90" s="1" t="s">
        <v>529</v>
      </c>
      <c r="D90" s="1" t="s">
        <v>28</v>
      </c>
      <c r="E90" s="1" t="s">
        <v>43</v>
      </c>
      <c r="F90" s="2">
        <v>3</v>
      </c>
      <c r="G90" s="5">
        <v>300</v>
      </c>
      <c r="H90" s="24">
        <f t="shared" si="5"/>
        <v>900</v>
      </c>
      <c r="I90" s="7">
        <v>0</v>
      </c>
      <c r="J90" s="5">
        <f t="shared" si="6"/>
        <v>0</v>
      </c>
      <c r="K90" s="5">
        <f t="shared" si="7"/>
        <v>900</v>
      </c>
      <c r="L90" s="5">
        <v>210</v>
      </c>
      <c r="M90" s="5">
        <f t="shared" si="8"/>
        <v>270</v>
      </c>
      <c r="N90" s="7">
        <f t="shared" si="9"/>
        <v>0.3</v>
      </c>
      <c r="O90" s="1" t="s">
        <v>54</v>
      </c>
      <c r="P90" s="1" t="s">
        <v>23</v>
      </c>
      <c r="Q90" s="1" t="s">
        <v>37</v>
      </c>
      <c r="R90" s="1" t="s">
        <v>56</v>
      </c>
      <c r="S90" s="1" t="s">
        <v>129</v>
      </c>
      <c r="T90" s="15" t="s">
        <v>27</v>
      </c>
    </row>
    <row r="91" spans="1:20" x14ac:dyDescent="0.3">
      <c r="A91" s="14">
        <v>90</v>
      </c>
      <c r="B91" s="4">
        <v>44286</v>
      </c>
      <c r="C91" s="1" t="s">
        <v>529</v>
      </c>
      <c r="D91" s="1" t="s">
        <v>20</v>
      </c>
      <c r="E91" s="1" t="s">
        <v>43</v>
      </c>
      <c r="F91" s="2">
        <v>3</v>
      </c>
      <c r="G91" s="5">
        <v>300</v>
      </c>
      <c r="H91" s="24">
        <f t="shared" si="5"/>
        <v>900</v>
      </c>
      <c r="I91" s="7">
        <v>0.1</v>
      </c>
      <c r="J91" s="5">
        <f t="shared" si="6"/>
        <v>90</v>
      </c>
      <c r="K91" s="5">
        <f t="shared" si="7"/>
        <v>810</v>
      </c>
      <c r="L91" s="5">
        <v>200</v>
      </c>
      <c r="M91" s="5">
        <f t="shared" si="8"/>
        <v>210</v>
      </c>
      <c r="N91" s="7">
        <f t="shared" si="9"/>
        <v>0.25925925925925924</v>
      </c>
      <c r="O91" s="1" t="s">
        <v>41</v>
      </c>
      <c r="P91" s="1" t="s">
        <v>31</v>
      </c>
      <c r="Q91" s="1" t="s">
        <v>48</v>
      </c>
      <c r="R91" s="1" t="s">
        <v>88</v>
      </c>
      <c r="S91" s="1" t="s">
        <v>116</v>
      </c>
      <c r="T91" s="15" t="s">
        <v>53</v>
      </c>
    </row>
    <row r="92" spans="1:20" x14ac:dyDescent="0.3">
      <c r="A92" s="14">
        <v>91</v>
      </c>
      <c r="B92" s="4">
        <v>44287</v>
      </c>
      <c r="C92" s="1" t="s">
        <v>529</v>
      </c>
      <c r="D92" s="1" t="s">
        <v>80</v>
      </c>
      <c r="E92" s="1" t="s">
        <v>43</v>
      </c>
      <c r="F92" s="2">
        <v>3</v>
      </c>
      <c r="G92" s="5">
        <v>300</v>
      </c>
      <c r="H92" s="24">
        <f t="shared" si="5"/>
        <v>900</v>
      </c>
      <c r="I92" s="7">
        <v>0.1</v>
      </c>
      <c r="J92" s="5">
        <f t="shared" si="6"/>
        <v>90</v>
      </c>
      <c r="K92" s="5">
        <f t="shared" si="7"/>
        <v>810</v>
      </c>
      <c r="L92" s="5">
        <v>230</v>
      </c>
      <c r="M92" s="5">
        <f t="shared" si="8"/>
        <v>120</v>
      </c>
      <c r="N92" s="7">
        <f t="shared" si="9"/>
        <v>0.14814814814814814</v>
      </c>
      <c r="O92" s="1" t="s">
        <v>22</v>
      </c>
      <c r="P92" s="1" t="s">
        <v>31</v>
      </c>
      <c r="Q92" s="1" t="s">
        <v>24</v>
      </c>
      <c r="R92" s="1" t="s">
        <v>46</v>
      </c>
      <c r="S92" s="1" t="s">
        <v>95</v>
      </c>
      <c r="T92" s="15" t="s">
        <v>53</v>
      </c>
    </row>
    <row r="93" spans="1:20" x14ac:dyDescent="0.3">
      <c r="A93" s="14">
        <v>92</v>
      </c>
      <c r="B93" s="4">
        <v>44288</v>
      </c>
      <c r="C93" s="1" t="s">
        <v>529</v>
      </c>
      <c r="D93" s="1" t="s">
        <v>82</v>
      </c>
      <c r="E93" s="1" t="s">
        <v>43</v>
      </c>
      <c r="F93" s="2">
        <v>3</v>
      </c>
      <c r="G93" s="5">
        <v>300</v>
      </c>
      <c r="H93" s="24">
        <f t="shared" si="5"/>
        <v>900</v>
      </c>
      <c r="I93" s="7">
        <v>0.05</v>
      </c>
      <c r="J93" s="5">
        <f t="shared" si="6"/>
        <v>45</v>
      </c>
      <c r="K93" s="5">
        <f t="shared" si="7"/>
        <v>855</v>
      </c>
      <c r="L93" s="5">
        <v>240</v>
      </c>
      <c r="M93" s="5">
        <f t="shared" si="8"/>
        <v>135</v>
      </c>
      <c r="N93" s="7">
        <f t="shared" si="9"/>
        <v>0.15789473684210525</v>
      </c>
      <c r="O93" s="1" t="s">
        <v>41</v>
      </c>
      <c r="P93" s="1" t="s">
        <v>31</v>
      </c>
      <c r="Q93" s="1" t="s">
        <v>37</v>
      </c>
      <c r="R93" s="1" t="s">
        <v>88</v>
      </c>
      <c r="S93" s="1" t="s">
        <v>130</v>
      </c>
      <c r="T93" s="15" t="s">
        <v>53</v>
      </c>
    </row>
    <row r="94" spans="1:20" x14ac:dyDescent="0.3">
      <c r="A94" s="14">
        <v>93</v>
      </c>
      <c r="B94" s="4">
        <v>44289</v>
      </c>
      <c r="C94" s="1" t="s">
        <v>529</v>
      </c>
      <c r="D94" s="1" t="s">
        <v>28</v>
      </c>
      <c r="E94" s="1" t="s">
        <v>43</v>
      </c>
      <c r="F94" s="2">
        <v>3</v>
      </c>
      <c r="G94" s="5">
        <v>300</v>
      </c>
      <c r="H94" s="24">
        <f t="shared" si="5"/>
        <v>900</v>
      </c>
      <c r="I94" s="7">
        <v>0</v>
      </c>
      <c r="J94" s="5">
        <f t="shared" si="6"/>
        <v>0</v>
      </c>
      <c r="K94" s="5">
        <f t="shared" si="7"/>
        <v>900</v>
      </c>
      <c r="L94" s="5">
        <v>220</v>
      </c>
      <c r="M94" s="5">
        <f t="shared" si="8"/>
        <v>240</v>
      </c>
      <c r="N94" s="7">
        <f t="shared" si="9"/>
        <v>0.26666666666666666</v>
      </c>
      <c r="O94" s="1" t="s">
        <v>59</v>
      </c>
      <c r="P94" s="1" t="s">
        <v>31</v>
      </c>
      <c r="Q94" s="1" t="s">
        <v>48</v>
      </c>
      <c r="R94" s="1" t="s">
        <v>88</v>
      </c>
      <c r="S94" s="1" t="s">
        <v>131</v>
      </c>
      <c r="T94" s="15" t="s">
        <v>35</v>
      </c>
    </row>
    <row r="95" spans="1:20" x14ac:dyDescent="0.3">
      <c r="A95" s="14">
        <v>94</v>
      </c>
      <c r="B95" s="4">
        <v>44290</v>
      </c>
      <c r="C95" s="1" t="s">
        <v>529</v>
      </c>
      <c r="D95" s="1" t="s">
        <v>20</v>
      </c>
      <c r="E95" s="1" t="s">
        <v>43</v>
      </c>
      <c r="F95" s="2">
        <v>3</v>
      </c>
      <c r="G95" s="5">
        <v>300</v>
      </c>
      <c r="H95" s="24">
        <f t="shared" si="5"/>
        <v>900</v>
      </c>
      <c r="I95" s="7">
        <v>0</v>
      </c>
      <c r="J95" s="5">
        <f t="shared" si="6"/>
        <v>0</v>
      </c>
      <c r="K95" s="5">
        <f t="shared" si="7"/>
        <v>900</v>
      </c>
      <c r="L95" s="5">
        <v>200</v>
      </c>
      <c r="M95" s="5">
        <f t="shared" si="8"/>
        <v>300</v>
      </c>
      <c r="N95" s="7">
        <f t="shared" si="9"/>
        <v>0.33333333333333331</v>
      </c>
      <c r="O95" s="1" t="s">
        <v>59</v>
      </c>
      <c r="P95" s="1" t="s">
        <v>31</v>
      </c>
      <c r="Q95" s="1" t="s">
        <v>48</v>
      </c>
      <c r="R95" s="1" t="s">
        <v>50</v>
      </c>
      <c r="S95" s="1" t="s">
        <v>109</v>
      </c>
      <c r="T95" s="15" t="s">
        <v>35</v>
      </c>
    </row>
    <row r="96" spans="1:20" x14ac:dyDescent="0.3">
      <c r="A96" s="14">
        <v>95</v>
      </c>
      <c r="B96" s="4">
        <v>44291</v>
      </c>
      <c r="C96" s="1" t="s">
        <v>529</v>
      </c>
      <c r="D96" s="1" t="s">
        <v>80</v>
      </c>
      <c r="E96" s="1" t="s">
        <v>43</v>
      </c>
      <c r="F96" s="2">
        <v>3</v>
      </c>
      <c r="G96" s="5">
        <v>300</v>
      </c>
      <c r="H96" s="24">
        <f t="shared" si="5"/>
        <v>900</v>
      </c>
      <c r="I96" s="7">
        <v>0.1</v>
      </c>
      <c r="J96" s="5">
        <f t="shared" si="6"/>
        <v>90</v>
      </c>
      <c r="K96" s="5">
        <f t="shared" si="7"/>
        <v>810</v>
      </c>
      <c r="L96" s="5">
        <v>180</v>
      </c>
      <c r="M96" s="5">
        <f t="shared" si="8"/>
        <v>270</v>
      </c>
      <c r="N96" s="7">
        <f t="shared" si="9"/>
        <v>0.33333333333333331</v>
      </c>
      <c r="O96" s="1" t="s">
        <v>30</v>
      </c>
      <c r="P96" s="1" t="s">
        <v>76</v>
      </c>
      <c r="Q96" s="1" t="s">
        <v>48</v>
      </c>
      <c r="R96" s="1" t="s">
        <v>50</v>
      </c>
      <c r="S96" s="1" t="s">
        <v>132</v>
      </c>
      <c r="T96" s="15" t="s">
        <v>27</v>
      </c>
    </row>
    <row r="97" spans="1:20" x14ac:dyDescent="0.3">
      <c r="A97" s="14">
        <v>96</v>
      </c>
      <c r="B97" s="4">
        <v>44292</v>
      </c>
      <c r="C97" s="1" t="s">
        <v>529</v>
      </c>
      <c r="D97" s="1" t="s">
        <v>82</v>
      </c>
      <c r="E97" s="1" t="s">
        <v>43</v>
      </c>
      <c r="F97" s="2">
        <v>3</v>
      </c>
      <c r="G97" s="5">
        <v>300</v>
      </c>
      <c r="H97" s="24">
        <f t="shared" si="5"/>
        <v>900</v>
      </c>
      <c r="I97" s="7">
        <v>0.15</v>
      </c>
      <c r="J97" s="5">
        <f t="shared" si="6"/>
        <v>135</v>
      </c>
      <c r="K97" s="5">
        <f t="shared" si="7"/>
        <v>765</v>
      </c>
      <c r="L97" s="5">
        <v>230</v>
      </c>
      <c r="M97" s="5">
        <f t="shared" si="8"/>
        <v>75</v>
      </c>
      <c r="N97" s="7">
        <f t="shared" si="9"/>
        <v>9.8039215686274508E-2</v>
      </c>
      <c r="O97" s="1" t="s">
        <v>41</v>
      </c>
      <c r="P97" s="1" t="s">
        <v>31</v>
      </c>
      <c r="Q97" s="1" t="s">
        <v>32</v>
      </c>
      <c r="R97" s="1" t="s">
        <v>38</v>
      </c>
      <c r="S97" s="1" t="s">
        <v>121</v>
      </c>
      <c r="T97" s="15" t="s">
        <v>61</v>
      </c>
    </row>
    <row r="98" spans="1:20" x14ac:dyDescent="0.3">
      <c r="A98" s="14">
        <v>97</v>
      </c>
      <c r="B98" s="4">
        <v>44293</v>
      </c>
      <c r="C98" s="1" t="s">
        <v>534</v>
      </c>
      <c r="D98" s="1" t="s">
        <v>82</v>
      </c>
      <c r="E98" s="1" t="s">
        <v>43</v>
      </c>
      <c r="F98" s="2">
        <v>3</v>
      </c>
      <c r="G98" s="5">
        <v>300</v>
      </c>
      <c r="H98" s="24">
        <f t="shared" si="5"/>
        <v>900</v>
      </c>
      <c r="I98" s="7">
        <v>0</v>
      </c>
      <c r="J98" s="5">
        <f t="shared" si="6"/>
        <v>0</v>
      </c>
      <c r="K98" s="5">
        <f t="shared" si="7"/>
        <v>900</v>
      </c>
      <c r="L98" s="5">
        <v>230</v>
      </c>
      <c r="M98" s="5">
        <f t="shared" si="8"/>
        <v>210</v>
      </c>
      <c r="N98" s="7">
        <f t="shared" si="9"/>
        <v>0.23333333333333334</v>
      </c>
      <c r="O98" s="1" t="s">
        <v>30</v>
      </c>
      <c r="P98" s="1" t="s">
        <v>31</v>
      </c>
      <c r="Q98" s="1" t="s">
        <v>48</v>
      </c>
      <c r="R98" s="1" t="s">
        <v>46</v>
      </c>
      <c r="S98" s="1" t="s">
        <v>133</v>
      </c>
      <c r="T98" s="15" t="s">
        <v>27</v>
      </c>
    </row>
    <row r="99" spans="1:20" x14ac:dyDescent="0.3">
      <c r="A99" s="14">
        <v>98</v>
      </c>
      <c r="B99" s="4">
        <v>44294</v>
      </c>
      <c r="C99" s="1" t="s">
        <v>531</v>
      </c>
      <c r="D99" s="1" t="s">
        <v>82</v>
      </c>
      <c r="E99" s="1" t="s">
        <v>43</v>
      </c>
      <c r="F99" s="2">
        <v>3</v>
      </c>
      <c r="G99" s="5">
        <v>300</v>
      </c>
      <c r="H99" s="24">
        <f t="shared" si="5"/>
        <v>900</v>
      </c>
      <c r="I99" s="7">
        <v>0.05</v>
      </c>
      <c r="J99" s="5">
        <f t="shared" si="6"/>
        <v>45</v>
      </c>
      <c r="K99" s="5">
        <f t="shared" si="7"/>
        <v>855</v>
      </c>
      <c r="L99" s="5">
        <v>240</v>
      </c>
      <c r="M99" s="5">
        <f t="shared" si="8"/>
        <v>135</v>
      </c>
      <c r="N99" s="7">
        <f t="shared" si="9"/>
        <v>0.15789473684210525</v>
      </c>
      <c r="O99" s="1" t="s">
        <v>59</v>
      </c>
      <c r="P99" s="1" t="s">
        <v>31</v>
      </c>
      <c r="Q99" s="1" t="s">
        <v>37</v>
      </c>
      <c r="R99" s="1" t="s">
        <v>33</v>
      </c>
      <c r="S99" s="1" t="s">
        <v>64</v>
      </c>
      <c r="T99" s="15" t="s">
        <v>61</v>
      </c>
    </row>
    <row r="100" spans="1:20" x14ac:dyDescent="0.3">
      <c r="A100" s="14">
        <v>99</v>
      </c>
      <c r="B100" s="4">
        <v>44295</v>
      </c>
      <c r="C100" s="1" t="s">
        <v>532</v>
      </c>
      <c r="D100" s="1" t="s">
        <v>82</v>
      </c>
      <c r="E100" s="1" t="s">
        <v>21</v>
      </c>
      <c r="F100" s="2">
        <v>3</v>
      </c>
      <c r="G100" s="5">
        <v>190</v>
      </c>
      <c r="H100" s="24">
        <f t="shared" si="5"/>
        <v>570</v>
      </c>
      <c r="I100" s="7">
        <v>0</v>
      </c>
      <c r="J100" s="5">
        <f t="shared" si="6"/>
        <v>0</v>
      </c>
      <c r="K100" s="5">
        <f t="shared" si="7"/>
        <v>570</v>
      </c>
      <c r="L100" s="5">
        <v>120</v>
      </c>
      <c r="M100" s="5">
        <f t="shared" si="8"/>
        <v>210</v>
      </c>
      <c r="N100" s="7">
        <f t="shared" si="9"/>
        <v>0.36842105263157893</v>
      </c>
      <c r="O100" s="1" t="s">
        <v>54</v>
      </c>
      <c r="P100" s="1" t="s">
        <v>31</v>
      </c>
      <c r="Q100" s="1" t="s">
        <v>48</v>
      </c>
      <c r="R100" s="1" t="s">
        <v>66</v>
      </c>
      <c r="S100" s="1" t="s">
        <v>134</v>
      </c>
      <c r="T100" s="15" t="s">
        <v>61</v>
      </c>
    </row>
    <row r="101" spans="1:20" x14ac:dyDescent="0.3">
      <c r="A101" s="14">
        <v>100</v>
      </c>
      <c r="B101" s="4">
        <v>44296</v>
      </c>
      <c r="C101" s="1" t="s">
        <v>533</v>
      </c>
      <c r="D101" s="1" t="s">
        <v>82</v>
      </c>
      <c r="E101" s="1" t="s">
        <v>29</v>
      </c>
      <c r="F101" s="2">
        <v>2</v>
      </c>
      <c r="G101" s="5">
        <v>2100</v>
      </c>
      <c r="H101" s="24">
        <f t="shared" si="5"/>
        <v>4200</v>
      </c>
      <c r="I101" s="7">
        <v>0</v>
      </c>
      <c r="J101" s="5">
        <f t="shared" si="6"/>
        <v>0</v>
      </c>
      <c r="K101" s="5">
        <f t="shared" si="7"/>
        <v>4200</v>
      </c>
      <c r="L101" s="5">
        <v>1290</v>
      </c>
      <c r="M101" s="5">
        <f t="shared" si="8"/>
        <v>1620</v>
      </c>
      <c r="N101" s="7">
        <f t="shared" si="9"/>
        <v>0.38571428571428573</v>
      </c>
      <c r="O101" s="1" t="s">
        <v>30</v>
      </c>
      <c r="P101" s="1" t="s">
        <v>31</v>
      </c>
      <c r="Q101" s="1" t="s">
        <v>37</v>
      </c>
      <c r="R101" s="1" t="s">
        <v>66</v>
      </c>
      <c r="S101" s="1" t="s">
        <v>135</v>
      </c>
      <c r="T101" s="15" t="s">
        <v>35</v>
      </c>
    </row>
    <row r="102" spans="1:20" x14ac:dyDescent="0.3">
      <c r="A102" s="14">
        <v>101</v>
      </c>
      <c r="B102" s="4">
        <v>44297</v>
      </c>
      <c r="C102" s="1" t="s">
        <v>533</v>
      </c>
      <c r="D102" s="1" t="s">
        <v>20</v>
      </c>
      <c r="E102" s="1" t="s">
        <v>21</v>
      </c>
      <c r="F102" s="2">
        <v>7</v>
      </c>
      <c r="G102" s="5">
        <v>210</v>
      </c>
      <c r="H102" s="24">
        <f t="shared" si="5"/>
        <v>1470</v>
      </c>
      <c r="I102" s="7">
        <v>0.15</v>
      </c>
      <c r="J102" s="5">
        <f t="shared" si="6"/>
        <v>220.5</v>
      </c>
      <c r="K102" s="5">
        <f t="shared" si="7"/>
        <v>1249.5</v>
      </c>
      <c r="L102" s="5">
        <v>140</v>
      </c>
      <c r="M102" s="5">
        <f t="shared" si="8"/>
        <v>269.5</v>
      </c>
      <c r="N102" s="7">
        <f t="shared" si="9"/>
        <v>0.21568627450980393</v>
      </c>
      <c r="O102" s="1" t="s">
        <v>22</v>
      </c>
      <c r="P102" s="1" t="s">
        <v>31</v>
      </c>
      <c r="Q102" s="1" t="s">
        <v>48</v>
      </c>
      <c r="R102" s="1" t="s">
        <v>50</v>
      </c>
      <c r="S102" s="1" t="s">
        <v>136</v>
      </c>
      <c r="T102" s="15" t="s">
        <v>27</v>
      </c>
    </row>
    <row r="103" spans="1:20" x14ac:dyDescent="0.3">
      <c r="A103" s="14">
        <v>102</v>
      </c>
      <c r="B103" s="4">
        <v>44298</v>
      </c>
      <c r="C103" s="1" t="s">
        <v>533</v>
      </c>
      <c r="D103" s="1" t="s">
        <v>28</v>
      </c>
      <c r="E103" s="1" t="s">
        <v>29</v>
      </c>
      <c r="F103" s="2">
        <v>6</v>
      </c>
      <c r="G103" s="5">
        <v>2100</v>
      </c>
      <c r="H103" s="24">
        <f t="shared" si="5"/>
        <v>12600</v>
      </c>
      <c r="I103" s="7">
        <v>0.1</v>
      </c>
      <c r="J103" s="5">
        <f t="shared" si="6"/>
        <v>1260</v>
      </c>
      <c r="K103" s="5">
        <f t="shared" si="7"/>
        <v>11340</v>
      </c>
      <c r="L103" s="5">
        <v>1570</v>
      </c>
      <c r="M103" s="5">
        <f t="shared" si="8"/>
        <v>1920</v>
      </c>
      <c r="N103" s="7">
        <f t="shared" si="9"/>
        <v>0.1693121693121693</v>
      </c>
      <c r="O103" s="1" t="s">
        <v>30</v>
      </c>
      <c r="P103" s="1" t="s">
        <v>31</v>
      </c>
      <c r="Q103" s="1" t="s">
        <v>37</v>
      </c>
      <c r="R103" s="1" t="s">
        <v>50</v>
      </c>
      <c r="S103" s="1" t="s">
        <v>137</v>
      </c>
      <c r="T103" s="15" t="s">
        <v>53</v>
      </c>
    </row>
    <row r="104" spans="1:20" x14ac:dyDescent="0.3">
      <c r="A104" s="14">
        <v>103</v>
      </c>
      <c r="B104" s="4">
        <v>44299</v>
      </c>
      <c r="C104" s="1" t="s">
        <v>533</v>
      </c>
      <c r="D104" s="1" t="s">
        <v>80</v>
      </c>
      <c r="E104" s="1" t="s">
        <v>36</v>
      </c>
      <c r="F104" s="2">
        <v>5</v>
      </c>
      <c r="G104" s="5">
        <v>1200</v>
      </c>
      <c r="H104" s="24">
        <f t="shared" si="5"/>
        <v>6000</v>
      </c>
      <c r="I104" s="7">
        <v>0.15</v>
      </c>
      <c r="J104" s="5">
        <f t="shared" si="6"/>
        <v>900</v>
      </c>
      <c r="K104" s="5">
        <f t="shared" si="7"/>
        <v>5100</v>
      </c>
      <c r="L104" s="5">
        <v>760</v>
      </c>
      <c r="M104" s="5">
        <f t="shared" si="8"/>
        <v>1300</v>
      </c>
      <c r="N104" s="7">
        <f t="shared" si="9"/>
        <v>0.25490196078431371</v>
      </c>
      <c r="O104" s="1" t="s">
        <v>41</v>
      </c>
      <c r="P104" s="1" t="s">
        <v>31</v>
      </c>
      <c r="Q104" s="1" t="s">
        <v>37</v>
      </c>
      <c r="R104" s="1" t="s">
        <v>63</v>
      </c>
      <c r="S104" s="1" t="s">
        <v>138</v>
      </c>
      <c r="T104" s="15" t="s">
        <v>35</v>
      </c>
    </row>
    <row r="105" spans="1:20" x14ac:dyDescent="0.3">
      <c r="A105" s="14">
        <v>104</v>
      </c>
      <c r="B105" s="4">
        <v>44300</v>
      </c>
      <c r="C105" s="1" t="s">
        <v>533</v>
      </c>
      <c r="D105" s="1" t="s">
        <v>82</v>
      </c>
      <c r="E105" s="1" t="s">
        <v>29</v>
      </c>
      <c r="F105" s="2">
        <v>6</v>
      </c>
      <c r="G105" s="5">
        <v>2100</v>
      </c>
      <c r="H105" s="24">
        <f t="shared" si="5"/>
        <v>12600</v>
      </c>
      <c r="I105" s="7">
        <v>0</v>
      </c>
      <c r="J105" s="5">
        <f t="shared" si="6"/>
        <v>0</v>
      </c>
      <c r="K105" s="5">
        <f t="shared" si="7"/>
        <v>12600</v>
      </c>
      <c r="L105" s="5">
        <v>1600</v>
      </c>
      <c r="M105" s="5">
        <f t="shared" si="8"/>
        <v>3000</v>
      </c>
      <c r="N105" s="7">
        <f t="shared" si="9"/>
        <v>0.23809523809523808</v>
      </c>
      <c r="O105" s="1" t="s">
        <v>54</v>
      </c>
      <c r="P105" s="1" t="s">
        <v>31</v>
      </c>
      <c r="Q105" s="1" t="s">
        <v>37</v>
      </c>
      <c r="R105" s="1" t="s">
        <v>25</v>
      </c>
      <c r="S105" s="1" t="s">
        <v>139</v>
      </c>
      <c r="T105" s="15" t="s">
        <v>27</v>
      </c>
    </row>
    <row r="106" spans="1:20" x14ac:dyDescent="0.3">
      <c r="A106" s="14">
        <v>105</v>
      </c>
      <c r="B106" s="4">
        <v>44301</v>
      </c>
      <c r="C106" s="1" t="s">
        <v>533</v>
      </c>
      <c r="D106" s="1" t="s">
        <v>20</v>
      </c>
      <c r="E106" s="1" t="s">
        <v>36</v>
      </c>
      <c r="F106" s="2">
        <v>5</v>
      </c>
      <c r="G106" s="5">
        <v>1200</v>
      </c>
      <c r="H106" s="24">
        <f t="shared" si="5"/>
        <v>6000</v>
      </c>
      <c r="I106" s="7">
        <v>0.05</v>
      </c>
      <c r="J106" s="5">
        <f t="shared" si="6"/>
        <v>300</v>
      </c>
      <c r="K106" s="5">
        <f t="shared" si="7"/>
        <v>5700</v>
      </c>
      <c r="L106" s="5">
        <v>790</v>
      </c>
      <c r="M106" s="5">
        <f t="shared" si="8"/>
        <v>1750</v>
      </c>
      <c r="N106" s="7">
        <f t="shared" si="9"/>
        <v>0.30701754385964913</v>
      </c>
      <c r="O106" s="1" t="s">
        <v>22</v>
      </c>
      <c r="P106" s="1" t="s">
        <v>31</v>
      </c>
      <c r="Q106" s="1" t="s">
        <v>24</v>
      </c>
      <c r="R106" s="1" t="s">
        <v>88</v>
      </c>
      <c r="S106" s="1" t="s">
        <v>140</v>
      </c>
      <c r="T106" s="15" t="s">
        <v>61</v>
      </c>
    </row>
    <row r="107" spans="1:20" x14ac:dyDescent="0.3">
      <c r="A107" s="14">
        <v>106</v>
      </c>
      <c r="B107" s="4">
        <v>44302</v>
      </c>
      <c r="C107" s="1" t="s">
        <v>533</v>
      </c>
      <c r="D107" s="1" t="s">
        <v>28</v>
      </c>
      <c r="E107" s="1" t="s">
        <v>45</v>
      </c>
      <c r="F107" s="2">
        <v>2</v>
      </c>
      <c r="G107" s="5">
        <v>190</v>
      </c>
      <c r="H107" s="24">
        <f t="shared" si="5"/>
        <v>380</v>
      </c>
      <c r="I107" s="7">
        <v>0.05</v>
      </c>
      <c r="J107" s="5">
        <f t="shared" si="6"/>
        <v>19</v>
      </c>
      <c r="K107" s="5">
        <f t="shared" si="7"/>
        <v>361</v>
      </c>
      <c r="L107" s="5">
        <v>130</v>
      </c>
      <c r="M107" s="5">
        <f t="shared" si="8"/>
        <v>101</v>
      </c>
      <c r="N107" s="7">
        <f t="shared" si="9"/>
        <v>0.27977839335180055</v>
      </c>
      <c r="O107" s="1" t="s">
        <v>22</v>
      </c>
      <c r="P107" s="1" t="s">
        <v>31</v>
      </c>
      <c r="Q107" s="1" t="s">
        <v>24</v>
      </c>
      <c r="R107" s="1" t="s">
        <v>56</v>
      </c>
      <c r="S107" s="1" t="s">
        <v>141</v>
      </c>
      <c r="T107" s="15" t="s">
        <v>61</v>
      </c>
    </row>
    <row r="108" spans="1:20" x14ac:dyDescent="0.3">
      <c r="A108" s="14">
        <v>107</v>
      </c>
      <c r="B108" s="4">
        <v>44303</v>
      </c>
      <c r="C108" s="1" t="s">
        <v>533</v>
      </c>
      <c r="D108" s="1" t="s">
        <v>80</v>
      </c>
      <c r="E108" s="1" t="s">
        <v>29</v>
      </c>
      <c r="F108" s="2">
        <v>6</v>
      </c>
      <c r="G108" s="5">
        <v>2100</v>
      </c>
      <c r="H108" s="24">
        <f t="shared" si="5"/>
        <v>12600</v>
      </c>
      <c r="I108" s="7">
        <v>0.1</v>
      </c>
      <c r="J108" s="5">
        <f t="shared" si="6"/>
        <v>1260</v>
      </c>
      <c r="K108" s="5">
        <f t="shared" si="7"/>
        <v>11340</v>
      </c>
      <c r="L108" s="5">
        <v>1220</v>
      </c>
      <c r="M108" s="5">
        <f t="shared" si="8"/>
        <v>4020</v>
      </c>
      <c r="N108" s="7">
        <f t="shared" si="9"/>
        <v>0.35449735449735448</v>
      </c>
      <c r="O108" s="1" t="s">
        <v>54</v>
      </c>
      <c r="P108" s="1" t="s">
        <v>31</v>
      </c>
      <c r="Q108" s="1" t="s">
        <v>48</v>
      </c>
      <c r="R108" s="1" t="s">
        <v>50</v>
      </c>
      <c r="S108" s="1" t="s">
        <v>142</v>
      </c>
      <c r="T108" s="15" t="s">
        <v>35</v>
      </c>
    </row>
    <row r="109" spans="1:20" x14ac:dyDescent="0.3">
      <c r="A109" s="14">
        <v>108</v>
      </c>
      <c r="B109" s="4">
        <v>44304</v>
      </c>
      <c r="C109" s="1" t="s">
        <v>533</v>
      </c>
      <c r="D109" s="1" t="s">
        <v>82</v>
      </c>
      <c r="E109" s="1" t="s">
        <v>36</v>
      </c>
      <c r="F109" s="2">
        <v>5</v>
      </c>
      <c r="G109" s="5">
        <v>1200</v>
      </c>
      <c r="H109" s="24">
        <f t="shared" si="5"/>
        <v>6000</v>
      </c>
      <c r="I109" s="7">
        <v>0.02</v>
      </c>
      <c r="J109" s="5">
        <f t="shared" si="6"/>
        <v>120</v>
      </c>
      <c r="K109" s="5">
        <f t="shared" si="7"/>
        <v>5880</v>
      </c>
      <c r="L109" s="5">
        <v>800</v>
      </c>
      <c r="M109" s="5">
        <f t="shared" si="8"/>
        <v>1880</v>
      </c>
      <c r="N109" s="7">
        <f t="shared" si="9"/>
        <v>0.31972789115646261</v>
      </c>
      <c r="O109" s="1" t="s">
        <v>30</v>
      </c>
      <c r="P109" s="1" t="s">
        <v>23</v>
      </c>
      <c r="Q109" s="1" t="s">
        <v>32</v>
      </c>
      <c r="R109" s="1" t="s">
        <v>25</v>
      </c>
      <c r="S109" s="1" t="s">
        <v>143</v>
      </c>
      <c r="T109" s="15" t="s">
        <v>61</v>
      </c>
    </row>
    <row r="110" spans="1:20" x14ac:dyDescent="0.3">
      <c r="A110" s="14">
        <v>109</v>
      </c>
      <c r="B110" s="4">
        <v>44305</v>
      </c>
      <c r="C110" s="1" t="s">
        <v>530</v>
      </c>
      <c r="D110" s="1" t="s">
        <v>20</v>
      </c>
      <c r="E110" s="1" t="s">
        <v>29</v>
      </c>
      <c r="F110" s="2">
        <v>6</v>
      </c>
      <c r="G110" s="5">
        <v>2100</v>
      </c>
      <c r="H110" s="24">
        <f t="shared" si="5"/>
        <v>12600</v>
      </c>
      <c r="I110" s="7">
        <v>0.05</v>
      </c>
      <c r="J110" s="5">
        <f t="shared" si="6"/>
        <v>630</v>
      </c>
      <c r="K110" s="5">
        <f t="shared" si="7"/>
        <v>11970</v>
      </c>
      <c r="L110" s="5">
        <v>1340</v>
      </c>
      <c r="M110" s="5">
        <f t="shared" si="8"/>
        <v>3930</v>
      </c>
      <c r="N110" s="7">
        <f t="shared" si="9"/>
        <v>0.32832080200501251</v>
      </c>
      <c r="O110" s="1" t="s">
        <v>22</v>
      </c>
      <c r="P110" s="1" t="s">
        <v>31</v>
      </c>
      <c r="Q110" s="1" t="s">
        <v>48</v>
      </c>
      <c r="R110" s="1" t="s">
        <v>56</v>
      </c>
      <c r="S110" s="1" t="s">
        <v>144</v>
      </c>
      <c r="T110" s="15" t="s">
        <v>35</v>
      </c>
    </row>
    <row r="111" spans="1:20" x14ac:dyDescent="0.3">
      <c r="A111" s="14">
        <v>110</v>
      </c>
      <c r="B111" s="4">
        <v>44306</v>
      </c>
      <c r="C111" s="1" t="s">
        <v>529</v>
      </c>
      <c r="D111" s="1" t="s">
        <v>28</v>
      </c>
      <c r="E111" s="1" t="s">
        <v>36</v>
      </c>
      <c r="F111" s="2">
        <v>5</v>
      </c>
      <c r="G111" s="5">
        <v>1200</v>
      </c>
      <c r="H111" s="24">
        <f t="shared" si="5"/>
        <v>6000</v>
      </c>
      <c r="I111" s="7">
        <v>0</v>
      </c>
      <c r="J111" s="5">
        <f t="shared" si="6"/>
        <v>0</v>
      </c>
      <c r="K111" s="5">
        <f t="shared" si="7"/>
        <v>6000</v>
      </c>
      <c r="L111" s="5">
        <v>880</v>
      </c>
      <c r="M111" s="5">
        <f t="shared" si="8"/>
        <v>1600</v>
      </c>
      <c r="N111" s="7">
        <f t="shared" si="9"/>
        <v>0.26666666666666666</v>
      </c>
      <c r="O111" s="1" t="s">
        <v>59</v>
      </c>
      <c r="P111" s="1" t="s">
        <v>62</v>
      </c>
      <c r="Q111" s="1" t="s">
        <v>37</v>
      </c>
      <c r="R111" s="1" t="s">
        <v>49</v>
      </c>
      <c r="S111" s="1" t="s">
        <v>145</v>
      </c>
      <c r="T111" s="15" t="s">
        <v>61</v>
      </c>
    </row>
    <row r="112" spans="1:20" x14ac:dyDescent="0.3">
      <c r="A112" s="14">
        <v>111</v>
      </c>
      <c r="B112" s="4">
        <v>44307</v>
      </c>
      <c r="C112" s="1" t="s">
        <v>534</v>
      </c>
      <c r="D112" s="1" t="s">
        <v>20</v>
      </c>
      <c r="E112" s="1" t="s">
        <v>29</v>
      </c>
      <c r="F112" s="2">
        <v>6</v>
      </c>
      <c r="G112" s="5">
        <v>2100</v>
      </c>
      <c r="H112" s="24">
        <f t="shared" si="5"/>
        <v>12600</v>
      </c>
      <c r="I112" s="7">
        <v>0.05</v>
      </c>
      <c r="J112" s="5">
        <f t="shared" si="6"/>
        <v>630</v>
      </c>
      <c r="K112" s="5">
        <f t="shared" si="7"/>
        <v>11970</v>
      </c>
      <c r="L112" s="5">
        <v>1280</v>
      </c>
      <c r="M112" s="5">
        <f t="shared" si="8"/>
        <v>4290</v>
      </c>
      <c r="N112" s="7">
        <f t="shared" si="9"/>
        <v>0.35839598997493732</v>
      </c>
      <c r="O112" s="1" t="s">
        <v>30</v>
      </c>
      <c r="P112" s="1" t="s">
        <v>31</v>
      </c>
      <c r="Q112" s="1" t="s">
        <v>24</v>
      </c>
      <c r="R112" s="1" t="s">
        <v>56</v>
      </c>
      <c r="S112" s="1" t="s">
        <v>146</v>
      </c>
      <c r="T112" s="15" t="s">
        <v>61</v>
      </c>
    </row>
    <row r="113" spans="1:20" x14ac:dyDescent="0.3">
      <c r="A113" s="14">
        <v>112</v>
      </c>
      <c r="B113" s="4">
        <v>44308</v>
      </c>
      <c r="C113" s="1" t="s">
        <v>531</v>
      </c>
      <c r="D113" s="1" t="s">
        <v>28</v>
      </c>
      <c r="E113" s="1" t="s">
        <v>36</v>
      </c>
      <c r="F113" s="2">
        <v>5</v>
      </c>
      <c r="G113" s="5">
        <v>1200</v>
      </c>
      <c r="H113" s="24">
        <f t="shared" si="5"/>
        <v>6000</v>
      </c>
      <c r="I113" s="7">
        <v>0</v>
      </c>
      <c r="J113" s="5">
        <f t="shared" si="6"/>
        <v>0</v>
      </c>
      <c r="K113" s="5">
        <f t="shared" si="7"/>
        <v>6000</v>
      </c>
      <c r="L113" s="5">
        <v>740</v>
      </c>
      <c r="M113" s="5">
        <f t="shared" si="8"/>
        <v>2300</v>
      </c>
      <c r="N113" s="7">
        <f t="shared" si="9"/>
        <v>0.38333333333333336</v>
      </c>
      <c r="O113" s="1" t="s">
        <v>22</v>
      </c>
      <c r="P113" s="1" t="s">
        <v>31</v>
      </c>
      <c r="Q113" s="1" t="s">
        <v>32</v>
      </c>
      <c r="R113" s="1" t="s">
        <v>50</v>
      </c>
      <c r="S113" s="1" t="s">
        <v>147</v>
      </c>
      <c r="T113" s="15" t="s">
        <v>35</v>
      </c>
    </row>
    <row r="114" spans="1:20" x14ac:dyDescent="0.3">
      <c r="A114" s="14">
        <v>113</v>
      </c>
      <c r="B114" s="4">
        <v>44309</v>
      </c>
      <c r="C114" s="1" t="s">
        <v>532</v>
      </c>
      <c r="D114" s="1" t="s">
        <v>20</v>
      </c>
      <c r="E114" s="1" t="s">
        <v>21</v>
      </c>
      <c r="F114" s="2">
        <v>2</v>
      </c>
      <c r="G114" s="5">
        <v>210</v>
      </c>
      <c r="H114" s="24">
        <f t="shared" si="5"/>
        <v>420</v>
      </c>
      <c r="I114" s="7">
        <v>0.1</v>
      </c>
      <c r="J114" s="5">
        <f t="shared" si="6"/>
        <v>42</v>
      </c>
      <c r="K114" s="5">
        <f t="shared" si="7"/>
        <v>378</v>
      </c>
      <c r="L114" s="5">
        <v>150</v>
      </c>
      <c r="M114" s="5">
        <f t="shared" si="8"/>
        <v>78</v>
      </c>
      <c r="N114" s="7">
        <f t="shared" si="9"/>
        <v>0.20634920634920634</v>
      </c>
      <c r="O114" s="1" t="s">
        <v>41</v>
      </c>
      <c r="P114" s="1" t="s">
        <v>31</v>
      </c>
      <c r="Q114" s="1" t="s">
        <v>48</v>
      </c>
      <c r="R114" s="1" t="s">
        <v>66</v>
      </c>
      <c r="S114" s="1" t="s">
        <v>148</v>
      </c>
      <c r="T114" s="15" t="s">
        <v>27</v>
      </c>
    </row>
    <row r="115" spans="1:20" x14ac:dyDescent="0.3">
      <c r="A115" s="14">
        <v>114</v>
      </c>
      <c r="B115" s="4">
        <v>44310</v>
      </c>
      <c r="C115" s="1" t="s">
        <v>533</v>
      </c>
      <c r="D115" s="1" t="s">
        <v>20</v>
      </c>
      <c r="E115" s="1" t="s">
        <v>29</v>
      </c>
      <c r="F115" s="2">
        <v>7</v>
      </c>
      <c r="G115" s="5">
        <v>2100</v>
      </c>
      <c r="H115" s="24">
        <f t="shared" si="5"/>
        <v>14700</v>
      </c>
      <c r="I115" s="7">
        <v>0</v>
      </c>
      <c r="J115" s="5">
        <f t="shared" si="6"/>
        <v>0</v>
      </c>
      <c r="K115" s="5">
        <f t="shared" si="7"/>
        <v>14700</v>
      </c>
      <c r="L115" s="5">
        <v>1500</v>
      </c>
      <c r="M115" s="5">
        <f t="shared" si="8"/>
        <v>4200</v>
      </c>
      <c r="N115" s="7">
        <f t="shared" si="9"/>
        <v>0.2857142857142857</v>
      </c>
      <c r="O115" s="1" t="s">
        <v>54</v>
      </c>
      <c r="P115" s="1" t="s">
        <v>31</v>
      </c>
      <c r="Q115" s="1" t="s">
        <v>24</v>
      </c>
      <c r="R115" s="1" t="s">
        <v>88</v>
      </c>
      <c r="S115" s="1" t="s">
        <v>149</v>
      </c>
      <c r="T115" s="15" t="s">
        <v>61</v>
      </c>
    </row>
    <row r="116" spans="1:20" x14ac:dyDescent="0.3">
      <c r="A116" s="14">
        <v>115</v>
      </c>
      <c r="B116" s="4">
        <v>44311</v>
      </c>
      <c r="C116" s="1" t="s">
        <v>530</v>
      </c>
      <c r="D116" s="1" t="s">
        <v>20</v>
      </c>
      <c r="E116" s="1" t="s">
        <v>36</v>
      </c>
      <c r="F116" s="2">
        <v>6</v>
      </c>
      <c r="G116" s="5">
        <v>1200</v>
      </c>
      <c r="H116" s="24">
        <f t="shared" si="5"/>
        <v>7200</v>
      </c>
      <c r="I116" s="7">
        <v>0.05</v>
      </c>
      <c r="J116" s="5">
        <f t="shared" si="6"/>
        <v>360</v>
      </c>
      <c r="K116" s="5">
        <f t="shared" si="7"/>
        <v>6840</v>
      </c>
      <c r="L116" s="5">
        <v>850</v>
      </c>
      <c r="M116" s="5">
        <f t="shared" si="8"/>
        <v>1740</v>
      </c>
      <c r="N116" s="7">
        <f t="shared" si="9"/>
        <v>0.25438596491228072</v>
      </c>
      <c r="O116" s="1" t="s">
        <v>30</v>
      </c>
      <c r="P116" s="1" t="s">
        <v>31</v>
      </c>
      <c r="Q116" s="1" t="s">
        <v>32</v>
      </c>
      <c r="R116" s="1" t="s">
        <v>25</v>
      </c>
      <c r="S116" s="1" t="s">
        <v>150</v>
      </c>
      <c r="T116" s="15" t="s">
        <v>53</v>
      </c>
    </row>
    <row r="117" spans="1:20" x14ac:dyDescent="0.3">
      <c r="A117" s="14">
        <v>116</v>
      </c>
      <c r="B117" s="4">
        <v>44312</v>
      </c>
      <c r="C117" s="1" t="s">
        <v>529</v>
      </c>
      <c r="D117" s="1" t="s">
        <v>28</v>
      </c>
      <c r="E117" s="1" t="s">
        <v>40</v>
      </c>
      <c r="F117" s="2">
        <v>5</v>
      </c>
      <c r="G117" s="5">
        <v>1500</v>
      </c>
      <c r="H117" s="24">
        <f t="shared" si="5"/>
        <v>7500</v>
      </c>
      <c r="I117" s="7">
        <v>0.15</v>
      </c>
      <c r="J117" s="5">
        <f t="shared" si="6"/>
        <v>1125</v>
      </c>
      <c r="K117" s="5">
        <f t="shared" si="7"/>
        <v>6375</v>
      </c>
      <c r="L117" s="5">
        <v>950</v>
      </c>
      <c r="M117" s="5">
        <f t="shared" si="8"/>
        <v>1625</v>
      </c>
      <c r="N117" s="7">
        <f t="shared" si="9"/>
        <v>0.25490196078431371</v>
      </c>
      <c r="O117" s="1" t="s">
        <v>54</v>
      </c>
      <c r="P117" s="1" t="s">
        <v>31</v>
      </c>
      <c r="Q117" s="1" t="s">
        <v>24</v>
      </c>
      <c r="R117" s="1" t="s">
        <v>88</v>
      </c>
      <c r="S117" s="1" t="s">
        <v>151</v>
      </c>
      <c r="T117" s="15" t="s">
        <v>53</v>
      </c>
    </row>
    <row r="118" spans="1:20" x14ac:dyDescent="0.3">
      <c r="A118" s="14">
        <v>117</v>
      </c>
      <c r="B118" s="4">
        <v>44313</v>
      </c>
      <c r="C118" s="1" t="s">
        <v>534</v>
      </c>
      <c r="D118" s="1" t="s">
        <v>28</v>
      </c>
      <c r="E118" s="1" t="s">
        <v>43</v>
      </c>
      <c r="F118" s="2">
        <v>4</v>
      </c>
      <c r="G118" s="5">
        <v>300</v>
      </c>
      <c r="H118" s="24">
        <f t="shared" si="5"/>
        <v>1200</v>
      </c>
      <c r="I118" s="7">
        <v>0.15</v>
      </c>
      <c r="J118" s="5">
        <f t="shared" si="6"/>
        <v>180</v>
      </c>
      <c r="K118" s="5">
        <f t="shared" si="7"/>
        <v>1020</v>
      </c>
      <c r="L118" s="5">
        <v>230</v>
      </c>
      <c r="M118" s="5">
        <f t="shared" si="8"/>
        <v>100</v>
      </c>
      <c r="N118" s="7">
        <f t="shared" si="9"/>
        <v>9.8039215686274508E-2</v>
      </c>
      <c r="O118" s="1" t="s">
        <v>59</v>
      </c>
      <c r="P118" s="1" t="s">
        <v>31</v>
      </c>
      <c r="Q118" s="1" t="s">
        <v>32</v>
      </c>
      <c r="R118" s="1" t="s">
        <v>46</v>
      </c>
      <c r="S118" s="1" t="s">
        <v>152</v>
      </c>
      <c r="T118" s="15" t="s">
        <v>27</v>
      </c>
    </row>
    <row r="119" spans="1:20" x14ac:dyDescent="0.3">
      <c r="A119" s="14">
        <v>118</v>
      </c>
      <c r="B119" s="4">
        <v>44314</v>
      </c>
      <c r="C119" s="1" t="s">
        <v>531</v>
      </c>
      <c r="D119" s="1" t="s">
        <v>20</v>
      </c>
      <c r="E119" s="1" t="s">
        <v>45</v>
      </c>
      <c r="F119" s="2">
        <v>3</v>
      </c>
      <c r="G119" s="5">
        <v>190</v>
      </c>
      <c r="H119" s="24">
        <f t="shared" si="5"/>
        <v>570</v>
      </c>
      <c r="I119" s="7">
        <v>0.02</v>
      </c>
      <c r="J119" s="5">
        <f t="shared" si="6"/>
        <v>11.4</v>
      </c>
      <c r="K119" s="5">
        <f t="shared" si="7"/>
        <v>558.6</v>
      </c>
      <c r="L119" s="5">
        <v>150</v>
      </c>
      <c r="M119" s="5">
        <f t="shared" si="8"/>
        <v>108.60000000000002</v>
      </c>
      <c r="N119" s="7">
        <f t="shared" si="9"/>
        <v>0.19441460794844256</v>
      </c>
      <c r="O119" s="1" t="s">
        <v>41</v>
      </c>
      <c r="P119" s="1" t="s">
        <v>31</v>
      </c>
      <c r="Q119" s="1" t="s">
        <v>32</v>
      </c>
      <c r="R119" s="1" t="s">
        <v>88</v>
      </c>
      <c r="S119" s="1" t="s">
        <v>153</v>
      </c>
      <c r="T119" s="15" t="s">
        <v>35</v>
      </c>
    </row>
    <row r="120" spans="1:20" x14ac:dyDescent="0.3">
      <c r="A120" s="14">
        <v>119</v>
      </c>
      <c r="B120" s="4">
        <v>44315</v>
      </c>
      <c r="C120" s="1" t="s">
        <v>532</v>
      </c>
      <c r="D120" s="1" t="s">
        <v>20</v>
      </c>
      <c r="E120" s="1" t="s">
        <v>21</v>
      </c>
      <c r="F120" s="2">
        <v>2</v>
      </c>
      <c r="G120" s="5">
        <v>210</v>
      </c>
      <c r="H120" s="24">
        <f t="shared" si="5"/>
        <v>420</v>
      </c>
      <c r="I120" s="7">
        <v>0.05</v>
      </c>
      <c r="J120" s="5">
        <f t="shared" si="6"/>
        <v>21</v>
      </c>
      <c r="K120" s="5">
        <f t="shared" si="7"/>
        <v>399</v>
      </c>
      <c r="L120" s="5">
        <v>130</v>
      </c>
      <c r="M120" s="5">
        <f t="shared" si="8"/>
        <v>139</v>
      </c>
      <c r="N120" s="7">
        <f t="shared" si="9"/>
        <v>0.34837092731829572</v>
      </c>
      <c r="O120" s="1" t="s">
        <v>59</v>
      </c>
      <c r="P120" s="1" t="s">
        <v>31</v>
      </c>
      <c r="Q120" s="1" t="s">
        <v>48</v>
      </c>
      <c r="R120" s="1" t="s">
        <v>25</v>
      </c>
      <c r="S120" s="1" t="s">
        <v>154</v>
      </c>
      <c r="T120" s="15" t="s">
        <v>27</v>
      </c>
    </row>
    <row r="121" spans="1:20" x14ac:dyDescent="0.3">
      <c r="A121" s="14">
        <v>120</v>
      </c>
      <c r="B121" s="4">
        <v>44316</v>
      </c>
      <c r="C121" s="1" t="s">
        <v>533</v>
      </c>
      <c r="D121" s="1" t="s">
        <v>28</v>
      </c>
      <c r="E121" s="1" t="s">
        <v>36</v>
      </c>
      <c r="F121" s="2">
        <v>7</v>
      </c>
      <c r="G121" s="5">
        <v>2100</v>
      </c>
      <c r="H121" s="24">
        <f t="shared" si="5"/>
        <v>14700</v>
      </c>
      <c r="I121" s="7">
        <v>0.05</v>
      </c>
      <c r="J121" s="5">
        <f t="shared" si="6"/>
        <v>735</v>
      </c>
      <c r="K121" s="5">
        <f t="shared" si="7"/>
        <v>13965</v>
      </c>
      <c r="L121" s="5">
        <v>1700</v>
      </c>
      <c r="M121" s="5">
        <f t="shared" si="8"/>
        <v>2065</v>
      </c>
      <c r="N121" s="7">
        <f t="shared" si="9"/>
        <v>0.14786967418546365</v>
      </c>
      <c r="O121" s="1" t="s">
        <v>54</v>
      </c>
      <c r="P121" s="1" t="s">
        <v>31</v>
      </c>
      <c r="Q121" s="1" t="s">
        <v>24</v>
      </c>
      <c r="R121" s="1" t="s">
        <v>56</v>
      </c>
      <c r="S121" s="1" t="s">
        <v>155</v>
      </c>
      <c r="T121" s="15" t="s">
        <v>61</v>
      </c>
    </row>
    <row r="122" spans="1:20" x14ac:dyDescent="0.3">
      <c r="A122" s="14">
        <v>121</v>
      </c>
      <c r="B122" s="4">
        <v>44317</v>
      </c>
      <c r="C122" s="1" t="s">
        <v>533</v>
      </c>
      <c r="D122" s="1" t="s">
        <v>20</v>
      </c>
      <c r="E122" s="1" t="s">
        <v>40</v>
      </c>
      <c r="F122" s="2">
        <v>6</v>
      </c>
      <c r="G122" s="5">
        <v>1200</v>
      </c>
      <c r="H122" s="24">
        <f t="shared" si="5"/>
        <v>7200</v>
      </c>
      <c r="I122" s="7">
        <v>0.1</v>
      </c>
      <c r="J122" s="5">
        <f t="shared" si="6"/>
        <v>720</v>
      </c>
      <c r="K122" s="5">
        <f t="shared" si="7"/>
        <v>6480</v>
      </c>
      <c r="L122" s="5">
        <v>740</v>
      </c>
      <c r="M122" s="5">
        <f t="shared" si="8"/>
        <v>2040</v>
      </c>
      <c r="N122" s="7">
        <f t="shared" si="9"/>
        <v>0.31481481481481483</v>
      </c>
      <c r="O122" s="1" t="s">
        <v>30</v>
      </c>
      <c r="P122" s="1" t="s">
        <v>31</v>
      </c>
      <c r="Q122" s="1" t="s">
        <v>48</v>
      </c>
      <c r="R122" s="1" t="s">
        <v>25</v>
      </c>
      <c r="S122" s="1" t="s">
        <v>91</v>
      </c>
      <c r="T122" s="15" t="s">
        <v>61</v>
      </c>
    </row>
    <row r="123" spans="1:20" x14ac:dyDescent="0.3">
      <c r="A123" s="14">
        <v>122</v>
      </c>
      <c r="B123" s="4">
        <v>44318</v>
      </c>
      <c r="C123" s="1" t="s">
        <v>530</v>
      </c>
      <c r="D123" s="1" t="s">
        <v>20</v>
      </c>
      <c r="E123" s="1" t="s">
        <v>43</v>
      </c>
      <c r="F123" s="2">
        <v>5</v>
      </c>
      <c r="G123" s="5">
        <v>300</v>
      </c>
      <c r="H123" s="24">
        <f t="shared" si="5"/>
        <v>1500</v>
      </c>
      <c r="I123" s="7">
        <v>0.05</v>
      </c>
      <c r="J123" s="5">
        <f t="shared" si="6"/>
        <v>75</v>
      </c>
      <c r="K123" s="5">
        <f t="shared" si="7"/>
        <v>1425</v>
      </c>
      <c r="L123" s="5">
        <v>210</v>
      </c>
      <c r="M123" s="5">
        <f t="shared" si="8"/>
        <v>375</v>
      </c>
      <c r="N123" s="7">
        <f t="shared" si="9"/>
        <v>0.26315789473684209</v>
      </c>
      <c r="O123" s="1" t="s">
        <v>41</v>
      </c>
      <c r="P123" s="1" t="s">
        <v>31</v>
      </c>
      <c r="Q123" s="1" t="s">
        <v>32</v>
      </c>
      <c r="R123" s="1" t="s">
        <v>46</v>
      </c>
      <c r="S123" s="1" t="s">
        <v>140</v>
      </c>
      <c r="T123" s="15" t="s">
        <v>61</v>
      </c>
    </row>
    <row r="124" spans="1:20" x14ac:dyDescent="0.3">
      <c r="A124" s="14">
        <v>123</v>
      </c>
      <c r="B124" s="4">
        <v>44319</v>
      </c>
      <c r="C124" s="1" t="s">
        <v>529</v>
      </c>
      <c r="D124" s="1" t="s">
        <v>20</v>
      </c>
      <c r="E124" s="1" t="s">
        <v>45</v>
      </c>
      <c r="F124" s="2">
        <v>4</v>
      </c>
      <c r="G124" s="5">
        <v>200</v>
      </c>
      <c r="H124" s="24">
        <f t="shared" si="5"/>
        <v>800</v>
      </c>
      <c r="I124" s="7">
        <v>0.05</v>
      </c>
      <c r="J124" s="5">
        <f t="shared" si="6"/>
        <v>40</v>
      </c>
      <c r="K124" s="5">
        <f t="shared" si="7"/>
        <v>760</v>
      </c>
      <c r="L124" s="5">
        <v>120</v>
      </c>
      <c r="M124" s="5">
        <f t="shared" si="8"/>
        <v>280</v>
      </c>
      <c r="N124" s="7">
        <f t="shared" si="9"/>
        <v>0.36842105263157893</v>
      </c>
      <c r="O124" s="1" t="s">
        <v>41</v>
      </c>
      <c r="P124" s="1" t="s">
        <v>31</v>
      </c>
      <c r="Q124" s="1" t="s">
        <v>48</v>
      </c>
      <c r="R124" s="1" t="s">
        <v>63</v>
      </c>
      <c r="S124" s="1" t="s">
        <v>138</v>
      </c>
      <c r="T124" s="15" t="s">
        <v>27</v>
      </c>
    </row>
    <row r="125" spans="1:20" x14ac:dyDescent="0.3">
      <c r="A125" s="14">
        <v>124</v>
      </c>
      <c r="B125" s="4">
        <v>44320</v>
      </c>
      <c r="C125" s="1" t="s">
        <v>534</v>
      </c>
      <c r="D125" s="1" t="s">
        <v>20</v>
      </c>
      <c r="E125" s="1" t="s">
        <v>21</v>
      </c>
      <c r="F125" s="2">
        <v>3</v>
      </c>
      <c r="G125" s="5">
        <v>190</v>
      </c>
      <c r="H125" s="24">
        <f t="shared" si="5"/>
        <v>570</v>
      </c>
      <c r="I125" s="7">
        <v>0.05</v>
      </c>
      <c r="J125" s="5">
        <f t="shared" si="6"/>
        <v>28.5</v>
      </c>
      <c r="K125" s="5">
        <f t="shared" si="7"/>
        <v>541.5</v>
      </c>
      <c r="L125" s="5">
        <v>120</v>
      </c>
      <c r="M125" s="5">
        <f t="shared" si="8"/>
        <v>181.5</v>
      </c>
      <c r="N125" s="7">
        <f t="shared" si="9"/>
        <v>0.33518005540166207</v>
      </c>
      <c r="O125" s="1" t="s">
        <v>30</v>
      </c>
      <c r="P125" s="1" t="s">
        <v>62</v>
      </c>
      <c r="Q125" s="1" t="s">
        <v>32</v>
      </c>
      <c r="R125" s="1" t="s">
        <v>25</v>
      </c>
      <c r="S125" s="1" t="s">
        <v>156</v>
      </c>
      <c r="T125" s="15" t="s">
        <v>27</v>
      </c>
    </row>
    <row r="126" spans="1:20" x14ac:dyDescent="0.3">
      <c r="A126" s="14">
        <v>125</v>
      </c>
      <c r="B126" s="4">
        <v>44321</v>
      </c>
      <c r="C126" s="1" t="s">
        <v>531</v>
      </c>
      <c r="D126" s="1" t="s">
        <v>20</v>
      </c>
      <c r="E126" s="1" t="s">
        <v>29</v>
      </c>
      <c r="F126" s="2">
        <v>2</v>
      </c>
      <c r="G126" s="5">
        <v>2100</v>
      </c>
      <c r="H126" s="24">
        <f t="shared" si="5"/>
        <v>4200</v>
      </c>
      <c r="I126" s="7">
        <v>0.05</v>
      </c>
      <c r="J126" s="5">
        <f t="shared" si="6"/>
        <v>210</v>
      </c>
      <c r="K126" s="5">
        <f t="shared" si="7"/>
        <v>3990</v>
      </c>
      <c r="L126" s="5">
        <v>1320</v>
      </c>
      <c r="M126" s="5">
        <f t="shared" si="8"/>
        <v>1350</v>
      </c>
      <c r="N126" s="7">
        <f t="shared" si="9"/>
        <v>0.33834586466165412</v>
      </c>
      <c r="O126" s="1" t="s">
        <v>41</v>
      </c>
      <c r="P126" s="1" t="s">
        <v>31</v>
      </c>
      <c r="Q126" s="1" t="s">
        <v>48</v>
      </c>
      <c r="R126" s="1" t="s">
        <v>56</v>
      </c>
      <c r="S126" s="1" t="s">
        <v>157</v>
      </c>
      <c r="T126" s="15" t="s">
        <v>35</v>
      </c>
    </row>
    <row r="127" spans="1:20" x14ac:dyDescent="0.3">
      <c r="A127" s="14">
        <v>126</v>
      </c>
      <c r="B127" s="4">
        <v>44322</v>
      </c>
      <c r="C127" s="1" t="s">
        <v>532</v>
      </c>
      <c r="D127" s="1" t="s">
        <v>20</v>
      </c>
      <c r="E127" s="1" t="s">
        <v>21</v>
      </c>
      <c r="F127" s="2">
        <v>7</v>
      </c>
      <c r="G127" s="5">
        <v>210</v>
      </c>
      <c r="H127" s="24">
        <f t="shared" si="5"/>
        <v>1470</v>
      </c>
      <c r="I127" s="7">
        <v>0</v>
      </c>
      <c r="J127" s="5">
        <f t="shared" si="6"/>
        <v>0</v>
      </c>
      <c r="K127" s="5">
        <f t="shared" si="7"/>
        <v>1470</v>
      </c>
      <c r="L127" s="5">
        <v>170</v>
      </c>
      <c r="M127" s="5">
        <f t="shared" si="8"/>
        <v>280</v>
      </c>
      <c r="N127" s="7">
        <f t="shared" si="9"/>
        <v>0.19047619047619047</v>
      </c>
      <c r="O127" s="1" t="s">
        <v>59</v>
      </c>
      <c r="P127" s="1" t="s">
        <v>31</v>
      </c>
      <c r="Q127" s="1" t="s">
        <v>48</v>
      </c>
      <c r="R127" s="1" t="s">
        <v>88</v>
      </c>
      <c r="S127" s="1" t="s">
        <v>99</v>
      </c>
      <c r="T127" s="15" t="s">
        <v>61</v>
      </c>
    </row>
    <row r="128" spans="1:20" x14ac:dyDescent="0.3">
      <c r="A128" s="14">
        <v>127</v>
      </c>
      <c r="B128" s="4">
        <v>44323</v>
      </c>
      <c r="C128" s="1" t="s">
        <v>533</v>
      </c>
      <c r="D128" s="1" t="s">
        <v>20</v>
      </c>
      <c r="E128" s="1" t="s">
        <v>29</v>
      </c>
      <c r="F128" s="2">
        <v>6</v>
      </c>
      <c r="G128" s="5">
        <v>2100</v>
      </c>
      <c r="H128" s="24">
        <f t="shared" si="5"/>
        <v>12600</v>
      </c>
      <c r="I128" s="7">
        <v>0</v>
      </c>
      <c r="J128" s="5">
        <f t="shared" si="6"/>
        <v>0</v>
      </c>
      <c r="K128" s="5">
        <f t="shared" si="7"/>
        <v>12600</v>
      </c>
      <c r="L128" s="5">
        <v>1260</v>
      </c>
      <c r="M128" s="5">
        <f t="shared" si="8"/>
        <v>5040</v>
      </c>
      <c r="N128" s="7">
        <f t="shared" si="9"/>
        <v>0.4</v>
      </c>
      <c r="O128" s="1" t="s">
        <v>22</v>
      </c>
      <c r="P128" s="1" t="s">
        <v>31</v>
      </c>
      <c r="Q128" s="1" t="s">
        <v>37</v>
      </c>
      <c r="R128" s="1" t="s">
        <v>33</v>
      </c>
      <c r="S128" s="1" t="s">
        <v>158</v>
      </c>
      <c r="T128" s="15" t="s">
        <v>53</v>
      </c>
    </row>
    <row r="129" spans="1:20" x14ac:dyDescent="0.3">
      <c r="A129" s="14">
        <v>128</v>
      </c>
      <c r="B129" s="4">
        <v>44324</v>
      </c>
      <c r="C129" s="1" t="s">
        <v>530</v>
      </c>
      <c r="D129" s="1" t="s">
        <v>20</v>
      </c>
      <c r="E129" s="1" t="s">
        <v>36</v>
      </c>
      <c r="F129" s="2">
        <v>5</v>
      </c>
      <c r="G129" s="5">
        <v>1200</v>
      </c>
      <c r="H129" s="24">
        <f t="shared" si="5"/>
        <v>6000</v>
      </c>
      <c r="I129" s="7">
        <v>0.15</v>
      </c>
      <c r="J129" s="5">
        <f t="shared" si="6"/>
        <v>900</v>
      </c>
      <c r="K129" s="5">
        <f t="shared" si="7"/>
        <v>5100</v>
      </c>
      <c r="L129" s="5">
        <v>860</v>
      </c>
      <c r="M129" s="5">
        <f t="shared" si="8"/>
        <v>800</v>
      </c>
      <c r="N129" s="7">
        <f t="shared" si="9"/>
        <v>0.15686274509803921</v>
      </c>
      <c r="O129" s="1" t="s">
        <v>59</v>
      </c>
      <c r="P129" s="1" t="s">
        <v>31</v>
      </c>
      <c r="Q129" s="1" t="s">
        <v>37</v>
      </c>
      <c r="R129" s="1" t="s">
        <v>88</v>
      </c>
      <c r="S129" s="1" t="s">
        <v>159</v>
      </c>
      <c r="T129" s="15" t="s">
        <v>27</v>
      </c>
    </row>
    <row r="130" spans="1:20" x14ac:dyDescent="0.3">
      <c r="A130" s="14">
        <v>129</v>
      </c>
      <c r="B130" s="4">
        <v>44325</v>
      </c>
      <c r="C130" s="1" t="s">
        <v>529</v>
      </c>
      <c r="D130" s="1" t="s">
        <v>28</v>
      </c>
      <c r="E130" s="1" t="s">
        <v>40</v>
      </c>
      <c r="F130" s="2">
        <v>4</v>
      </c>
      <c r="G130" s="5">
        <v>1500</v>
      </c>
      <c r="H130" s="24">
        <f t="shared" ref="H130:H193" si="10">F130*G130</f>
        <v>6000</v>
      </c>
      <c r="I130" s="7">
        <v>0</v>
      </c>
      <c r="J130" s="5">
        <f t="shared" ref="J130:J193" si="11">H130*I130</f>
        <v>0</v>
      </c>
      <c r="K130" s="5">
        <f t="shared" ref="K130:K193" si="12">H130-J130</f>
        <v>6000</v>
      </c>
      <c r="L130" s="5">
        <v>1210</v>
      </c>
      <c r="M130" s="5">
        <f t="shared" ref="M130:M193" si="13">K130-(F130*L130)</f>
        <v>1160</v>
      </c>
      <c r="N130" s="7">
        <f t="shared" ref="N130:N193" si="14">IFERROR(M130/K130,0)</f>
        <v>0.19333333333333333</v>
      </c>
      <c r="O130" s="1" t="s">
        <v>22</v>
      </c>
      <c r="P130" s="1" t="s">
        <v>31</v>
      </c>
      <c r="Q130" s="1" t="s">
        <v>48</v>
      </c>
      <c r="R130" s="1" t="s">
        <v>66</v>
      </c>
      <c r="S130" s="1" t="s">
        <v>160</v>
      </c>
      <c r="T130" s="15" t="s">
        <v>35</v>
      </c>
    </row>
    <row r="131" spans="1:20" x14ac:dyDescent="0.3">
      <c r="A131" s="14">
        <v>130</v>
      </c>
      <c r="B131" s="4">
        <v>44326</v>
      </c>
      <c r="C131" s="1" t="s">
        <v>534</v>
      </c>
      <c r="D131" s="1" t="s">
        <v>20</v>
      </c>
      <c r="E131" s="1" t="s">
        <v>43</v>
      </c>
      <c r="F131" s="2">
        <v>3</v>
      </c>
      <c r="G131" s="5">
        <v>300</v>
      </c>
      <c r="H131" s="24">
        <f t="shared" si="10"/>
        <v>900</v>
      </c>
      <c r="I131" s="7">
        <v>0</v>
      </c>
      <c r="J131" s="5">
        <f t="shared" si="11"/>
        <v>0</v>
      </c>
      <c r="K131" s="5">
        <f t="shared" si="12"/>
        <v>900</v>
      </c>
      <c r="L131" s="5">
        <v>180</v>
      </c>
      <c r="M131" s="5">
        <f t="shared" si="13"/>
        <v>360</v>
      </c>
      <c r="N131" s="7">
        <f t="shared" si="14"/>
        <v>0.4</v>
      </c>
      <c r="O131" s="1" t="s">
        <v>30</v>
      </c>
      <c r="P131" s="1" t="s">
        <v>31</v>
      </c>
      <c r="Q131" s="1" t="s">
        <v>24</v>
      </c>
      <c r="R131" s="1" t="s">
        <v>63</v>
      </c>
      <c r="S131" s="1" t="s">
        <v>161</v>
      </c>
      <c r="T131" s="15" t="s">
        <v>61</v>
      </c>
    </row>
    <row r="132" spans="1:20" x14ac:dyDescent="0.3">
      <c r="A132" s="14">
        <v>131</v>
      </c>
      <c r="B132" s="4">
        <v>44327</v>
      </c>
      <c r="C132" s="1" t="s">
        <v>531</v>
      </c>
      <c r="D132" s="1" t="s">
        <v>28</v>
      </c>
      <c r="E132" s="1" t="s">
        <v>45</v>
      </c>
      <c r="F132" s="2">
        <v>2</v>
      </c>
      <c r="G132" s="5">
        <v>190</v>
      </c>
      <c r="H132" s="24">
        <f t="shared" si="10"/>
        <v>380</v>
      </c>
      <c r="I132" s="7">
        <v>0.15</v>
      </c>
      <c r="J132" s="5">
        <f t="shared" si="11"/>
        <v>57</v>
      </c>
      <c r="K132" s="5">
        <f t="shared" si="12"/>
        <v>323</v>
      </c>
      <c r="L132" s="5">
        <v>150</v>
      </c>
      <c r="M132" s="5">
        <f t="shared" si="13"/>
        <v>23</v>
      </c>
      <c r="N132" s="7">
        <f t="shared" si="14"/>
        <v>7.1207430340557279E-2</v>
      </c>
      <c r="O132" s="1" t="s">
        <v>22</v>
      </c>
      <c r="P132" s="1" t="s">
        <v>31</v>
      </c>
      <c r="Q132" s="1" t="s">
        <v>24</v>
      </c>
      <c r="R132" s="1" t="s">
        <v>25</v>
      </c>
      <c r="S132" s="1" t="s">
        <v>26</v>
      </c>
      <c r="T132" s="15" t="s">
        <v>27</v>
      </c>
    </row>
    <row r="133" spans="1:20" x14ac:dyDescent="0.3">
      <c r="A133" s="14">
        <v>132</v>
      </c>
      <c r="B133" s="4">
        <v>44328</v>
      </c>
      <c r="C133" s="1" t="s">
        <v>532</v>
      </c>
      <c r="D133" s="1" t="s">
        <v>20</v>
      </c>
      <c r="E133" s="1" t="s">
        <v>21</v>
      </c>
      <c r="F133" s="2">
        <v>7</v>
      </c>
      <c r="G133" s="5">
        <v>210</v>
      </c>
      <c r="H133" s="24">
        <f t="shared" si="10"/>
        <v>1470</v>
      </c>
      <c r="I133" s="7">
        <v>0.02</v>
      </c>
      <c r="J133" s="5">
        <f t="shared" si="11"/>
        <v>29.400000000000002</v>
      </c>
      <c r="K133" s="5">
        <f t="shared" si="12"/>
        <v>1440.6</v>
      </c>
      <c r="L133" s="5">
        <v>140</v>
      </c>
      <c r="M133" s="5">
        <f t="shared" si="13"/>
        <v>460.59999999999991</v>
      </c>
      <c r="N133" s="7">
        <f t="shared" si="14"/>
        <v>0.31972789115646255</v>
      </c>
      <c r="O133" s="1" t="s">
        <v>41</v>
      </c>
      <c r="P133" s="1" t="s">
        <v>31</v>
      </c>
      <c r="Q133" s="1" t="s">
        <v>24</v>
      </c>
      <c r="R133" s="1" t="s">
        <v>38</v>
      </c>
      <c r="S133" s="1" t="s">
        <v>162</v>
      </c>
      <c r="T133" s="15" t="s">
        <v>61</v>
      </c>
    </row>
    <row r="134" spans="1:20" x14ac:dyDescent="0.3">
      <c r="A134" s="14">
        <v>133</v>
      </c>
      <c r="B134" s="4">
        <v>44329</v>
      </c>
      <c r="C134" s="1" t="s">
        <v>533</v>
      </c>
      <c r="D134" s="1" t="s">
        <v>20</v>
      </c>
      <c r="E134" s="1" t="s">
        <v>29</v>
      </c>
      <c r="F134" s="2">
        <v>6</v>
      </c>
      <c r="G134" s="5">
        <v>2100</v>
      </c>
      <c r="H134" s="24">
        <f t="shared" si="10"/>
        <v>12600</v>
      </c>
      <c r="I134" s="7">
        <v>0.15</v>
      </c>
      <c r="J134" s="5">
        <f t="shared" si="11"/>
        <v>1890</v>
      </c>
      <c r="K134" s="5">
        <f t="shared" si="12"/>
        <v>10710</v>
      </c>
      <c r="L134" s="5">
        <v>1580</v>
      </c>
      <c r="M134" s="5">
        <f t="shared" si="13"/>
        <v>1230</v>
      </c>
      <c r="N134" s="7">
        <f t="shared" si="14"/>
        <v>0.11484593837535013</v>
      </c>
      <c r="O134" s="1" t="s">
        <v>59</v>
      </c>
      <c r="P134" s="1" t="s">
        <v>31</v>
      </c>
      <c r="Q134" s="1" t="s">
        <v>32</v>
      </c>
      <c r="R134" s="1" t="s">
        <v>46</v>
      </c>
      <c r="S134" s="1" t="s">
        <v>163</v>
      </c>
      <c r="T134" s="15" t="s">
        <v>61</v>
      </c>
    </row>
    <row r="135" spans="1:20" x14ac:dyDescent="0.3">
      <c r="A135" s="14">
        <v>134</v>
      </c>
      <c r="B135" s="4">
        <v>44330</v>
      </c>
      <c r="C135" s="1" t="s">
        <v>533</v>
      </c>
      <c r="D135" s="1" t="s">
        <v>20</v>
      </c>
      <c r="E135" s="1" t="s">
        <v>36</v>
      </c>
      <c r="F135" s="2">
        <v>5</v>
      </c>
      <c r="G135" s="5">
        <v>1200</v>
      </c>
      <c r="H135" s="24">
        <f t="shared" si="10"/>
        <v>6000</v>
      </c>
      <c r="I135" s="7">
        <v>0</v>
      </c>
      <c r="J135" s="5">
        <f t="shared" si="11"/>
        <v>0</v>
      </c>
      <c r="K135" s="5">
        <f t="shared" si="12"/>
        <v>6000</v>
      </c>
      <c r="L135" s="5">
        <v>880</v>
      </c>
      <c r="M135" s="5">
        <f t="shared" si="13"/>
        <v>1600</v>
      </c>
      <c r="N135" s="7">
        <f t="shared" si="14"/>
        <v>0.26666666666666666</v>
      </c>
      <c r="O135" s="1" t="s">
        <v>22</v>
      </c>
      <c r="P135" s="1" t="s">
        <v>31</v>
      </c>
      <c r="Q135" s="1" t="s">
        <v>37</v>
      </c>
      <c r="R135" s="1" t="s">
        <v>46</v>
      </c>
      <c r="S135" s="1" t="s">
        <v>164</v>
      </c>
      <c r="T135" s="15" t="s">
        <v>53</v>
      </c>
    </row>
    <row r="136" spans="1:20" x14ac:dyDescent="0.3">
      <c r="A136" s="14">
        <v>135</v>
      </c>
      <c r="B136" s="4">
        <v>44331</v>
      </c>
      <c r="C136" s="1" t="s">
        <v>530</v>
      </c>
      <c r="D136" s="1" t="s">
        <v>20</v>
      </c>
      <c r="E136" s="1" t="s">
        <v>40</v>
      </c>
      <c r="F136" s="2">
        <v>4</v>
      </c>
      <c r="G136" s="5">
        <v>1500</v>
      </c>
      <c r="H136" s="24">
        <f t="shared" si="10"/>
        <v>6000</v>
      </c>
      <c r="I136" s="7">
        <v>0.05</v>
      </c>
      <c r="J136" s="5">
        <f t="shared" si="11"/>
        <v>300</v>
      </c>
      <c r="K136" s="5">
        <f t="shared" si="12"/>
        <v>5700</v>
      </c>
      <c r="L136" s="5">
        <v>1170</v>
      </c>
      <c r="M136" s="5">
        <f t="shared" si="13"/>
        <v>1020</v>
      </c>
      <c r="N136" s="7">
        <f t="shared" si="14"/>
        <v>0.17894736842105263</v>
      </c>
      <c r="O136" s="1" t="s">
        <v>30</v>
      </c>
      <c r="P136" s="1" t="s">
        <v>31</v>
      </c>
      <c r="Q136" s="1" t="s">
        <v>48</v>
      </c>
      <c r="R136" s="1" t="s">
        <v>66</v>
      </c>
      <c r="S136" s="1" t="s">
        <v>165</v>
      </c>
      <c r="T136" s="15" t="s">
        <v>35</v>
      </c>
    </row>
    <row r="137" spans="1:20" x14ac:dyDescent="0.3">
      <c r="A137" s="14">
        <v>136</v>
      </c>
      <c r="B137" s="4">
        <v>44332</v>
      </c>
      <c r="C137" s="1" t="s">
        <v>530</v>
      </c>
      <c r="D137" s="1" t="s">
        <v>28</v>
      </c>
      <c r="E137" s="1" t="s">
        <v>43</v>
      </c>
      <c r="F137" s="2">
        <v>3</v>
      </c>
      <c r="G137" s="5">
        <v>300</v>
      </c>
      <c r="H137" s="24">
        <f t="shared" si="10"/>
        <v>900</v>
      </c>
      <c r="I137" s="7">
        <v>0.05</v>
      </c>
      <c r="J137" s="5">
        <f t="shared" si="11"/>
        <v>45</v>
      </c>
      <c r="K137" s="5">
        <f t="shared" si="12"/>
        <v>855</v>
      </c>
      <c r="L137" s="5">
        <v>200</v>
      </c>
      <c r="M137" s="5">
        <f t="shared" si="13"/>
        <v>255</v>
      </c>
      <c r="N137" s="7">
        <f t="shared" si="14"/>
        <v>0.2982456140350877</v>
      </c>
      <c r="O137" s="1" t="s">
        <v>30</v>
      </c>
      <c r="P137" s="1" t="s">
        <v>31</v>
      </c>
      <c r="Q137" s="1" t="s">
        <v>32</v>
      </c>
      <c r="R137" s="1" t="s">
        <v>50</v>
      </c>
      <c r="S137" s="1" t="s">
        <v>166</v>
      </c>
      <c r="T137" s="15" t="s">
        <v>53</v>
      </c>
    </row>
    <row r="138" spans="1:20" x14ac:dyDescent="0.3">
      <c r="A138" s="14">
        <v>137</v>
      </c>
      <c r="B138" s="4">
        <v>44333</v>
      </c>
      <c r="C138" s="1" t="s">
        <v>530</v>
      </c>
      <c r="D138" s="1" t="s">
        <v>80</v>
      </c>
      <c r="E138" s="1" t="s">
        <v>45</v>
      </c>
      <c r="F138" s="2">
        <v>2</v>
      </c>
      <c r="G138" s="5">
        <v>190</v>
      </c>
      <c r="H138" s="24">
        <f t="shared" si="10"/>
        <v>380</v>
      </c>
      <c r="I138" s="7">
        <v>0.1</v>
      </c>
      <c r="J138" s="5">
        <f t="shared" si="11"/>
        <v>38</v>
      </c>
      <c r="K138" s="5">
        <f t="shared" si="12"/>
        <v>342</v>
      </c>
      <c r="L138" s="5">
        <v>120</v>
      </c>
      <c r="M138" s="5">
        <f t="shared" si="13"/>
        <v>102</v>
      </c>
      <c r="N138" s="7">
        <f t="shared" si="14"/>
        <v>0.2982456140350877</v>
      </c>
      <c r="O138" s="1" t="s">
        <v>41</v>
      </c>
      <c r="P138" s="1" t="s">
        <v>31</v>
      </c>
      <c r="Q138" s="1" t="s">
        <v>24</v>
      </c>
      <c r="R138" s="1" t="s">
        <v>25</v>
      </c>
      <c r="S138" s="1" t="s">
        <v>167</v>
      </c>
      <c r="T138" s="15" t="s">
        <v>53</v>
      </c>
    </row>
    <row r="139" spans="1:20" x14ac:dyDescent="0.3">
      <c r="A139" s="14">
        <v>138</v>
      </c>
      <c r="B139" s="4">
        <v>44334</v>
      </c>
      <c r="C139" s="1" t="s">
        <v>530</v>
      </c>
      <c r="D139" s="1" t="s">
        <v>82</v>
      </c>
      <c r="E139" s="1" t="s">
        <v>21</v>
      </c>
      <c r="F139" s="2">
        <v>2</v>
      </c>
      <c r="G139" s="5">
        <v>210</v>
      </c>
      <c r="H139" s="24">
        <f t="shared" si="10"/>
        <v>420</v>
      </c>
      <c r="I139" s="7">
        <v>0</v>
      </c>
      <c r="J139" s="5">
        <f t="shared" si="11"/>
        <v>0</v>
      </c>
      <c r="K139" s="5">
        <f t="shared" si="12"/>
        <v>420</v>
      </c>
      <c r="L139" s="5">
        <v>130</v>
      </c>
      <c r="M139" s="5">
        <f t="shared" si="13"/>
        <v>160</v>
      </c>
      <c r="N139" s="7">
        <f t="shared" si="14"/>
        <v>0.38095238095238093</v>
      </c>
      <c r="O139" s="1" t="s">
        <v>59</v>
      </c>
      <c r="P139" s="1" t="s">
        <v>31</v>
      </c>
      <c r="Q139" s="1" t="s">
        <v>48</v>
      </c>
      <c r="R139" s="1" t="s">
        <v>33</v>
      </c>
      <c r="S139" s="1" t="s">
        <v>67</v>
      </c>
      <c r="T139" s="15" t="s">
        <v>27</v>
      </c>
    </row>
    <row r="140" spans="1:20" x14ac:dyDescent="0.3">
      <c r="A140" s="14">
        <v>139</v>
      </c>
      <c r="B140" s="4">
        <v>44335</v>
      </c>
      <c r="C140" s="1" t="s">
        <v>530</v>
      </c>
      <c r="D140" s="1" t="s">
        <v>20</v>
      </c>
      <c r="E140" s="1" t="s">
        <v>29</v>
      </c>
      <c r="F140" s="2">
        <v>7</v>
      </c>
      <c r="G140" s="5">
        <v>2100</v>
      </c>
      <c r="H140" s="24">
        <f t="shared" si="10"/>
        <v>14700</v>
      </c>
      <c r="I140" s="7">
        <v>0.15</v>
      </c>
      <c r="J140" s="5">
        <f t="shared" si="11"/>
        <v>2205</v>
      </c>
      <c r="K140" s="5">
        <f t="shared" si="12"/>
        <v>12495</v>
      </c>
      <c r="L140" s="5">
        <v>1400</v>
      </c>
      <c r="M140" s="5">
        <f t="shared" si="13"/>
        <v>2695</v>
      </c>
      <c r="N140" s="7">
        <f t="shared" si="14"/>
        <v>0.21568627450980393</v>
      </c>
      <c r="O140" s="1" t="s">
        <v>30</v>
      </c>
      <c r="P140" s="1" t="s">
        <v>31</v>
      </c>
      <c r="Q140" s="1" t="s">
        <v>48</v>
      </c>
      <c r="R140" s="1" t="s">
        <v>25</v>
      </c>
      <c r="S140" s="1" t="s">
        <v>90</v>
      </c>
      <c r="T140" s="15" t="s">
        <v>35</v>
      </c>
    </row>
    <row r="141" spans="1:20" x14ac:dyDescent="0.3">
      <c r="A141" s="14">
        <v>140</v>
      </c>
      <c r="B141" s="4">
        <v>44336</v>
      </c>
      <c r="C141" s="1" t="s">
        <v>530</v>
      </c>
      <c r="D141" s="1" t="s">
        <v>28</v>
      </c>
      <c r="E141" s="1" t="s">
        <v>36</v>
      </c>
      <c r="F141" s="2">
        <v>6</v>
      </c>
      <c r="G141" s="5">
        <v>1200</v>
      </c>
      <c r="H141" s="24">
        <f t="shared" si="10"/>
        <v>7200</v>
      </c>
      <c r="I141" s="7">
        <v>0.15</v>
      </c>
      <c r="J141" s="5">
        <f t="shared" si="11"/>
        <v>1080</v>
      </c>
      <c r="K141" s="5">
        <f t="shared" si="12"/>
        <v>6120</v>
      </c>
      <c r="L141" s="5">
        <v>720</v>
      </c>
      <c r="M141" s="5">
        <f t="shared" si="13"/>
        <v>1800</v>
      </c>
      <c r="N141" s="7">
        <f t="shared" si="14"/>
        <v>0.29411764705882354</v>
      </c>
      <c r="O141" s="1" t="s">
        <v>59</v>
      </c>
      <c r="P141" s="1" t="s">
        <v>31</v>
      </c>
      <c r="Q141" s="1" t="s">
        <v>37</v>
      </c>
      <c r="R141" s="1" t="s">
        <v>63</v>
      </c>
      <c r="S141" s="1" t="s">
        <v>168</v>
      </c>
      <c r="T141" s="15" t="s">
        <v>61</v>
      </c>
    </row>
    <row r="142" spans="1:20" x14ac:dyDescent="0.3">
      <c r="A142" s="14">
        <v>141</v>
      </c>
      <c r="B142" s="4">
        <v>44337</v>
      </c>
      <c r="C142" s="1" t="s">
        <v>530</v>
      </c>
      <c r="D142" s="1" t="s">
        <v>80</v>
      </c>
      <c r="E142" s="1" t="s">
        <v>40</v>
      </c>
      <c r="F142" s="2">
        <v>5</v>
      </c>
      <c r="G142" s="5">
        <v>1500</v>
      </c>
      <c r="H142" s="24">
        <f t="shared" si="10"/>
        <v>7500</v>
      </c>
      <c r="I142" s="7">
        <v>0</v>
      </c>
      <c r="J142" s="5">
        <f t="shared" si="11"/>
        <v>0</v>
      </c>
      <c r="K142" s="5">
        <f t="shared" si="12"/>
        <v>7500</v>
      </c>
      <c r="L142" s="5">
        <v>1200</v>
      </c>
      <c r="M142" s="5">
        <f t="shared" si="13"/>
        <v>1500</v>
      </c>
      <c r="N142" s="7">
        <f t="shared" si="14"/>
        <v>0.2</v>
      </c>
      <c r="O142" s="1" t="s">
        <v>30</v>
      </c>
      <c r="P142" s="1" t="s">
        <v>31</v>
      </c>
      <c r="Q142" s="1" t="s">
        <v>24</v>
      </c>
      <c r="R142" s="1" t="s">
        <v>46</v>
      </c>
      <c r="S142" s="1" t="s">
        <v>115</v>
      </c>
      <c r="T142" s="15" t="s">
        <v>35</v>
      </c>
    </row>
    <row r="143" spans="1:20" x14ac:dyDescent="0.3">
      <c r="A143" s="14">
        <v>142</v>
      </c>
      <c r="B143" s="4">
        <v>44338</v>
      </c>
      <c r="C143" s="1" t="s">
        <v>530</v>
      </c>
      <c r="D143" s="1" t="s">
        <v>82</v>
      </c>
      <c r="E143" s="1" t="s">
        <v>43</v>
      </c>
      <c r="F143" s="2">
        <v>4</v>
      </c>
      <c r="G143" s="5">
        <v>300</v>
      </c>
      <c r="H143" s="24">
        <f t="shared" si="10"/>
        <v>1200</v>
      </c>
      <c r="I143" s="7">
        <v>0.05</v>
      </c>
      <c r="J143" s="5">
        <f t="shared" si="11"/>
        <v>60</v>
      </c>
      <c r="K143" s="5">
        <f t="shared" si="12"/>
        <v>1140</v>
      </c>
      <c r="L143" s="5">
        <v>190</v>
      </c>
      <c r="M143" s="5">
        <f t="shared" si="13"/>
        <v>380</v>
      </c>
      <c r="N143" s="7">
        <f t="shared" si="14"/>
        <v>0.33333333333333331</v>
      </c>
      <c r="O143" s="1" t="s">
        <v>22</v>
      </c>
      <c r="P143" s="1" t="s">
        <v>31</v>
      </c>
      <c r="Q143" s="1" t="s">
        <v>32</v>
      </c>
      <c r="R143" s="1" t="s">
        <v>33</v>
      </c>
      <c r="S143" s="1" t="s">
        <v>169</v>
      </c>
      <c r="T143" s="15" t="s">
        <v>53</v>
      </c>
    </row>
    <row r="144" spans="1:20" x14ac:dyDescent="0.3">
      <c r="A144" s="14">
        <v>143</v>
      </c>
      <c r="B144" s="4">
        <v>44339</v>
      </c>
      <c r="C144" s="1" t="s">
        <v>529</v>
      </c>
      <c r="D144" s="1" t="s">
        <v>28</v>
      </c>
      <c r="E144" s="1" t="s">
        <v>45</v>
      </c>
      <c r="F144" s="2">
        <v>3</v>
      </c>
      <c r="G144" s="5">
        <v>190</v>
      </c>
      <c r="H144" s="24">
        <f t="shared" si="10"/>
        <v>570</v>
      </c>
      <c r="I144" s="7">
        <v>0</v>
      </c>
      <c r="J144" s="5">
        <f t="shared" si="11"/>
        <v>0</v>
      </c>
      <c r="K144" s="5">
        <f t="shared" si="12"/>
        <v>570</v>
      </c>
      <c r="L144" s="5">
        <v>120</v>
      </c>
      <c r="M144" s="5">
        <f t="shared" si="13"/>
        <v>210</v>
      </c>
      <c r="N144" s="7">
        <f t="shared" si="14"/>
        <v>0.36842105263157893</v>
      </c>
      <c r="O144" s="1" t="s">
        <v>59</v>
      </c>
      <c r="P144" s="1" t="s">
        <v>23</v>
      </c>
      <c r="Q144" s="1" t="s">
        <v>48</v>
      </c>
      <c r="R144" s="1" t="s">
        <v>50</v>
      </c>
      <c r="S144" s="1" t="s">
        <v>170</v>
      </c>
      <c r="T144" s="15" t="s">
        <v>35</v>
      </c>
    </row>
    <row r="145" spans="1:20" x14ac:dyDescent="0.3">
      <c r="A145" s="14">
        <v>144</v>
      </c>
      <c r="B145" s="4">
        <v>44340</v>
      </c>
      <c r="C145" s="1" t="s">
        <v>529</v>
      </c>
      <c r="D145" s="1" t="s">
        <v>20</v>
      </c>
      <c r="E145" s="1" t="s">
        <v>43</v>
      </c>
      <c r="F145" s="2">
        <v>4</v>
      </c>
      <c r="G145" s="5">
        <v>300</v>
      </c>
      <c r="H145" s="24">
        <f t="shared" si="10"/>
        <v>1200</v>
      </c>
      <c r="I145" s="7">
        <v>0.02</v>
      </c>
      <c r="J145" s="5">
        <f t="shared" si="11"/>
        <v>24</v>
      </c>
      <c r="K145" s="5">
        <f t="shared" si="12"/>
        <v>1176</v>
      </c>
      <c r="L145" s="5">
        <v>210</v>
      </c>
      <c r="M145" s="5">
        <f t="shared" si="13"/>
        <v>336</v>
      </c>
      <c r="N145" s="7">
        <f t="shared" si="14"/>
        <v>0.2857142857142857</v>
      </c>
      <c r="O145" s="1" t="s">
        <v>41</v>
      </c>
      <c r="P145" s="1" t="s">
        <v>31</v>
      </c>
      <c r="Q145" s="1" t="s">
        <v>24</v>
      </c>
      <c r="R145" s="1" t="s">
        <v>25</v>
      </c>
      <c r="S145" s="1" t="s">
        <v>73</v>
      </c>
      <c r="T145" s="15" t="s">
        <v>61</v>
      </c>
    </row>
    <row r="146" spans="1:20" x14ac:dyDescent="0.3">
      <c r="A146" s="14">
        <v>145</v>
      </c>
      <c r="B146" s="4">
        <v>44341</v>
      </c>
      <c r="C146" s="1" t="s">
        <v>529</v>
      </c>
      <c r="D146" s="1" t="s">
        <v>80</v>
      </c>
      <c r="E146" s="1" t="s">
        <v>43</v>
      </c>
      <c r="F146" s="2">
        <v>4</v>
      </c>
      <c r="G146" s="5">
        <v>300</v>
      </c>
      <c r="H146" s="24">
        <f t="shared" si="10"/>
        <v>1200</v>
      </c>
      <c r="I146" s="7">
        <v>0</v>
      </c>
      <c r="J146" s="5">
        <f t="shared" si="11"/>
        <v>0</v>
      </c>
      <c r="K146" s="5">
        <f t="shared" si="12"/>
        <v>1200</v>
      </c>
      <c r="L146" s="5">
        <v>190</v>
      </c>
      <c r="M146" s="5">
        <f t="shared" si="13"/>
        <v>440</v>
      </c>
      <c r="N146" s="7">
        <f t="shared" si="14"/>
        <v>0.36666666666666664</v>
      </c>
      <c r="O146" s="1" t="s">
        <v>41</v>
      </c>
      <c r="P146" s="1" t="s">
        <v>31</v>
      </c>
      <c r="Q146" s="1" t="s">
        <v>24</v>
      </c>
      <c r="R146" s="1" t="s">
        <v>63</v>
      </c>
      <c r="S146" s="1" t="s">
        <v>171</v>
      </c>
      <c r="T146" s="15" t="s">
        <v>27</v>
      </c>
    </row>
    <row r="147" spans="1:20" x14ac:dyDescent="0.3">
      <c r="A147" s="14">
        <v>146</v>
      </c>
      <c r="B147" s="4">
        <v>44342</v>
      </c>
      <c r="C147" s="1" t="s">
        <v>529</v>
      </c>
      <c r="D147" s="1" t="s">
        <v>82</v>
      </c>
      <c r="E147" s="1" t="s">
        <v>43</v>
      </c>
      <c r="F147" s="2">
        <v>4</v>
      </c>
      <c r="G147" s="5">
        <v>300</v>
      </c>
      <c r="H147" s="24">
        <f t="shared" si="10"/>
        <v>1200</v>
      </c>
      <c r="I147" s="7">
        <v>0</v>
      </c>
      <c r="J147" s="5">
        <f t="shared" si="11"/>
        <v>0</v>
      </c>
      <c r="K147" s="5">
        <f t="shared" si="12"/>
        <v>1200</v>
      </c>
      <c r="L147" s="5">
        <v>180</v>
      </c>
      <c r="M147" s="5">
        <f t="shared" si="13"/>
        <v>480</v>
      </c>
      <c r="N147" s="7">
        <f t="shared" si="14"/>
        <v>0.4</v>
      </c>
      <c r="O147" s="1" t="s">
        <v>22</v>
      </c>
      <c r="P147" s="1" t="s">
        <v>31</v>
      </c>
      <c r="Q147" s="1" t="s">
        <v>24</v>
      </c>
      <c r="R147" s="1" t="s">
        <v>49</v>
      </c>
      <c r="S147" s="1" t="s">
        <v>81</v>
      </c>
      <c r="T147" s="15" t="s">
        <v>61</v>
      </c>
    </row>
    <row r="148" spans="1:20" x14ac:dyDescent="0.3">
      <c r="A148" s="14">
        <v>147</v>
      </c>
      <c r="B148" s="4">
        <v>44343</v>
      </c>
      <c r="C148" s="1" t="s">
        <v>529</v>
      </c>
      <c r="D148" s="1" t="s">
        <v>28</v>
      </c>
      <c r="E148" s="1" t="s">
        <v>43</v>
      </c>
      <c r="F148" s="2">
        <v>4</v>
      </c>
      <c r="G148" s="5">
        <v>300</v>
      </c>
      <c r="H148" s="24">
        <f t="shared" si="10"/>
        <v>1200</v>
      </c>
      <c r="I148" s="7">
        <v>0.1</v>
      </c>
      <c r="J148" s="5">
        <f t="shared" si="11"/>
        <v>120</v>
      </c>
      <c r="K148" s="5">
        <f t="shared" si="12"/>
        <v>1080</v>
      </c>
      <c r="L148" s="5">
        <v>220</v>
      </c>
      <c r="M148" s="5">
        <f t="shared" si="13"/>
        <v>200</v>
      </c>
      <c r="N148" s="7">
        <f t="shared" si="14"/>
        <v>0.18518518518518517</v>
      </c>
      <c r="O148" s="1" t="s">
        <v>54</v>
      </c>
      <c r="P148" s="1" t="s">
        <v>31</v>
      </c>
      <c r="Q148" s="1" t="s">
        <v>24</v>
      </c>
      <c r="R148" s="1" t="s">
        <v>25</v>
      </c>
      <c r="S148" s="1" t="s">
        <v>172</v>
      </c>
      <c r="T148" s="15" t="s">
        <v>27</v>
      </c>
    </row>
    <row r="149" spans="1:20" x14ac:dyDescent="0.3">
      <c r="A149" s="14">
        <v>148</v>
      </c>
      <c r="B149" s="4">
        <v>44344</v>
      </c>
      <c r="C149" s="1" t="s">
        <v>529</v>
      </c>
      <c r="D149" s="1" t="s">
        <v>20</v>
      </c>
      <c r="E149" s="1" t="s">
        <v>43</v>
      </c>
      <c r="F149" s="2">
        <v>4</v>
      </c>
      <c r="G149" s="5">
        <v>300</v>
      </c>
      <c r="H149" s="24">
        <f t="shared" si="10"/>
        <v>1200</v>
      </c>
      <c r="I149" s="7">
        <v>0.02</v>
      </c>
      <c r="J149" s="5">
        <f t="shared" si="11"/>
        <v>24</v>
      </c>
      <c r="K149" s="5">
        <f t="shared" si="12"/>
        <v>1176</v>
      </c>
      <c r="L149" s="5">
        <v>230</v>
      </c>
      <c r="M149" s="5">
        <f t="shared" si="13"/>
        <v>256</v>
      </c>
      <c r="N149" s="7">
        <f t="shared" si="14"/>
        <v>0.21768707482993196</v>
      </c>
      <c r="O149" s="1" t="s">
        <v>22</v>
      </c>
      <c r="P149" s="1" t="s">
        <v>31</v>
      </c>
      <c r="Q149" s="1" t="s">
        <v>32</v>
      </c>
      <c r="R149" s="1" t="s">
        <v>50</v>
      </c>
      <c r="S149" s="1" t="s">
        <v>173</v>
      </c>
      <c r="T149" s="15" t="s">
        <v>27</v>
      </c>
    </row>
    <row r="150" spans="1:20" x14ac:dyDescent="0.3">
      <c r="A150" s="14">
        <v>149</v>
      </c>
      <c r="B150" s="4">
        <v>44345</v>
      </c>
      <c r="C150" s="1" t="s">
        <v>529</v>
      </c>
      <c r="D150" s="1" t="s">
        <v>80</v>
      </c>
      <c r="E150" s="1" t="s">
        <v>43</v>
      </c>
      <c r="F150" s="2">
        <v>4</v>
      </c>
      <c r="G150" s="5">
        <v>300</v>
      </c>
      <c r="H150" s="24">
        <f t="shared" si="10"/>
        <v>1200</v>
      </c>
      <c r="I150" s="7">
        <v>0</v>
      </c>
      <c r="J150" s="5">
        <f t="shared" si="11"/>
        <v>0</v>
      </c>
      <c r="K150" s="5">
        <f t="shared" si="12"/>
        <v>1200</v>
      </c>
      <c r="L150" s="5">
        <v>200</v>
      </c>
      <c r="M150" s="5">
        <f t="shared" si="13"/>
        <v>400</v>
      </c>
      <c r="N150" s="7">
        <f t="shared" si="14"/>
        <v>0.33333333333333331</v>
      </c>
      <c r="O150" s="1" t="s">
        <v>41</v>
      </c>
      <c r="P150" s="1" t="s">
        <v>31</v>
      </c>
      <c r="Q150" s="1" t="s">
        <v>24</v>
      </c>
      <c r="R150" s="1" t="s">
        <v>63</v>
      </c>
      <c r="S150" s="1" t="s">
        <v>174</v>
      </c>
      <c r="T150" s="15" t="s">
        <v>53</v>
      </c>
    </row>
    <row r="151" spans="1:20" x14ac:dyDescent="0.3">
      <c r="A151" s="14">
        <v>150</v>
      </c>
      <c r="B151" s="4">
        <v>44346</v>
      </c>
      <c r="C151" s="1" t="s">
        <v>529</v>
      </c>
      <c r="D151" s="1" t="s">
        <v>82</v>
      </c>
      <c r="E151" s="1" t="s">
        <v>43</v>
      </c>
      <c r="F151" s="2">
        <v>4</v>
      </c>
      <c r="G151" s="5">
        <v>300</v>
      </c>
      <c r="H151" s="24">
        <f t="shared" si="10"/>
        <v>1200</v>
      </c>
      <c r="I151" s="7">
        <v>0.15</v>
      </c>
      <c r="J151" s="5">
        <f t="shared" si="11"/>
        <v>180</v>
      </c>
      <c r="K151" s="5">
        <f t="shared" si="12"/>
        <v>1020</v>
      </c>
      <c r="L151" s="5">
        <v>200</v>
      </c>
      <c r="M151" s="5">
        <f t="shared" si="13"/>
        <v>220</v>
      </c>
      <c r="N151" s="7">
        <f t="shared" si="14"/>
        <v>0.21568627450980393</v>
      </c>
      <c r="O151" s="1" t="s">
        <v>30</v>
      </c>
      <c r="P151" s="1" t="s">
        <v>31</v>
      </c>
      <c r="Q151" s="1" t="s">
        <v>32</v>
      </c>
      <c r="R151" s="1" t="s">
        <v>63</v>
      </c>
      <c r="S151" s="1" t="s">
        <v>175</v>
      </c>
      <c r="T151" s="15" t="s">
        <v>35</v>
      </c>
    </row>
    <row r="152" spans="1:20" x14ac:dyDescent="0.3">
      <c r="A152" s="14">
        <v>151</v>
      </c>
      <c r="B152" s="4">
        <v>44347</v>
      </c>
      <c r="C152" s="1" t="s">
        <v>534</v>
      </c>
      <c r="D152" s="1" t="s">
        <v>82</v>
      </c>
      <c r="E152" s="1" t="s">
        <v>43</v>
      </c>
      <c r="F152" s="2">
        <v>4</v>
      </c>
      <c r="G152" s="5">
        <v>300</v>
      </c>
      <c r="H152" s="24">
        <f t="shared" si="10"/>
        <v>1200</v>
      </c>
      <c r="I152" s="7">
        <v>0</v>
      </c>
      <c r="J152" s="5">
        <f t="shared" si="11"/>
        <v>0</v>
      </c>
      <c r="K152" s="5">
        <f t="shared" si="12"/>
        <v>1200</v>
      </c>
      <c r="L152" s="5">
        <v>230</v>
      </c>
      <c r="M152" s="5">
        <f t="shared" si="13"/>
        <v>280</v>
      </c>
      <c r="N152" s="7">
        <f t="shared" si="14"/>
        <v>0.23333333333333334</v>
      </c>
      <c r="O152" s="1" t="s">
        <v>41</v>
      </c>
      <c r="P152" s="1" t="s">
        <v>31</v>
      </c>
      <c r="Q152" s="1" t="s">
        <v>48</v>
      </c>
      <c r="R152" s="1" t="s">
        <v>63</v>
      </c>
      <c r="S152" s="1" t="s">
        <v>176</v>
      </c>
      <c r="T152" s="15" t="s">
        <v>35</v>
      </c>
    </row>
    <row r="153" spans="1:20" x14ac:dyDescent="0.3">
      <c r="A153" s="14">
        <v>152</v>
      </c>
      <c r="B153" s="4">
        <v>44348</v>
      </c>
      <c r="C153" s="1" t="s">
        <v>531</v>
      </c>
      <c r="D153" s="1" t="s">
        <v>82</v>
      </c>
      <c r="E153" s="1" t="s">
        <v>29</v>
      </c>
      <c r="F153" s="2">
        <v>6</v>
      </c>
      <c r="G153" s="5">
        <v>2100</v>
      </c>
      <c r="H153" s="24">
        <f t="shared" si="10"/>
        <v>12600</v>
      </c>
      <c r="I153" s="7">
        <v>0</v>
      </c>
      <c r="J153" s="5">
        <f t="shared" si="11"/>
        <v>0</v>
      </c>
      <c r="K153" s="5">
        <f t="shared" si="12"/>
        <v>12600</v>
      </c>
      <c r="L153" s="5">
        <v>1450</v>
      </c>
      <c r="M153" s="5">
        <f t="shared" si="13"/>
        <v>3900</v>
      </c>
      <c r="N153" s="7">
        <f t="shared" si="14"/>
        <v>0.30952380952380953</v>
      </c>
      <c r="O153" s="1" t="s">
        <v>54</v>
      </c>
      <c r="P153" s="1" t="s">
        <v>31</v>
      </c>
      <c r="Q153" s="1" t="s">
        <v>37</v>
      </c>
      <c r="R153" s="1" t="s">
        <v>88</v>
      </c>
      <c r="S153" s="1" t="s">
        <v>71</v>
      </c>
      <c r="T153" s="15" t="s">
        <v>53</v>
      </c>
    </row>
    <row r="154" spans="1:20" x14ac:dyDescent="0.3">
      <c r="A154" s="14">
        <v>153</v>
      </c>
      <c r="B154" s="4">
        <v>44349</v>
      </c>
      <c r="C154" s="1" t="s">
        <v>532</v>
      </c>
      <c r="D154" s="1" t="s">
        <v>82</v>
      </c>
      <c r="E154" s="1" t="s">
        <v>36</v>
      </c>
      <c r="F154" s="2">
        <v>5</v>
      </c>
      <c r="G154" s="5">
        <v>1200</v>
      </c>
      <c r="H154" s="24">
        <f t="shared" si="10"/>
        <v>6000</v>
      </c>
      <c r="I154" s="7">
        <v>0.02</v>
      </c>
      <c r="J154" s="5">
        <f t="shared" si="11"/>
        <v>120</v>
      </c>
      <c r="K154" s="5">
        <f t="shared" si="12"/>
        <v>5880</v>
      </c>
      <c r="L154" s="5">
        <v>700</v>
      </c>
      <c r="M154" s="5">
        <f t="shared" si="13"/>
        <v>2380</v>
      </c>
      <c r="N154" s="7">
        <f t="shared" si="14"/>
        <v>0.40476190476190477</v>
      </c>
      <c r="O154" s="1" t="s">
        <v>59</v>
      </c>
      <c r="P154" s="1" t="s">
        <v>31</v>
      </c>
      <c r="Q154" s="1" t="s">
        <v>24</v>
      </c>
      <c r="R154" s="1" t="s">
        <v>88</v>
      </c>
      <c r="S154" s="1" t="s">
        <v>177</v>
      </c>
      <c r="T154" s="15" t="s">
        <v>35</v>
      </c>
    </row>
    <row r="155" spans="1:20" x14ac:dyDescent="0.3">
      <c r="A155" s="14">
        <v>154</v>
      </c>
      <c r="B155" s="4">
        <v>44350</v>
      </c>
      <c r="C155" s="1" t="s">
        <v>533</v>
      </c>
      <c r="D155" s="1" t="s">
        <v>82</v>
      </c>
      <c r="E155" s="1" t="s">
        <v>40</v>
      </c>
      <c r="F155" s="2">
        <v>4</v>
      </c>
      <c r="G155" s="5">
        <v>1500</v>
      </c>
      <c r="H155" s="24">
        <f t="shared" si="10"/>
        <v>6000</v>
      </c>
      <c r="I155" s="7">
        <v>0.05</v>
      </c>
      <c r="J155" s="5">
        <f t="shared" si="11"/>
        <v>300</v>
      </c>
      <c r="K155" s="5">
        <f t="shared" si="12"/>
        <v>5700</v>
      </c>
      <c r="L155" s="5">
        <v>1170</v>
      </c>
      <c r="M155" s="5">
        <f t="shared" si="13"/>
        <v>1020</v>
      </c>
      <c r="N155" s="7">
        <f t="shared" si="14"/>
        <v>0.17894736842105263</v>
      </c>
      <c r="O155" s="1" t="s">
        <v>54</v>
      </c>
      <c r="P155" s="1" t="s">
        <v>31</v>
      </c>
      <c r="Q155" s="1" t="s">
        <v>32</v>
      </c>
      <c r="R155" s="1" t="s">
        <v>38</v>
      </c>
      <c r="S155" s="1" t="s">
        <v>178</v>
      </c>
      <c r="T155" s="15" t="s">
        <v>61</v>
      </c>
    </row>
    <row r="156" spans="1:20" x14ac:dyDescent="0.3">
      <c r="A156" s="14">
        <v>155</v>
      </c>
      <c r="B156" s="4">
        <v>44351</v>
      </c>
      <c r="C156" s="1" t="s">
        <v>533</v>
      </c>
      <c r="D156" s="1" t="s">
        <v>20</v>
      </c>
      <c r="E156" s="1" t="s">
        <v>43</v>
      </c>
      <c r="F156" s="2">
        <v>3</v>
      </c>
      <c r="G156" s="5">
        <v>300</v>
      </c>
      <c r="H156" s="24">
        <f t="shared" si="10"/>
        <v>900</v>
      </c>
      <c r="I156" s="7">
        <v>0.02</v>
      </c>
      <c r="J156" s="5">
        <f t="shared" si="11"/>
        <v>18</v>
      </c>
      <c r="K156" s="5">
        <f t="shared" si="12"/>
        <v>882</v>
      </c>
      <c r="L156" s="5">
        <v>200</v>
      </c>
      <c r="M156" s="5">
        <f t="shared" si="13"/>
        <v>282</v>
      </c>
      <c r="N156" s="7">
        <f t="shared" si="14"/>
        <v>0.31972789115646261</v>
      </c>
      <c r="O156" s="1" t="s">
        <v>54</v>
      </c>
      <c r="P156" s="1" t="s">
        <v>62</v>
      </c>
      <c r="Q156" s="1" t="s">
        <v>32</v>
      </c>
      <c r="R156" s="1" t="s">
        <v>63</v>
      </c>
      <c r="S156" s="1" t="s">
        <v>173</v>
      </c>
      <c r="T156" s="15" t="s">
        <v>35</v>
      </c>
    </row>
    <row r="157" spans="1:20" x14ac:dyDescent="0.3">
      <c r="A157" s="14">
        <v>156</v>
      </c>
      <c r="B157" s="4">
        <v>44352</v>
      </c>
      <c r="C157" s="1" t="s">
        <v>533</v>
      </c>
      <c r="D157" s="1" t="s">
        <v>28</v>
      </c>
      <c r="E157" s="1" t="s">
        <v>45</v>
      </c>
      <c r="F157" s="2">
        <v>2</v>
      </c>
      <c r="G157" s="5">
        <v>190</v>
      </c>
      <c r="H157" s="24">
        <f t="shared" si="10"/>
        <v>380</v>
      </c>
      <c r="I157" s="7">
        <v>0</v>
      </c>
      <c r="J157" s="5">
        <f t="shared" si="11"/>
        <v>0</v>
      </c>
      <c r="K157" s="5">
        <f t="shared" si="12"/>
        <v>380</v>
      </c>
      <c r="L157" s="5">
        <v>130</v>
      </c>
      <c r="M157" s="5">
        <f t="shared" si="13"/>
        <v>120</v>
      </c>
      <c r="N157" s="7">
        <f t="shared" si="14"/>
        <v>0.31578947368421051</v>
      </c>
      <c r="O157" s="1" t="s">
        <v>54</v>
      </c>
      <c r="P157" s="1" t="s">
        <v>31</v>
      </c>
      <c r="Q157" s="1" t="s">
        <v>37</v>
      </c>
      <c r="R157" s="1" t="s">
        <v>33</v>
      </c>
      <c r="S157" s="1" t="s">
        <v>179</v>
      </c>
      <c r="T157" s="15" t="s">
        <v>61</v>
      </c>
    </row>
    <row r="158" spans="1:20" x14ac:dyDescent="0.3">
      <c r="A158" s="14">
        <v>157</v>
      </c>
      <c r="B158" s="4">
        <v>44353</v>
      </c>
      <c r="C158" s="1" t="s">
        <v>533</v>
      </c>
      <c r="D158" s="1" t="s">
        <v>80</v>
      </c>
      <c r="E158" s="1" t="s">
        <v>21</v>
      </c>
      <c r="F158" s="2">
        <v>7</v>
      </c>
      <c r="G158" s="5">
        <v>210</v>
      </c>
      <c r="H158" s="24">
        <f t="shared" si="10"/>
        <v>1470</v>
      </c>
      <c r="I158" s="7">
        <v>0.15</v>
      </c>
      <c r="J158" s="5">
        <f t="shared" si="11"/>
        <v>220.5</v>
      </c>
      <c r="K158" s="5">
        <f t="shared" si="12"/>
        <v>1249.5</v>
      </c>
      <c r="L158" s="5">
        <v>140</v>
      </c>
      <c r="M158" s="5">
        <f t="shared" si="13"/>
        <v>269.5</v>
      </c>
      <c r="N158" s="7">
        <f t="shared" si="14"/>
        <v>0.21568627450980393</v>
      </c>
      <c r="O158" s="1" t="s">
        <v>59</v>
      </c>
      <c r="P158" s="1" t="s">
        <v>31</v>
      </c>
      <c r="Q158" s="1" t="s">
        <v>24</v>
      </c>
      <c r="R158" s="1" t="s">
        <v>33</v>
      </c>
      <c r="S158" s="1" t="s">
        <v>67</v>
      </c>
      <c r="T158" s="15" t="s">
        <v>61</v>
      </c>
    </row>
    <row r="159" spans="1:20" x14ac:dyDescent="0.3">
      <c r="A159" s="14">
        <v>158</v>
      </c>
      <c r="B159" s="4">
        <v>44354</v>
      </c>
      <c r="C159" s="1" t="s">
        <v>533</v>
      </c>
      <c r="D159" s="1" t="s">
        <v>82</v>
      </c>
      <c r="E159" s="1" t="s">
        <v>29</v>
      </c>
      <c r="F159" s="2">
        <v>6</v>
      </c>
      <c r="G159" s="5">
        <v>2100</v>
      </c>
      <c r="H159" s="24">
        <f t="shared" si="10"/>
        <v>12600</v>
      </c>
      <c r="I159" s="7">
        <v>0.02</v>
      </c>
      <c r="J159" s="5">
        <f t="shared" si="11"/>
        <v>252</v>
      </c>
      <c r="K159" s="5">
        <f t="shared" si="12"/>
        <v>12348</v>
      </c>
      <c r="L159" s="5">
        <v>1360</v>
      </c>
      <c r="M159" s="5">
        <f t="shared" si="13"/>
        <v>4188</v>
      </c>
      <c r="N159" s="7">
        <f t="shared" si="14"/>
        <v>0.33916423712342081</v>
      </c>
      <c r="O159" s="1" t="s">
        <v>54</v>
      </c>
      <c r="P159" s="1" t="s">
        <v>31</v>
      </c>
      <c r="Q159" s="1" t="s">
        <v>24</v>
      </c>
      <c r="R159" s="1" t="s">
        <v>38</v>
      </c>
      <c r="S159" s="1" t="s">
        <v>180</v>
      </c>
      <c r="T159" s="15" t="s">
        <v>53</v>
      </c>
    </row>
    <row r="160" spans="1:20" x14ac:dyDescent="0.3">
      <c r="A160" s="14">
        <v>159</v>
      </c>
      <c r="B160" s="4">
        <v>44355</v>
      </c>
      <c r="C160" s="1" t="s">
        <v>533</v>
      </c>
      <c r="D160" s="1" t="s">
        <v>20</v>
      </c>
      <c r="E160" s="1" t="s">
        <v>36</v>
      </c>
      <c r="F160" s="2">
        <v>5</v>
      </c>
      <c r="G160" s="5">
        <v>1200</v>
      </c>
      <c r="H160" s="24">
        <f t="shared" si="10"/>
        <v>6000</v>
      </c>
      <c r="I160" s="7">
        <v>0.05</v>
      </c>
      <c r="J160" s="5">
        <f t="shared" si="11"/>
        <v>300</v>
      </c>
      <c r="K160" s="5">
        <f t="shared" si="12"/>
        <v>5700</v>
      </c>
      <c r="L160" s="5">
        <v>880</v>
      </c>
      <c r="M160" s="5">
        <f t="shared" si="13"/>
        <v>1300</v>
      </c>
      <c r="N160" s="7">
        <f t="shared" si="14"/>
        <v>0.22807017543859648</v>
      </c>
      <c r="O160" s="1" t="s">
        <v>59</v>
      </c>
      <c r="P160" s="1" t="s">
        <v>31</v>
      </c>
      <c r="Q160" s="1" t="s">
        <v>48</v>
      </c>
      <c r="R160" s="1" t="s">
        <v>25</v>
      </c>
      <c r="S160" s="1" t="s">
        <v>172</v>
      </c>
      <c r="T160" s="15" t="s">
        <v>61</v>
      </c>
    </row>
    <row r="161" spans="1:20" x14ac:dyDescent="0.3">
      <c r="A161" s="14">
        <v>160</v>
      </c>
      <c r="B161" s="4">
        <v>44356</v>
      </c>
      <c r="C161" s="1" t="s">
        <v>533</v>
      </c>
      <c r="D161" s="1" t="s">
        <v>28</v>
      </c>
      <c r="E161" s="1" t="s">
        <v>40</v>
      </c>
      <c r="F161" s="2">
        <v>4</v>
      </c>
      <c r="G161" s="5">
        <v>1500</v>
      </c>
      <c r="H161" s="24">
        <f t="shared" si="10"/>
        <v>6000</v>
      </c>
      <c r="I161" s="7">
        <v>0.1</v>
      </c>
      <c r="J161" s="5">
        <f t="shared" si="11"/>
        <v>600</v>
      </c>
      <c r="K161" s="5">
        <f t="shared" si="12"/>
        <v>5400</v>
      </c>
      <c r="L161" s="5">
        <v>930</v>
      </c>
      <c r="M161" s="5">
        <f t="shared" si="13"/>
        <v>1680</v>
      </c>
      <c r="N161" s="7">
        <f t="shared" si="14"/>
        <v>0.31111111111111112</v>
      </c>
      <c r="O161" s="1" t="s">
        <v>41</v>
      </c>
      <c r="P161" s="1" t="s">
        <v>31</v>
      </c>
      <c r="Q161" s="1" t="s">
        <v>24</v>
      </c>
      <c r="R161" s="1" t="s">
        <v>49</v>
      </c>
      <c r="S161" s="1" t="s">
        <v>112</v>
      </c>
      <c r="T161" s="15" t="s">
        <v>61</v>
      </c>
    </row>
    <row r="162" spans="1:20" x14ac:dyDescent="0.3">
      <c r="A162" s="14">
        <v>161</v>
      </c>
      <c r="B162" s="4">
        <v>44357</v>
      </c>
      <c r="C162" s="1" t="s">
        <v>533</v>
      </c>
      <c r="D162" s="1" t="s">
        <v>80</v>
      </c>
      <c r="E162" s="1" t="s">
        <v>43</v>
      </c>
      <c r="F162" s="2">
        <v>3</v>
      </c>
      <c r="G162" s="5">
        <v>300</v>
      </c>
      <c r="H162" s="24">
        <f t="shared" si="10"/>
        <v>900</v>
      </c>
      <c r="I162" s="7">
        <v>0.1</v>
      </c>
      <c r="J162" s="5">
        <f t="shared" si="11"/>
        <v>90</v>
      </c>
      <c r="K162" s="5">
        <f t="shared" si="12"/>
        <v>810</v>
      </c>
      <c r="L162" s="5">
        <v>220</v>
      </c>
      <c r="M162" s="5">
        <f t="shared" si="13"/>
        <v>150</v>
      </c>
      <c r="N162" s="7">
        <f t="shared" si="14"/>
        <v>0.18518518518518517</v>
      </c>
      <c r="O162" s="1" t="s">
        <v>59</v>
      </c>
      <c r="P162" s="1" t="s">
        <v>31</v>
      </c>
      <c r="Q162" s="1" t="s">
        <v>37</v>
      </c>
      <c r="R162" s="1" t="s">
        <v>88</v>
      </c>
      <c r="S162" s="1" t="s">
        <v>181</v>
      </c>
      <c r="T162" s="15" t="s">
        <v>35</v>
      </c>
    </row>
    <row r="163" spans="1:20" x14ac:dyDescent="0.3">
      <c r="A163" s="14">
        <v>162</v>
      </c>
      <c r="B163" s="4">
        <v>44358</v>
      </c>
      <c r="C163" s="1" t="s">
        <v>533</v>
      </c>
      <c r="D163" s="1" t="s">
        <v>82</v>
      </c>
      <c r="E163" s="1" t="s">
        <v>45</v>
      </c>
      <c r="F163" s="2">
        <v>2</v>
      </c>
      <c r="G163" s="5">
        <v>190</v>
      </c>
      <c r="H163" s="24">
        <f t="shared" si="10"/>
        <v>380</v>
      </c>
      <c r="I163" s="7">
        <v>0.05</v>
      </c>
      <c r="J163" s="5">
        <f t="shared" si="11"/>
        <v>19</v>
      </c>
      <c r="K163" s="5">
        <f t="shared" si="12"/>
        <v>361</v>
      </c>
      <c r="L163" s="5">
        <v>110</v>
      </c>
      <c r="M163" s="5">
        <f t="shared" si="13"/>
        <v>141</v>
      </c>
      <c r="N163" s="7">
        <f t="shared" si="14"/>
        <v>0.39058171745152354</v>
      </c>
      <c r="O163" s="1" t="s">
        <v>54</v>
      </c>
      <c r="P163" s="1" t="s">
        <v>31</v>
      </c>
      <c r="Q163" s="1" t="s">
        <v>24</v>
      </c>
      <c r="R163" s="1" t="s">
        <v>66</v>
      </c>
      <c r="S163" s="1" t="s">
        <v>182</v>
      </c>
      <c r="T163" s="15" t="s">
        <v>61</v>
      </c>
    </row>
    <row r="164" spans="1:20" x14ac:dyDescent="0.3">
      <c r="A164" s="14">
        <v>163</v>
      </c>
      <c r="B164" s="4">
        <v>44359</v>
      </c>
      <c r="C164" s="1" t="s">
        <v>530</v>
      </c>
      <c r="D164" s="1" t="s">
        <v>20</v>
      </c>
      <c r="E164" s="1" t="s">
        <v>21</v>
      </c>
      <c r="F164" s="2">
        <v>2</v>
      </c>
      <c r="G164" s="5">
        <v>210</v>
      </c>
      <c r="H164" s="24">
        <f t="shared" si="10"/>
        <v>420</v>
      </c>
      <c r="I164" s="7">
        <v>0</v>
      </c>
      <c r="J164" s="5">
        <f t="shared" si="11"/>
        <v>0</v>
      </c>
      <c r="K164" s="5">
        <f t="shared" si="12"/>
        <v>420</v>
      </c>
      <c r="L164" s="5">
        <v>150</v>
      </c>
      <c r="M164" s="5">
        <f t="shared" si="13"/>
        <v>120</v>
      </c>
      <c r="N164" s="7">
        <f t="shared" si="14"/>
        <v>0.2857142857142857</v>
      </c>
      <c r="O164" s="1" t="s">
        <v>41</v>
      </c>
      <c r="P164" s="1" t="s">
        <v>31</v>
      </c>
      <c r="Q164" s="1" t="s">
        <v>24</v>
      </c>
      <c r="R164" s="1" t="s">
        <v>46</v>
      </c>
      <c r="S164" s="1" t="s">
        <v>89</v>
      </c>
      <c r="T164" s="15" t="s">
        <v>53</v>
      </c>
    </row>
    <row r="165" spans="1:20" x14ac:dyDescent="0.3">
      <c r="A165" s="14">
        <v>164</v>
      </c>
      <c r="B165" s="4">
        <v>44360</v>
      </c>
      <c r="C165" s="1" t="s">
        <v>529</v>
      </c>
      <c r="D165" s="1" t="s">
        <v>28</v>
      </c>
      <c r="E165" s="1" t="s">
        <v>29</v>
      </c>
      <c r="F165" s="2">
        <v>7</v>
      </c>
      <c r="G165" s="5">
        <v>2100</v>
      </c>
      <c r="H165" s="24">
        <f t="shared" si="10"/>
        <v>14700</v>
      </c>
      <c r="I165" s="7">
        <v>0.05</v>
      </c>
      <c r="J165" s="5">
        <f t="shared" si="11"/>
        <v>735</v>
      </c>
      <c r="K165" s="5">
        <f t="shared" si="12"/>
        <v>13965</v>
      </c>
      <c r="L165" s="5">
        <v>1380</v>
      </c>
      <c r="M165" s="5">
        <f t="shared" si="13"/>
        <v>4305</v>
      </c>
      <c r="N165" s="7">
        <f t="shared" si="14"/>
        <v>0.30827067669172931</v>
      </c>
      <c r="O165" s="1" t="s">
        <v>54</v>
      </c>
      <c r="P165" s="1" t="s">
        <v>31</v>
      </c>
      <c r="Q165" s="1" t="s">
        <v>48</v>
      </c>
      <c r="R165" s="1" t="s">
        <v>38</v>
      </c>
      <c r="S165" s="1" t="s">
        <v>168</v>
      </c>
      <c r="T165" s="15" t="s">
        <v>35</v>
      </c>
    </row>
    <row r="166" spans="1:20" x14ac:dyDescent="0.3">
      <c r="A166" s="14">
        <v>165</v>
      </c>
      <c r="B166" s="4">
        <v>44361</v>
      </c>
      <c r="C166" s="1" t="s">
        <v>534</v>
      </c>
      <c r="D166" s="1" t="s">
        <v>20</v>
      </c>
      <c r="E166" s="1" t="s">
        <v>36</v>
      </c>
      <c r="F166" s="2">
        <v>6</v>
      </c>
      <c r="G166" s="5">
        <v>1200</v>
      </c>
      <c r="H166" s="24">
        <f t="shared" si="10"/>
        <v>7200</v>
      </c>
      <c r="I166" s="7">
        <v>0.15</v>
      </c>
      <c r="J166" s="5">
        <f t="shared" si="11"/>
        <v>1080</v>
      </c>
      <c r="K166" s="5">
        <f t="shared" si="12"/>
        <v>6120</v>
      </c>
      <c r="L166" s="5">
        <v>860</v>
      </c>
      <c r="M166" s="5">
        <f t="shared" si="13"/>
        <v>960</v>
      </c>
      <c r="N166" s="7">
        <f t="shared" si="14"/>
        <v>0.15686274509803921</v>
      </c>
      <c r="O166" s="1" t="s">
        <v>30</v>
      </c>
      <c r="P166" s="1" t="s">
        <v>23</v>
      </c>
      <c r="Q166" s="1" t="s">
        <v>37</v>
      </c>
      <c r="R166" s="1" t="s">
        <v>46</v>
      </c>
      <c r="S166" s="1" t="s">
        <v>183</v>
      </c>
      <c r="T166" s="15" t="s">
        <v>35</v>
      </c>
    </row>
    <row r="167" spans="1:20" x14ac:dyDescent="0.3">
      <c r="A167" s="14">
        <v>166</v>
      </c>
      <c r="B167" s="4">
        <v>44362</v>
      </c>
      <c r="C167" s="1" t="s">
        <v>531</v>
      </c>
      <c r="D167" s="1" t="s">
        <v>28</v>
      </c>
      <c r="E167" s="1" t="s">
        <v>40</v>
      </c>
      <c r="F167" s="2">
        <v>5</v>
      </c>
      <c r="G167" s="5">
        <v>1500</v>
      </c>
      <c r="H167" s="24">
        <f t="shared" si="10"/>
        <v>7500</v>
      </c>
      <c r="I167" s="7">
        <v>0.05</v>
      </c>
      <c r="J167" s="5">
        <f t="shared" si="11"/>
        <v>375</v>
      </c>
      <c r="K167" s="5">
        <f t="shared" si="12"/>
        <v>7125</v>
      </c>
      <c r="L167" s="5">
        <v>1120</v>
      </c>
      <c r="M167" s="5">
        <f t="shared" si="13"/>
        <v>1525</v>
      </c>
      <c r="N167" s="7">
        <f t="shared" si="14"/>
        <v>0.21403508771929824</v>
      </c>
      <c r="O167" s="1" t="s">
        <v>30</v>
      </c>
      <c r="P167" s="1" t="s">
        <v>31</v>
      </c>
      <c r="Q167" s="1" t="s">
        <v>24</v>
      </c>
      <c r="R167" s="1" t="s">
        <v>46</v>
      </c>
      <c r="S167" s="1" t="s">
        <v>184</v>
      </c>
      <c r="T167" s="15" t="s">
        <v>53</v>
      </c>
    </row>
    <row r="168" spans="1:20" x14ac:dyDescent="0.3">
      <c r="A168" s="14">
        <v>167</v>
      </c>
      <c r="B168" s="4">
        <v>44363</v>
      </c>
      <c r="C168" s="1" t="s">
        <v>532</v>
      </c>
      <c r="D168" s="1" t="s">
        <v>20</v>
      </c>
      <c r="E168" s="1" t="s">
        <v>43</v>
      </c>
      <c r="F168" s="2">
        <v>4</v>
      </c>
      <c r="G168" s="5">
        <v>300</v>
      </c>
      <c r="H168" s="24">
        <f t="shared" si="10"/>
        <v>1200</v>
      </c>
      <c r="I168" s="7">
        <v>0.02</v>
      </c>
      <c r="J168" s="5">
        <f t="shared" si="11"/>
        <v>24</v>
      </c>
      <c r="K168" s="5">
        <f t="shared" si="12"/>
        <v>1176</v>
      </c>
      <c r="L168" s="5">
        <v>240</v>
      </c>
      <c r="M168" s="5">
        <f t="shared" si="13"/>
        <v>216</v>
      </c>
      <c r="N168" s="7">
        <f t="shared" si="14"/>
        <v>0.18367346938775511</v>
      </c>
      <c r="O168" s="1" t="s">
        <v>59</v>
      </c>
      <c r="P168" s="1" t="s">
        <v>31</v>
      </c>
      <c r="Q168" s="1" t="s">
        <v>32</v>
      </c>
      <c r="R168" s="1" t="s">
        <v>38</v>
      </c>
      <c r="S168" s="1" t="s">
        <v>185</v>
      </c>
      <c r="T168" s="15" t="s">
        <v>27</v>
      </c>
    </row>
    <row r="169" spans="1:20" x14ac:dyDescent="0.3">
      <c r="A169" s="14">
        <v>168</v>
      </c>
      <c r="B169" s="4">
        <v>44364</v>
      </c>
      <c r="C169" s="1" t="s">
        <v>533</v>
      </c>
      <c r="D169" s="1" t="s">
        <v>20</v>
      </c>
      <c r="E169" s="1" t="s">
        <v>45</v>
      </c>
      <c r="F169" s="2">
        <v>3</v>
      </c>
      <c r="G169" s="5">
        <v>190</v>
      </c>
      <c r="H169" s="24">
        <f t="shared" si="10"/>
        <v>570</v>
      </c>
      <c r="I169" s="7">
        <v>0</v>
      </c>
      <c r="J169" s="5">
        <f t="shared" si="11"/>
        <v>0</v>
      </c>
      <c r="K169" s="5">
        <f t="shared" si="12"/>
        <v>570</v>
      </c>
      <c r="L169" s="5">
        <v>150</v>
      </c>
      <c r="M169" s="5">
        <f t="shared" si="13"/>
        <v>120</v>
      </c>
      <c r="N169" s="7">
        <f t="shared" si="14"/>
        <v>0.21052631578947367</v>
      </c>
      <c r="O169" s="1" t="s">
        <v>30</v>
      </c>
      <c r="P169" s="1" t="s">
        <v>31</v>
      </c>
      <c r="Q169" s="1" t="s">
        <v>32</v>
      </c>
      <c r="R169" s="1" t="s">
        <v>25</v>
      </c>
      <c r="S169" s="1" t="s">
        <v>141</v>
      </c>
      <c r="T169" s="15" t="s">
        <v>27</v>
      </c>
    </row>
    <row r="170" spans="1:20" x14ac:dyDescent="0.3">
      <c r="A170" s="14">
        <v>169</v>
      </c>
      <c r="B170" s="4">
        <v>44365</v>
      </c>
      <c r="C170" s="1" t="s">
        <v>530</v>
      </c>
      <c r="D170" s="1" t="s">
        <v>20</v>
      </c>
      <c r="E170" s="1" t="s">
        <v>21</v>
      </c>
      <c r="F170" s="2">
        <v>2</v>
      </c>
      <c r="G170" s="5">
        <v>210</v>
      </c>
      <c r="H170" s="24">
        <f t="shared" si="10"/>
        <v>420</v>
      </c>
      <c r="I170" s="7">
        <v>0.02</v>
      </c>
      <c r="J170" s="5">
        <f t="shared" si="11"/>
        <v>8.4</v>
      </c>
      <c r="K170" s="5">
        <f t="shared" si="12"/>
        <v>411.6</v>
      </c>
      <c r="L170" s="5">
        <v>160</v>
      </c>
      <c r="M170" s="5">
        <f t="shared" si="13"/>
        <v>91.600000000000023</v>
      </c>
      <c r="N170" s="7">
        <f t="shared" si="14"/>
        <v>0.22254616132167157</v>
      </c>
      <c r="O170" s="1" t="s">
        <v>41</v>
      </c>
      <c r="P170" s="1" t="s">
        <v>31</v>
      </c>
      <c r="Q170" s="1" t="s">
        <v>37</v>
      </c>
      <c r="R170" s="1" t="s">
        <v>63</v>
      </c>
      <c r="S170" s="1" t="s">
        <v>137</v>
      </c>
      <c r="T170" s="15" t="s">
        <v>35</v>
      </c>
    </row>
    <row r="171" spans="1:20" x14ac:dyDescent="0.3">
      <c r="A171" s="14">
        <v>170</v>
      </c>
      <c r="B171" s="4">
        <v>44366</v>
      </c>
      <c r="C171" s="1" t="s">
        <v>529</v>
      </c>
      <c r="D171" s="1" t="s">
        <v>28</v>
      </c>
      <c r="E171" s="1" t="s">
        <v>36</v>
      </c>
      <c r="F171" s="2">
        <v>7</v>
      </c>
      <c r="G171" s="5">
        <v>2100</v>
      </c>
      <c r="H171" s="24">
        <f t="shared" si="10"/>
        <v>14700</v>
      </c>
      <c r="I171" s="7">
        <v>0</v>
      </c>
      <c r="J171" s="5">
        <f t="shared" si="11"/>
        <v>0</v>
      </c>
      <c r="K171" s="5">
        <f t="shared" si="12"/>
        <v>14700</v>
      </c>
      <c r="L171" s="5">
        <v>1280</v>
      </c>
      <c r="M171" s="5">
        <f t="shared" si="13"/>
        <v>5740</v>
      </c>
      <c r="N171" s="7">
        <f t="shared" si="14"/>
        <v>0.39047619047619048</v>
      </c>
      <c r="O171" s="1" t="s">
        <v>22</v>
      </c>
      <c r="P171" s="1" t="s">
        <v>31</v>
      </c>
      <c r="Q171" s="1" t="s">
        <v>48</v>
      </c>
      <c r="R171" s="1" t="s">
        <v>49</v>
      </c>
      <c r="S171" s="1" t="s">
        <v>186</v>
      </c>
      <c r="T171" s="15" t="s">
        <v>53</v>
      </c>
    </row>
    <row r="172" spans="1:20" x14ac:dyDescent="0.3">
      <c r="A172" s="14">
        <v>171</v>
      </c>
      <c r="B172" s="4">
        <v>44367</v>
      </c>
      <c r="C172" s="1" t="s">
        <v>534</v>
      </c>
      <c r="D172" s="1" t="s">
        <v>28</v>
      </c>
      <c r="E172" s="1" t="s">
        <v>40</v>
      </c>
      <c r="F172" s="2">
        <v>6</v>
      </c>
      <c r="G172" s="5">
        <v>1200</v>
      </c>
      <c r="H172" s="24">
        <f t="shared" si="10"/>
        <v>7200</v>
      </c>
      <c r="I172" s="7">
        <v>0.05</v>
      </c>
      <c r="J172" s="5">
        <f t="shared" si="11"/>
        <v>360</v>
      </c>
      <c r="K172" s="5">
        <f t="shared" si="12"/>
        <v>6840</v>
      </c>
      <c r="L172" s="5">
        <v>880</v>
      </c>
      <c r="M172" s="5">
        <f t="shared" si="13"/>
        <v>1560</v>
      </c>
      <c r="N172" s="7">
        <f t="shared" si="14"/>
        <v>0.22807017543859648</v>
      </c>
      <c r="O172" s="1" t="s">
        <v>59</v>
      </c>
      <c r="P172" s="1" t="s">
        <v>31</v>
      </c>
      <c r="Q172" s="1" t="s">
        <v>37</v>
      </c>
      <c r="R172" s="1" t="s">
        <v>66</v>
      </c>
      <c r="S172" s="1" t="s">
        <v>187</v>
      </c>
      <c r="T172" s="15" t="s">
        <v>35</v>
      </c>
    </row>
    <row r="173" spans="1:20" x14ac:dyDescent="0.3">
      <c r="A173" s="14">
        <v>172</v>
      </c>
      <c r="B173" s="4">
        <v>44368</v>
      </c>
      <c r="C173" s="1" t="s">
        <v>531</v>
      </c>
      <c r="D173" s="1" t="s">
        <v>20</v>
      </c>
      <c r="E173" s="1" t="s">
        <v>43</v>
      </c>
      <c r="F173" s="2">
        <v>5</v>
      </c>
      <c r="G173" s="5">
        <v>300</v>
      </c>
      <c r="H173" s="24">
        <f t="shared" si="10"/>
        <v>1500</v>
      </c>
      <c r="I173" s="7">
        <v>0.05</v>
      </c>
      <c r="J173" s="5">
        <f t="shared" si="11"/>
        <v>75</v>
      </c>
      <c r="K173" s="5">
        <f t="shared" si="12"/>
        <v>1425</v>
      </c>
      <c r="L173" s="5">
        <v>220</v>
      </c>
      <c r="M173" s="5">
        <f t="shared" si="13"/>
        <v>325</v>
      </c>
      <c r="N173" s="7">
        <f t="shared" si="14"/>
        <v>0.22807017543859648</v>
      </c>
      <c r="O173" s="1" t="s">
        <v>22</v>
      </c>
      <c r="P173" s="1" t="s">
        <v>31</v>
      </c>
      <c r="Q173" s="1" t="s">
        <v>37</v>
      </c>
      <c r="R173" s="1" t="s">
        <v>25</v>
      </c>
      <c r="S173" s="1" t="s">
        <v>156</v>
      </c>
      <c r="T173" s="15" t="s">
        <v>35</v>
      </c>
    </row>
    <row r="174" spans="1:20" x14ac:dyDescent="0.3">
      <c r="A174" s="14">
        <v>173</v>
      </c>
      <c r="B174" s="4">
        <v>44369</v>
      </c>
      <c r="C174" s="1" t="s">
        <v>532</v>
      </c>
      <c r="D174" s="1" t="s">
        <v>20</v>
      </c>
      <c r="E174" s="1" t="s">
        <v>45</v>
      </c>
      <c r="F174" s="2">
        <v>4</v>
      </c>
      <c r="G174" s="5">
        <v>200</v>
      </c>
      <c r="H174" s="24">
        <f t="shared" si="10"/>
        <v>800</v>
      </c>
      <c r="I174" s="7">
        <v>0.05</v>
      </c>
      <c r="J174" s="5">
        <f t="shared" si="11"/>
        <v>40</v>
      </c>
      <c r="K174" s="5">
        <f t="shared" si="12"/>
        <v>760</v>
      </c>
      <c r="L174" s="5">
        <v>120</v>
      </c>
      <c r="M174" s="5">
        <f t="shared" si="13"/>
        <v>280</v>
      </c>
      <c r="N174" s="7">
        <f t="shared" si="14"/>
        <v>0.36842105263157893</v>
      </c>
      <c r="O174" s="1" t="s">
        <v>41</v>
      </c>
      <c r="P174" s="1" t="s">
        <v>76</v>
      </c>
      <c r="Q174" s="1" t="s">
        <v>37</v>
      </c>
      <c r="R174" s="1" t="s">
        <v>49</v>
      </c>
      <c r="S174" s="1" t="s">
        <v>188</v>
      </c>
      <c r="T174" s="15" t="s">
        <v>27</v>
      </c>
    </row>
    <row r="175" spans="1:20" x14ac:dyDescent="0.3">
      <c r="A175" s="14">
        <v>174</v>
      </c>
      <c r="B175" s="4">
        <v>44370</v>
      </c>
      <c r="C175" s="1" t="s">
        <v>533</v>
      </c>
      <c r="D175" s="1" t="s">
        <v>28</v>
      </c>
      <c r="E175" s="1" t="s">
        <v>21</v>
      </c>
      <c r="F175" s="2">
        <v>3</v>
      </c>
      <c r="G175" s="5">
        <v>190</v>
      </c>
      <c r="H175" s="24">
        <f t="shared" si="10"/>
        <v>570</v>
      </c>
      <c r="I175" s="7">
        <v>0</v>
      </c>
      <c r="J175" s="5">
        <f t="shared" si="11"/>
        <v>0</v>
      </c>
      <c r="K175" s="5">
        <f t="shared" si="12"/>
        <v>570</v>
      </c>
      <c r="L175" s="5">
        <v>130</v>
      </c>
      <c r="M175" s="5">
        <f t="shared" si="13"/>
        <v>180</v>
      </c>
      <c r="N175" s="7">
        <f t="shared" si="14"/>
        <v>0.31578947368421051</v>
      </c>
      <c r="O175" s="1" t="s">
        <v>54</v>
      </c>
      <c r="P175" s="1" t="s">
        <v>31</v>
      </c>
      <c r="Q175" s="1" t="s">
        <v>37</v>
      </c>
      <c r="R175" s="1" t="s">
        <v>66</v>
      </c>
      <c r="S175" s="1" t="s">
        <v>70</v>
      </c>
      <c r="T175" s="15" t="s">
        <v>61</v>
      </c>
    </row>
    <row r="176" spans="1:20" x14ac:dyDescent="0.3">
      <c r="A176" s="14">
        <v>175</v>
      </c>
      <c r="B176" s="4">
        <v>44371</v>
      </c>
      <c r="C176" s="1" t="s">
        <v>533</v>
      </c>
      <c r="D176" s="1" t="s">
        <v>20</v>
      </c>
      <c r="E176" s="1" t="s">
        <v>29</v>
      </c>
      <c r="F176" s="2">
        <v>2</v>
      </c>
      <c r="G176" s="5">
        <v>2100</v>
      </c>
      <c r="H176" s="24">
        <f t="shared" si="10"/>
        <v>4200</v>
      </c>
      <c r="I176" s="7">
        <v>0.1</v>
      </c>
      <c r="J176" s="5">
        <f t="shared" si="11"/>
        <v>420</v>
      </c>
      <c r="K176" s="5">
        <f t="shared" si="12"/>
        <v>3780</v>
      </c>
      <c r="L176" s="5">
        <v>1680</v>
      </c>
      <c r="M176" s="5">
        <f t="shared" si="13"/>
        <v>420</v>
      </c>
      <c r="N176" s="7">
        <f t="shared" si="14"/>
        <v>0.1111111111111111</v>
      </c>
      <c r="O176" s="1" t="s">
        <v>54</v>
      </c>
      <c r="P176" s="1" t="s">
        <v>31</v>
      </c>
      <c r="Q176" s="1" t="s">
        <v>37</v>
      </c>
      <c r="R176" s="1" t="s">
        <v>33</v>
      </c>
      <c r="S176" s="1" t="s">
        <v>189</v>
      </c>
      <c r="T176" s="15" t="s">
        <v>27</v>
      </c>
    </row>
    <row r="177" spans="1:20" x14ac:dyDescent="0.3">
      <c r="A177" s="14">
        <v>176</v>
      </c>
      <c r="B177" s="4">
        <v>44372</v>
      </c>
      <c r="C177" s="1" t="s">
        <v>530</v>
      </c>
      <c r="D177" s="1" t="s">
        <v>20</v>
      </c>
      <c r="E177" s="1" t="s">
        <v>21</v>
      </c>
      <c r="F177" s="2">
        <v>7</v>
      </c>
      <c r="G177" s="5">
        <v>210</v>
      </c>
      <c r="H177" s="24">
        <f t="shared" si="10"/>
        <v>1470</v>
      </c>
      <c r="I177" s="7">
        <v>0.1</v>
      </c>
      <c r="J177" s="5">
        <f t="shared" si="11"/>
        <v>147</v>
      </c>
      <c r="K177" s="5">
        <f t="shared" si="12"/>
        <v>1323</v>
      </c>
      <c r="L177" s="5">
        <v>140</v>
      </c>
      <c r="M177" s="5">
        <f t="shared" si="13"/>
        <v>343</v>
      </c>
      <c r="N177" s="7">
        <f t="shared" si="14"/>
        <v>0.25925925925925924</v>
      </c>
      <c r="O177" s="1" t="s">
        <v>22</v>
      </c>
      <c r="P177" s="1" t="s">
        <v>31</v>
      </c>
      <c r="Q177" s="1" t="s">
        <v>32</v>
      </c>
      <c r="R177" s="1" t="s">
        <v>25</v>
      </c>
      <c r="S177" s="1" t="s">
        <v>190</v>
      </c>
      <c r="T177" s="15" t="s">
        <v>27</v>
      </c>
    </row>
    <row r="178" spans="1:20" x14ac:dyDescent="0.3">
      <c r="A178" s="14">
        <v>177</v>
      </c>
      <c r="B178" s="4">
        <v>44373</v>
      </c>
      <c r="C178" s="1" t="s">
        <v>529</v>
      </c>
      <c r="D178" s="1" t="s">
        <v>20</v>
      </c>
      <c r="E178" s="1" t="s">
        <v>21</v>
      </c>
      <c r="F178" s="2">
        <v>3</v>
      </c>
      <c r="G178" s="5">
        <v>190</v>
      </c>
      <c r="H178" s="24">
        <f t="shared" si="10"/>
        <v>570</v>
      </c>
      <c r="I178" s="7">
        <v>0.05</v>
      </c>
      <c r="J178" s="5">
        <f t="shared" si="11"/>
        <v>28.5</v>
      </c>
      <c r="K178" s="5">
        <f t="shared" si="12"/>
        <v>541.5</v>
      </c>
      <c r="L178" s="5">
        <v>150</v>
      </c>
      <c r="M178" s="5">
        <f t="shared" si="13"/>
        <v>91.5</v>
      </c>
      <c r="N178" s="7">
        <f t="shared" si="14"/>
        <v>0.16897506925207756</v>
      </c>
      <c r="O178" s="1" t="s">
        <v>59</v>
      </c>
      <c r="P178" s="1" t="s">
        <v>31</v>
      </c>
      <c r="Q178" s="1" t="s">
        <v>37</v>
      </c>
      <c r="R178" s="1" t="s">
        <v>50</v>
      </c>
      <c r="S178" s="1" t="s">
        <v>154</v>
      </c>
      <c r="T178" s="15" t="s">
        <v>27</v>
      </c>
    </row>
    <row r="179" spans="1:20" x14ac:dyDescent="0.3">
      <c r="A179" s="14">
        <v>178</v>
      </c>
      <c r="B179" s="4">
        <v>44374</v>
      </c>
      <c r="C179" s="1" t="s">
        <v>534</v>
      </c>
      <c r="D179" s="1" t="s">
        <v>20</v>
      </c>
      <c r="E179" s="1" t="s">
        <v>21</v>
      </c>
      <c r="F179" s="2">
        <v>3</v>
      </c>
      <c r="G179" s="5">
        <v>190</v>
      </c>
      <c r="H179" s="24">
        <f t="shared" si="10"/>
        <v>570</v>
      </c>
      <c r="I179" s="7">
        <v>0.15</v>
      </c>
      <c r="J179" s="5">
        <f t="shared" si="11"/>
        <v>85.5</v>
      </c>
      <c r="K179" s="5">
        <f t="shared" si="12"/>
        <v>484.5</v>
      </c>
      <c r="L179" s="5">
        <v>150</v>
      </c>
      <c r="M179" s="5">
        <f t="shared" si="13"/>
        <v>34.5</v>
      </c>
      <c r="N179" s="7">
        <f t="shared" si="14"/>
        <v>7.1207430340557279E-2</v>
      </c>
      <c r="O179" s="1" t="s">
        <v>59</v>
      </c>
      <c r="P179" s="1" t="s">
        <v>31</v>
      </c>
      <c r="Q179" s="1" t="s">
        <v>24</v>
      </c>
      <c r="R179" s="1" t="s">
        <v>46</v>
      </c>
      <c r="S179" s="1" t="s">
        <v>93</v>
      </c>
      <c r="T179" s="15" t="s">
        <v>53</v>
      </c>
    </row>
    <row r="180" spans="1:20" x14ac:dyDescent="0.3">
      <c r="A180" s="14">
        <v>179</v>
      </c>
      <c r="B180" s="4">
        <v>44375</v>
      </c>
      <c r="C180" s="1" t="s">
        <v>531</v>
      </c>
      <c r="D180" s="1" t="s">
        <v>20</v>
      </c>
      <c r="E180" s="1" t="s">
        <v>21</v>
      </c>
      <c r="F180" s="2">
        <v>3</v>
      </c>
      <c r="G180" s="5">
        <v>190</v>
      </c>
      <c r="H180" s="24">
        <f t="shared" si="10"/>
        <v>570</v>
      </c>
      <c r="I180" s="7">
        <v>0</v>
      </c>
      <c r="J180" s="5">
        <f t="shared" si="11"/>
        <v>0</v>
      </c>
      <c r="K180" s="5">
        <f t="shared" si="12"/>
        <v>570</v>
      </c>
      <c r="L180" s="5">
        <v>120</v>
      </c>
      <c r="M180" s="5">
        <f t="shared" si="13"/>
        <v>210</v>
      </c>
      <c r="N180" s="7">
        <f t="shared" si="14"/>
        <v>0.36842105263157893</v>
      </c>
      <c r="O180" s="1" t="s">
        <v>22</v>
      </c>
      <c r="P180" s="1" t="s">
        <v>31</v>
      </c>
      <c r="Q180" s="1" t="s">
        <v>24</v>
      </c>
      <c r="R180" s="1" t="s">
        <v>46</v>
      </c>
      <c r="S180" s="1" t="s">
        <v>182</v>
      </c>
      <c r="T180" s="15" t="s">
        <v>61</v>
      </c>
    </row>
    <row r="181" spans="1:20" x14ac:dyDescent="0.3">
      <c r="A181" s="14">
        <v>180</v>
      </c>
      <c r="B181" s="4">
        <v>44376</v>
      </c>
      <c r="C181" s="1" t="s">
        <v>532</v>
      </c>
      <c r="D181" s="1" t="s">
        <v>20</v>
      </c>
      <c r="E181" s="1" t="s">
        <v>21</v>
      </c>
      <c r="F181" s="2">
        <v>3</v>
      </c>
      <c r="G181" s="5">
        <v>190</v>
      </c>
      <c r="H181" s="24">
        <f t="shared" si="10"/>
        <v>570</v>
      </c>
      <c r="I181" s="7">
        <v>0.1</v>
      </c>
      <c r="J181" s="5">
        <f t="shared" si="11"/>
        <v>57</v>
      </c>
      <c r="K181" s="5">
        <f t="shared" si="12"/>
        <v>513</v>
      </c>
      <c r="L181" s="5">
        <v>110</v>
      </c>
      <c r="M181" s="5">
        <f t="shared" si="13"/>
        <v>183</v>
      </c>
      <c r="N181" s="7">
        <f t="shared" si="14"/>
        <v>0.35672514619883039</v>
      </c>
      <c r="O181" s="1" t="s">
        <v>54</v>
      </c>
      <c r="P181" s="1" t="s">
        <v>31</v>
      </c>
      <c r="Q181" s="1" t="s">
        <v>48</v>
      </c>
      <c r="R181" s="1" t="s">
        <v>50</v>
      </c>
      <c r="S181" s="1" t="s">
        <v>109</v>
      </c>
      <c r="T181" s="15" t="s">
        <v>35</v>
      </c>
    </row>
    <row r="182" spans="1:20" x14ac:dyDescent="0.3">
      <c r="A182" s="14">
        <v>181</v>
      </c>
      <c r="B182" s="4">
        <v>44377</v>
      </c>
      <c r="C182" s="1" t="s">
        <v>533</v>
      </c>
      <c r="D182" s="1" t="s">
        <v>20</v>
      </c>
      <c r="E182" s="1" t="s">
        <v>21</v>
      </c>
      <c r="F182" s="2">
        <v>3</v>
      </c>
      <c r="G182" s="5">
        <v>190</v>
      </c>
      <c r="H182" s="24">
        <f t="shared" si="10"/>
        <v>570</v>
      </c>
      <c r="I182" s="7">
        <v>0</v>
      </c>
      <c r="J182" s="5">
        <f t="shared" si="11"/>
        <v>0</v>
      </c>
      <c r="K182" s="5">
        <f t="shared" si="12"/>
        <v>570</v>
      </c>
      <c r="L182" s="5">
        <v>150</v>
      </c>
      <c r="M182" s="5">
        <f t="shared" si="13"/>
        <v>120</v>
      </c>
      <c r="N182" s="7">
        <f t="shared" si="14"/>
        <v>0.21052631578947367</v>
      </c>
      <c r="O182" s="1" t="s">
        <v>59</v>
      </c>
      <c r="P182" s="1" t="s">
        <v>31</v>
      </c>
      <c r="Q182" s="1" t="s">
        <v>24</v>
      </c>
      <c r="R182" s="1" t="s">
        <v>63</v>
      </c>
      <c r="S182" s="1" t="s">
        <v>121</v>
      </c>
      <c r="T182" s="15" t="s">
        <v>61</v>
      </c>
    </row>
    <row r="183" spans="1:20" x14ac:dyDescent="0.3">
      <c r="A183" s="14">
        <v>182</v>
      </c>
      <c r="B183" s="4">
        <v>44378</v>
      </c>
      <c r="C183" s="1" t="s">
        <v>530</v>
      </c>
      <c r="D183" s="1" t="s">
        <v>20</v>
      </c>
      <c r="E183" s="1" t="s">
        <v>21</v>
      </c>
      <c r="F183" s="2">
        <v>3</v>
      </c>
      <c r="G183" s="5">
        <v>190</v>
      </c>
      <c r="H183" s="24">
        <f t="shared" si="10"/>
        <v>570</v>
      </c>
      <c r="I183" s="7">
        <v>0.15</v>
      </c>
      <c r="J183" s="5">
        <f t="shared" si="11"/>
        <v>85.5</v>
      </c>
      <c r="K183" s="5">
        <f t="shared" si="12"/>
        <v>484.5</v>
      </c>
      <c r="L183" s="5">
        <v>130</v>
      </c>
      <c r="M183" s="5">
        <f t="shared" si="13"/>
        <v>94.5</v>
      </c>
      <c r="N183" s="7">
        <f t="shared" si="14"/>
        <v>0.19504643962848298</v>
      </c>
      <c r="O183" s="1" t="s">
        <v>59</v>
      </c>
      <c r="P183" s="1" t="s">
        <v>31</v>
      </c>
      <c r="Q183" s="1" t="s">
        <v>24</v>
      </c>
      <c r="R183" s="1" t="s">
        <v>63</v>
      </c>
      <c r="S183" s="1" t="s">
        <v>191</v>
      </c>
      <c r="T183" s="15" t="s">
        <v>35</v>
      </c>
    </row>
    <row r="184" spans="1:20" x14ac:dyDescent="0.3">
      <c r="A184" s="14">
        <v>183</v>
      </c>
      <c r="B184" s="4">
        <v>44379</v>
      </c>
      <c r="C184" s="1" t="s">
        <v>529</v>
      </c>
      <c r="D184" s="1" t="s">
        <v>28</v>
      </c>
      <c r="E184" s="1" t="s">
        <v>21</v>
      </c>
      <c r="F184" s="2">
        <v>3</v>
      </c>
      <c r="G184" s="5">
        <v>190</v>
      </c>
      <c r="H184" s="24">
        <f t="shared" si="10"/>
        <v>570</v>
      </c>
      <c r="I184" s="7">
        <v>0</v>
      </c>
      <c r="J184" s="5">
        <f t="shared" si="11"/>
        <v>0</v>
      </c>
      <c r="K184" s="5">
        <f t="shared" si="12"/>
        <v>570</v>
      </c>
      <c r="L184" s="5">
        <v>130</v>
      </c>
      <c r="M184" s="5">
        <f t="shared" si="13"/>
        <v>180</v>
      </c>
      <c r="N184" s="7">
        <f t="shared" si="14"/>
        <v>0.31578947368421051</v>
      </c>
      <c r="O184" s="1" t="s">
        <v>30</v>
      </c>
      <c r="P184" s="1" t="s">
        <v>31</v>
      </c>
      <c r="Q184" s="1" t="s">
        <v>37</v>
      </c>
      <c r="R184" s="1" t="s">
        <v>25</v>
      </c>
      <c r="S184" s="1" t="s">
        <v>162</v>
      </c>
      <c r="T184" s="15" t="s">
        <v>35</v>
      </c>
    </row>
    <row r="185" spans="1:20" x14ac:dyDescent="0.3">
      <c r="A185" s="14">
        <v>184</v>
      </c>
      <c r="B185" s="4">
        <v>44380</v>
      </c>
      <c r="C185" s="1" t="s">
        <v>534</v>
      </c>
      <c r="D185" s="1" t="s">
        <v>20</v>
      </c>
      <c r="E185" s="1" t="s">
        <v>36</v>
      </c>
      <c r="F185" s="2">
        <v>5</v>
      </c>
      <c r="G185" s="5">
        <v>1200</v>
      </c>
      <c r="H185" s="24">
        <f t="shared" si="10"/>
        <v>6000</v>
      </c>
      <c r="I185" s="7">
        <v>0.02</v>
      </c>
      <c r="J185" s="5">
        <f t="shared" si="11"/>
        <v>120</v>
      </c>
      <c r="K185" s="5">
        <f t="shared" si="12"/>
        <v>5880</v>
      </c>
      <c r="L185" s="5">
        <v>840</v>
      </c>
      <c r="M185" s="5">
        <f t="shared" si="13"/>
        <v>1680</v>
      </c>
      <c r="N185" s="7">
        <f t="shared" si="14"/>
        <v>0.2857142857142857</v>
      </c>
      <c r="O185" s="1" t="s">
        <v>22</v>
      </c>
      <c r="P185" s="1" t="s">
        <v>76</v>
      </c>
      <c r="Q185" s="1" t="s">
        <v>48</v>
      </c>
      <c r="R185" s="1" t="s">
        <v>25</v>
      </c>
      <c r="S185" s="1" t="s">
        <v>162</v>
      </c>
      <c r="T185" s="15" t="s">
        <v>27</v>
      </c>
    </row>
    <row r="186" spans="1:20" x14ac:dyDescent="0.3">
      <c r="A186" s="14">
        <v>185</v>
      </c>
      <c r="B186" s="4">
        <v>44381</v>
      </c>
      <c r="C186" s="1" t="s">
        <v>531</v>
      </c>
      <c r="D186" s="1" t="s">
        <v>28</v>
      </c>
      <c r="E186" s="1" t="s">
        <v>40</v>
      </c>
      <c r="F186" s="2">
        <v>4</v>
      </c>
      <c r="G186" s="5">
        <v>1500</v>
      </c>
      <c r="H186" s="24">
        <f t="shared" si="10"/>
        <v>6000</v>
      </c>
      <c r="I186" s="7">
        <v>0.05</v>
      </c>
      <c r="J186" s="5">
        <f t="shared" si="11"/>
        <v>300</v>
      </c>
      <c r="K186" s="5">
        <f t="shared" si="12"/>
        <v>5700</v>
      </c>
      <c r="L186" s="5">
        <v>1010</v>
      </c>
      <c r="M186" s="5">
        <f t="shared" si="13"/>
        <v>1660</v>
      </c>
      <c r="N186" s="7">
        <f t="shared" si="14"/>
        <v>0.29122807017543861</v>
      </c>
      <c r="O186" s="1" t="s">
        <v>41</v>
      </c>
      <c r="P186" s="1" t="s">
        <v>31</v>
      </c>
      <c r="Q186" s="1" t="s">
        <v>37</v>
      </c>
      <c r="R186" s="1" t="s">
        <v>49</v>
      </c>
      <c r="S186" s="1" t="s">
        <v>192</v>
      </c>
      <c r="T186" s="15" t="s">
        <v>35</v>
      </c>
    </row>
    <row r="187" spans="1:20" x14ac:dyDescent="0.3">
      <c r="A187" s="14">
        <v>186</v>
      </c>
      <c r="B187" s="4">
        <v>44382</v>
      </c>
      <c r="C187" s="1" t="s">
        <v>532</v>
      </c>
      <c r="D187" s="1" t="s">
        <v>20</v>
      </c>
      <c r="E187" s="1" t="s">
        <v>43</v>
      </c>
      <c r="F187" s="2">
        <v>3</v>
      </c>
      <c r="G187" s="5">
        <v>300</v>
      </c>
      <c r="H187" s="24">
        <f t="shared" si="10"/>
        <v>900</v>
      </c>
      <c r="I187" s="7">
        <v>0</v>
      </c>
      <c r="J187" s="5">
        <f t="shared" si="11"/>
        <v>0</v>
      </c>
      <c r="K187" s="5">
        <f t="shared" si="12"/>
        <v>900</v>
      </c>
      <c r="L187" s="5">
        <v>220</v>
      </c>
      <c r="M187" s="5">
        <f t="shared" si="13"/>
        <v>240</v>
      </c>
      <c r="N187" s="7">
        <f t="shared" si="14"/>
        <v>0.26666666666666666</v>
      </c>
      <c r="O187" s="1" t="s">
        <v>59</v>
      </c>
      <c r="P187" s="1" t="s">
        <v>31</v>
      </c>
      <c r="Q187" s="1" t="s">
        <v>48</v>
      </c>
      <c r="R187" s="1" t="s">
        <v>63</v>
      </c>
      <c r="S187" s="1" t="s">
        <v>193</v>
      </c>
      <c r="T187" s="15" t="s">
        <v>53</v>
      </c>
    </row>
    <row r="188" spans="1:20" x14ac:dyDescent="0.3">
      <c r="A188" s="14">
        <v>187</v>
      </c>
      <c r="B188" s="4">
        <v>44383</v>
      </c>
      <c r="C188" s="1" t="s">
        <v>533</v>
      </c>
      <c r="D188" s="1" t="s">
        <v>20</v>
      </c>
      <c r="E188" s="1" t="s">
        <v>45</v>
      </c>
      <c r="F188" s="2">
        <v>2</v>
      </c>
      <c r="G188" s="5">
        <v>190</v>
      </c>
      <c r="H188" s="24">
        <f t="shared" si="10"/>
        <v>380</v>
      </c>
      <c r="I188" s="7">
        <v>0.1</v>
      </c>
      <c r="J188" s="5">
        <f t="shared" si="11"/>
        <v>38</v>
      </c>
      <c r="K188" s="5">
        <f t="shared" si="12"/>
        <v>342</v>
      </c>
      <c r="L188" s="5">
        <v>150</v>
      </c>
      <c r="M188" s="5">
        <f t="shared" si="13"/>
        <v>42</v>
      </c>
      <c r="N188" s="7">
        <f t="shared" si="14"/>
        <v>0.12280701754385964</v>
      </c>
      <c r="O188" s="1" t="s">
        <v>30</v>
      </c>
      <c r="P188" s="1" t="s">
        <v>31</v>
      </c>
      <c r="Q188" s="1" t="s">
        <v>24</v>
      </c>
      <c r="R188" s="1" t="s">
        <v>46</v>
      </c>
      <c r="S188" s="1" t="s">
        <v>71</v>
      </c>
      <c r="T188" s="15" t="s">
        <v>61</v>
      </c>
    </row>
    <row r="189" spans="1:20" x14ac:dyDescent="0.3">
      <c r="A189" s="14">
        <v>188</v>
      </c>
      <c r="B189" s="4">
        <v>44384</v>
      </c>
      <c r="C189" s="1" t="s">
        <v>533</v>
      </c>
      <c r="D189" s="1" t="s">
        <v>20</v>
      </c>
      <c r="E189" s="1" t="s">
        <v>21</v>
      </c>
      <c r="F189" s="2">
        <v>2</v>
      </c>
      <c r="G189" s="5">
        <v>210</v>
      </c>
      <c r="H189" s="24">
        <f t="shared" si="10"/>
        <v>420</v>
      </c>
      <c r="I189" s="7">
        <v>0.15</v>
      </c>
      <c r="J189" s="5">
        <f t="shared" si="11"/>
        <v>63</v>
      </c>
      <c r="K189" s="5">
        <f t="shared" si="12"/>
        <v>357</v>
      </c>
      <c r="L189" s="5">
        <v>160</v>
      </c>
      <c r="M189" s="5">
        <f t="shared" si="13"/>
        <v>37</v>
      </c>
      <c r="N189" s="7">
        <f t="shared" si="14"/>
        <v>0.10364145658263306</v>
      </c>
      <c r="O189" s="1" t="s">
        <v>54</v>
      </c>
      <c r="P189" s="1" t="s">
        <v>31</v>
      </c>
      <c r="Q189" s="1" t="s">
        <v>32</v>
      </c>
      <c r="R189" s="1" t="s">
        <v>25</v>
      </c>
      <c r="S189" s="1" t="s">
        <v>194</v>
      </c>
      <c r="T189" s="15" t="s">
        <v>53</v>
      </c>
    </row>
    <row r="190" spans="1:20" x14ac:dyDescent="0.3">
      <c r="A190" s="14">
        <v>189</v>
      </c>
      <c r="B190" s="4">
        <v>44385</v>
      </c>
      <c r="C190" s="1" t="s">
        <v>530</v>
      </c>
      <c r="D190" s="1" t="s">
        <v>20</v>
      </c>
      <c r="E190" s="1" t="s">
        <v>29</v>
      </c>
      <c r="F190" s="2">
        <v>7</v>
      </c>
      <c r="G190" s="5">
        <v>2100</v>
      </c>
      <c r="H190" s="24">
        <f t="shared" si="10"/>
        <v>14700</v>
      </c>
      <c r="I190" s="7">
        <v>0.05</v>
      </c>
      <c r="J190" s="5">
        <f t="shared" si="11"/>
        <v>735</v>
      </c>
      <c r="K190" s="5">
        <f t="shared" si="12"/>
        <v>13965</v>
      </c>
      <c r="L190" s="5">
        <v>1500</v>
      </c>
      <c r="M190" s="5">
        <f t="shared" si="13"/>
        <v>3465</v>
      </c>
      <c r="N190" s="7">
        <f t="shared" si="14"/>
        <v>0.24812030075187969</v>
      </c>
      <c r="O190" s="1" t="s">
        <v>41</v>
      </c>
      <c r="P190" s="1" t="s">
        <v>23</v>
      </c>
      <c r="Q190" s="1" t="s">
        <v>32</v>
      </c>
      <c r="R190" s="1" t="s">
        <v>88</v>
      </c>
      <c r="S190" s="1" t="s">
        <v>181</v>
      </c>
      <c r="T190" s="15" t="s">
        <v>27</v>
      </c>
    </row>
    <row r="191" spans="1:20" x14ac:dyDescent="0.3">
      <c r="A191" s="14">
        <v>190</v>
      </c>
      <c r="B191" s="4">
        <v>44386</v>
      </c>
      <c r="C191" s="1" t="s">
        <v>530</v>
      </c>
      <c r="D191" s="1" t="s">
        <v>28</v>
      </c>
      <c r="E191" s="1" t="s">
        <v>36</v>
      </c>
      <c r="F191" s="2">
        <v>6</v>
      </c>
      <c r="G191" s="5">
        <v>1200</v>
      </c>
      <c r="H191" s="24">
        <f t="shared" si="10"/>
        <v>7200</v>
      </c>
      <c r="I191" s="7">
        <v>0</v>
      </c>
      <c r="J191" s="5">
        <f t="shared" si="11"/>
        <v>0</v>
      </c>
      <c r="K191" s="5">
        <f t="shared" si="12"/>
        <v>7200</v>
      </c>
      <c r="L191" s="5">
        <v>810</v>
      </c>
      <c r="M191" s="5">
        <f t="shared" si="13"/>
        <v>2340</v>
      </c>
      <c r="N191" s="7">
        <f t="shared" si="14"/>
        <v>0.32500000000000001</v>
      </c>
      <c r="O191" s="1" t="s">
        <v>59</v>
      </c>
      <c r="P191" s="1" t="s">
        <v>31</v>
      </c>
      <c r="Q191" s="1" t="s">
        <v>37</v>
      </c>
      <c r="R191" s="1" t="s">
        <v>38</v>
      </c>
      <c r="S191" s="1" t="s">
        <v>195</v>
      </c>
      <c r="T191" s="15" t="s">
        <v>27</v>
      </c>
    </row>
    <row r="192" spans="1:20" x14ac:dyDescent="0.3">
      <c r="A192" s="14">
        <v>191</v>
      </c>
      <c r="B192" s="4">
        <v>44387</v>
      </c>
      <c r="C192" s="1" t="s">
        <v>530</v>
      </c>
      <c r="D192" s="1" t="s">
        <v>80</v>
      </c>
      <c r="E192" s="1" t="s">
        <v>40</v>
      </c>
      <c r="F192" s="2">
        <v>5</v>
      </c>
      <c r="G192" s="5">
        <v>1500</v>
      </c>
      <c r="H192" s="24">
        <f t="shared" si="10"/>
        <v>7500</v>
      </c>
      <c r="I192" s="7">
        <v>0</v>
      </c>
      <c r="J192" s="5">
        <f t="shared" si="11"/>
        <v>0</v>
      </c>
      <c r="K192" s="5">
        <f t="shared" si="12"/>
        <v>7500</v>
      </c>
      <c r="L192" s="5">
        <v>1190</v>
      </c>
      <c r="M192" s="5">
        <f t="shared" si="13"/>
        <v>1550</v>
      </c>
      <c r="N192" s="7">
        <f t="shared" si="14"/>
        <v>0.20666666666666667</v>
      </c>
      <c r="O192" s="1" t="s">
        <v>41</v>
      </c>
      <c r="P192" s="1" t="s">
        <v>31</v>
      </c>
      <c r="Q192" s="1" t="s">
        <v>32</v>
      </c>
      <c r="R192" s="1" t="s">
        <v>63</v>
      </c>
      <c r="S192" s="1" t="s">
        <v>163</v>
      </c>
      <c r="T192" s="15" t="s">
        <v>27</v>
      </c>
    </row>
    <row r="193" spans="1:20" x14ac:dyDescent="0.3">
      <c r="A193" s="14">
        <v>192</v>
      </c>
      <c r="B193" s="4">
        <v>44388</v>
      </c>
      <c r="C193" s="1" t="s">
        <v>530</v>
      </c>
      <c r="D193" s="1" t="s">
        <v>82</v>
      </c>
      <c r="E193" s="1" t="s">
        <v>43</v>
      </c>
      <c r="F193" s="2">
        <v>4</v>
      </c>
      <c r="G193" s="5">
        <v>300</v>
      </c>
      <c r="H193" s="24">
        <f t="shared" si="10"/>
        <v>1200</v>
      </c>
      <c r="I193" s="7">
        <v>0</v>
      </c>
      <c r="J193" s="5">
        <f t="shared" si="11"/>
        <v>0</v>
      </c>
      <c r="K193" s="5">
        <f t="shared" si="12"/>
        <v>1200</v>
      </c>
      <c r="L193" s="5">
        <v>230</v>
      </c>
      <c r="M193" s="5">
        <f t="shared" si="13"/>
        <v>280</v>
      </c>
      <c r="N193" s="7">
        <f t="shared" si="14"/>
        <v>0.23333333333333334</v>
      </c>
      <c r="O193" s="1" t="s">
        <v>54</v>
      </c>
      <c r="P193" s="1" t="s">
        <v>31</v>
      </c>
      <c r="Q193" s="1" t="s">
        <v>37</v>
      </c>
      <c r="R193" s="1" t="s">
        <v>33</v>
      </c>
      <c r="S193" s="1" t="s">
        <v>190</v>
      </c>
      <c r="T193" s="15" t="s">
        <v>35</v>
      </c>
    </row>
    <row r="194" spans="1:20" x14ac:dyDescent="0.3">
      <c r="A194" s="14">
        <v>193</v>
      </c>
      <c r="B194" s="4">
        <v>44389</v>
      </c>
      <c r="C194" s="1" t="s">
        <v>530</v>
      </c>
      <c r="D194" s="1" t="s">
        <v>20</v>
      </c>
      <c r="E194" s="1" t="s">
        <v>45</v>
      </c>
      <c r="F194" s="2">
        <v>3</v>
      </c>
      <c r="G194" s="5">
        <v>190</v>
      </c>
      <c r="H194" s="24">
        <f t="shared" ref="H194:H257" si="15">F194*G194</f>
        <v>570</v>
      </c>
      <c r="I194" s="7">
        <v>0.02</v>
      </c>
      <c r="J194" s="5">
        <f t="shared" ref="J194:J257" si="16">H194*I194</f>
        <v>11.4</v>
      </c>
      <c r="K194" s="5">
        <f t="shared" ref="K194:K257" si="17">H194-J194</f>
        <v>558.6</v>
      </c>
      <c r="L194" s="5">
        <v>130</v>
      </c>
      <c r="M194" s="5">
        <f t="shared" ref="M194:M257" si="18">K194-(F194*L194)</f>
        <v>168.60000000000002</v>
      </c>
      <c r="N194" s="7">
        <f t="shared" ref="N194:N257" si="19">IFERROR(M194/K194,0)</f>
        <v>0.30182599355531692</v>
      </c>
      <c r="O194" s="1" t="s">
        <v>54</v>
      </c>
      <c r="P194" s="1" t="s">
        <v>31</v>
      </c>
      <c r="Q194" s="1" t="s">
        <v>32</v>
      </c>
      <c r="R194" s="1" t="s">
        <v>38</v>
      </c>
      <c r="S194" s="1" t="s">
        <v>86</v>
      </c>
      <c r="T194" s="15" t="s">
        <v>61</v>
      </c>
    </row>
    <row r="195" spans="1:20" x14ac:dyDescent="0.3">
      <c r="A195" s="14">
        <v>194</v>
      </c>
      <c r="B195" s="4">
        <v>44390</v>
      </c>
      <c r="C195" s="1" t="s">
        <v>530</v>
      </c>
      <c r="D195" s="1" t="s">
        <v>28</v>
      </c>
      <c r="E195" s="1" t="s">
        <v>21</v>
      </c>
      <c r="F195" s="2">
        <v>2</v>
      </c>
      <c r="G195" s="5">
        <v>210</v>
      </c>
      <c r="H195" s="24">
        <f t="shared" si="15"/>
        <v>420</v>
      </c>
      <c r="I195" s="7">
        <v>0.02</v>
      </c>
      <c r="J195" s="5">
        <f t="shared" si="16"/>
        <v>8.4</v>
      </c>
      <c r="K195" s="5">
        <f t="shared" si="17"/>
        <v>411.6</v>
      </c>
      <c r="L195" s="5">
        <v>150</v>
      </c>
      <c r="M195" s="5">
        <f t="shared" si="18"/>
        <v>111.60000000000002</v>
      </c>
      <c r="N195" s="7">
        <f t="shared" si="19"/>
        <v>0.2711370262390671</v>
      </c>
      <c r="O195" s="1" t="s">
        <v>22</v>
      </c>
      <c r="P195" s="1" t="s">
        <v>31</v>
      </c>
      <c r="Q195" s="1" t="s">
        <v>37</v>
      </c>
      <c r="R195" s="1" t="s">
        <v>66</v>
      </c>
      <c r="S195" s="1" t="s">
        <v>26</v>
      </c>
      <c r="T195" s="15" t="s">
        <v>53</v>
      </c>
    </row>
    <row r="196" spans="1:20" x14ac:dyDescent="0.3">
      <c r="A196" s="14">
        <v>195</v>
      </c>
      <c r="B196" s="4">
        <v>44391</v>
      </c>
      <c r="C196" s="1" t="s">
        <v>530</v>
      </c>
      <c r="D196" s="1" t="s">
        <v>80</v>
      </c>
      <c r="E196" s="1" t="s">
        <v>36</v>
      </c>
      <c r="F196" s="2">
        <v>7</v>
      </c>
      <c r="G196" s="5">
        <v>2100</v>
      </c>
      <c r="H196" s="24">
        <f t="shared" si="15"/>
        <v>14700</v>
      </c>
      <c r="I196" s="7">
        <v>0</v>
      </c>
      <c r="J196" s="5">
        <f t="shared" si="16"/>
        <v>0</v>
      </c>
      <c r="K196" s="5">
        <f t="shared" si="17"/>
        <v>14700</v>
      </c>
      <c r="L196" s="5">
        <v>1290</v>
      </c>
      <c r="M196" s="5">
        <f t="shared" si="18"/>
        <v>5670</v>
      </c>
      <c r="N196" s="7">
        <f t="shared" si="19"/>
        <v>0.38571428571428573</v>
      </c>
      <c r="O196" s="1" t="s">
        <v>59</v>
      </c>
      <c r="P196" s="1" t="s">
        <v>31</v>
      </c>
      <c r="Q196" s="1" t="s">
        <v>24</v>
      </c>
      <c r="R196" s="1" t="s">
        <v>46</v>
      </c>
      <c r="S196" s="1" t="s">
        <v>196</v>
      </c>
      <c r="T196" s="15" t="s">
        <v>27</v>
      </c>
    </row>
    <row r="197" spans="1:20" x14ac:dyDescent="0.3">
      <c r="A197" s="14">
        <v>196</v>
      </c>
      <c r="B197" s="4">
        <v>44392</v>
      </c>
      <c r="C197" s="1" t="s">
        <v>530</v>
      </c>
      <c r="D197" s="1" t="s">
        <v>82</v>
      </c>
      <c r="E197" s="1" t="s">
        <v>40</v>
      </c>
      <c r="F197" s="2">
        <v>6</v>
      </c>
      <c r="G197" s="5">
        <v>1200</v>
      </c>
      <c r="H197" s="24">
        <f t="shared" si="15"/>
        <v>7200</v>
      </c>
      <c r="I197" s="7">
        <v>0.02</v>
      </c>
      <c r="J197" s="5">
        <f t="shared" si="16"/>
        <v>144</v>
      </c>
      <c r="K197" s="5">
        <f t="shared" si="17"/>
        <v>7056</v>
      </c>
      <c r="L197" s="5">
        <v>900</v>
      </c>
      <c r="M197" s="5">
        <f t="shared" si="18"/>
        <v>1656</v>
      </c>
      <c r="N197" s="7">
        <f t="shared" si="19"/>
        <v>0.23469387755102042</v>
      </c>
      <c r="O197" s="1" t="s">
        <v>54</v>
      </c>
      <c r="P197" s="1" t="s">
        <v>31</v>
      </c>
      <c r="Q197" s="1" t="s">
        <v>37</v>
      </c>
      <c r="R197" s="1" t="s">
        <v>49</v>
      </c>
      <c r="S197" s="1" t="s">
        <v>197</v>
      </c>
      <c r="T197" s="15" t="s">
        <v>35</v>
      </c>
    </row>
    <row r="198" spans="1:20" x14ac:dyDescent="0.3">
      <c r="A198" s="14">
        <v>197</v>
      </c>
      <c r="B198" s="4">
        <v>44393</v>
      </c>
      <c r="C198" s="1" t="s">
        <v>529</v>
      </c>
      <c r="D198" s="1" t="s">
        <v>28</v>
      </c>
      <c r="E198" s="1" t="s">
        <v>43</v>
      </c>
      <c r="F198" s="2">
        <v>5</v>
      </c>
      <c r="G198" s="5">
        <v>300</v>
      </c>
      <c r="H198" s="24">
        <f t="shared" si="15"/>
        <v>1500</v>
      </c>
      <c r="I198" s="7">
        <v>0.1</v>
      </c>
      <c r="J198" s="5">
        <f t="shared" si="16"/>
        <v>150</v>
      </c>
      <c r="K198" s="5">
        <f t="shared" si="17"/>
        <v>1350</v>
      </c>
      <c r="L198" s="5">
        <v>220</v>
      </c>
      <c r="M198" s="5">
        <f t="shared" si="18"/>
        <v>250</v>
      </c>
      <c r="N198" s="7">
        <f t="shared" si="19"/>
        <v>0.18518518518518517</v>
      </c>
      <c r="O198" s="1" t="s">
        <v>54</v>
      </c>
      <c r="P198" s="1" t="s">
        <v>23</v>
      </c>
      <c r="Q198" s="1" t="s">
        <v>48</v>
      </c>
      <c r="R198" s="1" t="s">
        <v>66</v>
      </c>
      <c r="S198" s="1" t="s">
        <v>99</v>
      </c>
      <c r="T198" s="15" t="s">
        <v>61</v>
      </c>
    </row>
    <row r="199" spans="1:20" x14ac:dyDescent="0.3">
      <c r="A199" s="14">
        <v>198</v>
      </c>
      <c r="B199" s="4">
        <v>44394</v>
      </c>
      <c r="C199" s="1" t="s">
        <v>529</v>
      </c>
      <c r="D199" s="1" t="s">
        <v>20</v>
      </c>
      <c r="E199" s="1" t="s">
        <v>45</v>
      </c>
      <c r="F199" s="2">
        <v>4</v>
      </c>
      <c r="G199" s="5">
        <v>200</v>
      </c>
      <c r="H199" s="24">
        <f t="shared" si="15"/>
        <v>800</v>
      </c>
      <c r="I199" s="7">
        <v>0.1</v>
      </c>
      <c r="J199" s="5">
        <f t="shared" si="16"/>
        <v>80</v>
      </c>
      <c r="K199" s="5">
        <f t="shared" si="17"/>
        <v>720</v>
      </c>
      <c r="L199" s="5">
        <v>160</v>
      </c>
      <c r="M199" s="5">
        <f t="shared" si="18"/>
        <v>80</v>
      </c>
      <c r="N199" s="7">
        <f t="shared" si="19"/>
        <v>0.1111111111111111</v>
      </c>
      <c r="O199" s="1" t="s">
        <v>59</v>
      </c>
      <c r="P199" s="1" t="s">
        <v>31</v>
      </c>
      <c r="Q199" s="1" t="s">
        <v>32</v>
      </c>
      <c r="R199" s="1" t="s">
        <v>56</v>
      </c>
      <c r="S199" s="1" t="s">
        <v>172</v>
      </c>
      <c r="T199" s="15" t="s">
        <v>35</v>
      </c>
    </row>
    <row r="200" spans="1:20" x14ac:dyDescent="0.3">
      <c r="A200" s="14">
        <v>199</v>
      </c>
      <c r="B200" s="4">
        <v>44395</v>
      </c>
      <c r="C200" s="1" t="s">
        <v>529</v>
      </c>
      <c r="D200" s="1" t="s">
        <v>80</v>
      </c>
      <c r="E200" s="1" t="s">
        <v>21</v>
      </c>
      <c r="F200" s="2">
        <v>3</v>
      </c>
      <c r="G200" s="5">
        <v>190</v>
      </c>
      <c r="H200" s="24">
        <f t="shared" si="15"/>
        <v>570</v>
      </c>
      <c r="I200" s="7">
        <v>0.05</v>
      </c>
      <c r="J200" s="5">
        <f t="shared" si="16"/>
        <v>28.5</v>
      </c>
      <c r="K200" s="5">
        <f t="shared" si="17"/>
        <v>541.5</v>
      </c>
      <c r="L200" s="5">
        <v>130</v>
      </c>
      <c r="M200" s="5">
        <f t="shared" si="18"/>
        <v>151.5</v>
      </c>
      <c r="N200" s="7">
        <f t="shared" si="19"/>
        <v>0.27977839335180055</v>
      </c>
      <c r="O200" s="1" t="s">
        <v>59</v>
      </c>
      <c r="P200" s="1" t="s">
        <v>31</v>
      </c>
      <c r="Q200" s="1" t="s">
        <v>37</v>
      </c>
      <c r="R200" s="1" t="s">
        <v>56</v>
      </c>
      <c r="S200" s="1" t="s">
        <v>67</v>
      </c>
      <c r="T200" s="15" t="s">
        <v>61</v>
      </c>
    </row>
    <row r="201" spans="1:20" x14ac:dyDescent="0.3">
      <c r="A201" s="14">
        <v>200</v>
      </c>
      <c r="B201" s="4">
        <v>44396</v>
      </c>
      <c r="C201" s="1" t="s">
        <v>529</v>
      </c>
      <c r="D201" s="1" t="s">
        <v>82</v>
      </c>
      <c r="E201" s="1" t="s">
        <v>29</v>
      </c>
      <c r="F201" s="2">
        <v>2</v>
      </c>
      <c r="G201" s="5">
        <v>2100</v>
      </c>
      <c r="H201" s="24">
        <f t="shared" si="15"/>
        <v>4200</v>
      </c>
      <c r="I201" s="7">
        <v>0</v>
      </c>
      <c r="J201" s="5">
        <f t="shared" si="16"/>
        <v>0</v>
      </c>
      <c r="K201" s="5">
        <f t="shared" si="17"/>
        <v>4200</v>
      </c>
      <c r="L201" s="5">
        <v>1610</v>
      </c>
      <c r="M201" s="5">
        <f t="shared" si="18"/>
        <v>980</v>
      </c>
      <c r="N201" s="7">
        <f t="shared" si="19"/>
        <v>0.23333333333333334</v>
      </c>
      <c r="O201" s="1" t="s">
        <v>41</v>
      </c>
      <c r="P201" s="1" t="s">
        <v>31</v>
      </c>
      <c r="Q201" s="1" t="s">
        <v>37</v>
      </c>
      <c r="R201" s="1" t="s">
        <v>56</v>
      </c>
      <c r="S201" s="1" t="s">
        <v>198</v>
      </c>
      <c r="T201" s="15" t="s">
        <v>61</v>
      </c>
    </row>
    <row r="202" spans="1:20" x14ac:dyDescent="0.3">
      <c r="A202" s="14">
        <v>201</v>
      </c>
      <c r="B202" s="4">
        <v>44397</v>
      </c>
      <c r="C202" s="1" t="s">
        <v>529</v>
      </c>
      <c r="D202" s="1" t="s">
        <v>28</v>
      </c>
      <c r="E202" s="1" t="s">
        <v>21</v>
      </c>
      <c r="F202" s="2">
        <v>7</v>
      </c>
      <c r="G202" s="5">
        <v>210</v>
      </c>
      <c r="H202" s="24">
        <f t="shared" si="15"/>
        <v>1470</v>
      </c>
      <c r="I202" s="7">
        <v>0</v>
      </c>
      <c r="J202" s="5">
        <f t="shared" si="16"/>
        <v>0</v>
      </c>
      <c r="K202" s="5">
        <f t="shared" si="17"/>
        <v>1470</v>
      </c>
      <c r="L202" s="5">
        <v>130</v>
      </c>
      <c r="M202" s="5">
        <f t="shared" si="18"/>
        <v>560</v>
      </c>
      <c r="N202" s="7">
        <f t="shared" si="19"/>
        <v>0.38095238095238093</v>
      </c>
      <c r="O202" s="1" t="s">
        <v>30</v>
      </c>
      <c r="P202" s="1" t="s">
        <v>31</v>
      </c>
      <c r="Q202" s="1" t="s">
        <v>37</v>
      </c>
      <c r="R202" s="1" t="s">
        <v>88</v>
      </c>
      <c r="S202" s="1" t="s">
        <v>199</v>
      </c>
      <c r="T202" s="15" t="s">
        <v>27</v>
      </c>
    </row>
    <row r="203" spans="1:20" x14ac:dyDescent="0.3">
      <c r="A203" s="14">
        <v>202</v>
      </c>
      <c r="B203" s="4">
        <v>44398</v>
      </c>
      <c r="C203" s="1" t="s">
        <v>529</v>
      </c>
      <c r="D203" s="1" t="s">
        <v>20</v>
      </c>
      <c r="E203" s="1" t="s">
        <v>29</v>
      </c>
      <c r="F203" s="2">
        <v>6</v>
      </c>
      <c r="G203" s="5">
        <v>2100</v>
      </c>
      <c r="H203" s="24">
        <f t="shared" si="15"/>
        <v>12600</v>
      </c>
      <c r="I203" s="7">
        <v>0.15</v>
      </c>
      <c r="J203" s="5">
        <f t="shared" si="16"/>
        <v>1890</v>
      </c>
      <c r="K203" s="5">
        <f t="shared" si="17"/>
        <v>10710</v>
      </c>
      <c r="L203" s="5">
        <v>1480</v>
      </c>
      <c r="M203" s="5">
        <f t="shared" si="18"/>
        <v>1830</v>
      </c>
      <c r="N203" s="7">
        <f t="shared" si="19"/>
        <v>0.17086834733893558</v>
      </c>
      <c r="O203" s="1" t="s">
        <v>59</v>
      </c>
      <c r="P203" s="1" t="s">
        <v>31</v>
      </c>
      <c r="Q203" s="1" t="s">
        <v>37</v>
      </c>
      <c r="R203" s="1" t="s">
        <v>49</v>
      </c>
      <c r="S203" s="1" t="s">
        <v>200</v>
      </c>
      <c r="T203" s="15" t="s">
        <v>61</v>
      </c>
    </row>
    <row r="204" spans="1:20" x14ac:dyDescent="0.3">
      <c r="A204" s="14">
        <v>203</v>
      </c>
      <c r="B204" s="4">
        <v>44399</v>
      </c>
      <c r="C204" s="1" t="s">
        <v>529</v>
      </c>
      <c r="D204" s="1" t="s">
        <v>80</v>
      </c>
      <c r="E204" s="1" t="s">
        <v>36</v>
      </c>
      <c r="F204" s="2">
        <v>5</v>
      </c>
      <c r="G204" s="5">
        <v>1200</v>
      </c>
      <c r="H204" s="24">
        <f t="shared" si="15"/>
        <v>6000</v>
      </c>
      <c r="I204" s="7">
        <v>0.05</v>
      </c>
      <c r="J204" s="5">
        <f t="shared" si="16"/>
        <v>300</v>
      </c>
      <c r="K204" s="5">
        <f t="shared" si="17"/>
        <v>5700</v>
      </c>
      <c r="L204" s="5">
        <v>840</v>
      </c>
      <c r="M204" s="5">
        <f t="shared" si="18"/>
        <v>1500</v>
      </c>
      <c r="N204" s="7">
        <f t="shared" si="19"/>
        <v>0.26315789473684209</v>
      </c>
      <c r="O204" s="1" t="s">
        <v>30</v>
      </c>
      <c r="P204" s="1" t="s">
        <v>31</v>
      </c>
      <c r="Q204" s="1" t="s">
        <v>24</v>
      </c>
      <c r="R204" s="1" t="s">
        <v>49</v>
      </c>
      <c r="S204" s="1" t="s">
        <v>201</v>
      </c>
      <c r="T204" s="15" t="s">
        <v>61</v>
      </c>
    </row>
    <row r="205" spans="1:20" x14ac:dyDescent="0.3">
      <c r="A205" s="14">
        <v>204</v>
      </c>
      <c r="B205" s="4">
        <v>44400</v>
      </c>
      <c r="C205" s="1" t="s">
        <v>529</v>
      </c>
      <c r="D205" s="1" t="s">
        <v>82</v>
      </c>
      <c r="E205" s="1" t="s">
        <v>40</v>
      </c>
      <c r="F205" s="2">
        <v>4</v>
      </c>
      <c r="G205" s="5">
        <v>1500</v>
      </c>
      <c r="H205" s="24">
        <f t="shared" si="15"/>
        <v>6000</v>
      </c>
      <c r="I205" s="7">
        <v>0.02</v>
      </c>
      <c r="J205" s="5">
        <f t="shared" si="16"/>
        <v>120</v>
      </c>
      <c r="K205" s="5">
        <f t="shared" si="17"/>
        <v>5880</v>
      </c>
      <c r="L205" s="5">
        <v>1150</v>
      </c>
      <c r="M205" s="5">
        <f t="shared" si="18"/>
        <v>1280</v>
      </c>
      <c r="N205" s="7">
        <f t="shared" si="19"/>
        <v>0.21768707482993196</v>
      </c>
      <c r="O205" s="1" t="s">
        <v>22</v>
      </c>
      <c r="P205" s="1" t="s">
        <v>31</v>
      </c>
      <c r="Q205" s="1" t="s">
        <v>32</v>
      </c>
      <c r="R205" s="1" t="s">
        <v>63</v>
      </c>
      <c r="S205" s="1" t="s">
        <v>179</v>
      </c>
      <c r="T205" s="15" t="s">
        <v>61</v>
      </c>
    </row>
    <row r="206" spans="1:20" x14ac:dyDescent="0.3">
      <c r="A206" s="14">
        <v>205</v>
      </c>
      <c r="B206" s="4">
        <v>44401</v>
      </c>
      <c r="C206" s="1" t="s">
        <v>534</v>
      </c>
      <c r="D206" s="1" t="s">
        <v>82</v>
      </c>
      <c r="E206" s="1" t="s">
        <v>43</v>
      </c>
      <c r="F206" s="2">
        <v>3</v>
      </c>
      <c r="G206" s="5">
        <v>300</v>
      </c>
      <c r="H206" s="24">
        <f t="shared" si="15"/>
        <v>900</v>
      </c>
      <c r="I206" s="7">
        <v>0</v>
      </c>
      <c r="J206" s="5">
        <f t="shared" si="16"/>
        <v>0</v>
      </c>
      <c r="K206" s="5">
        <f t="shared" si="17"/>
        <v>900</v>
      </c>
      <c r="L206" s="5">
        <v>190</v>
      </c>
      <c r="M206" s="5">
        <f t="shared" si="18"/>
        <v>330</v>
      </c>
      <c r="N206" s="7">
        <f t="shared" si="19"/>
        <v>0.36666666666666664</v>
      </c>
      <c r="O206" s="1" t="s">
        <v>30</v>
      </c>
      <c r="P206" s="1" t="s">
        <v>76</v>
      </c>
      <c r="Q206" s="1" t="s">
        <v>37</v>
      </c>
      <c r="R206" s="1" t="s">
        <v>38</v>
      </c>
      <c r="S206" s="1" t="s">
        <v>202</v>
      </c>
      <c r="T206" s="15" t="s">
        <v>27</v>
      </c>
    </row>
    <row r="207" spans="1:20" x14ac:dyDescent="0.3">
      <c r="A207" s="14">
        <v>206</v>
      </c>
      <c r="B207" s="4">
        <v>44402</v>
      </c>
      <c r="C207" s="1" t="s">
        <v>531</v>
      </c>
      <c r="D207" s="1" t="s">
        <v>82</v>
      </c>
      <c r="E207" s="1" t="s">
        <v>45</v>
      </c>
      <c r="F207" s="2">
        <v>2</v>
      </c>
      <c r="G207" s="5">
        <v>190</v>
      </c>
      <c r="H207" s="24">
        <f t="shared" si="15"/>
        <v>380</v>
      </c>
      <c r="I207" s="7">
        <v>0.05</v>
      </c>
      <c r="J207" s="5">
        <f t="shared" si="16"/>
        <v>19</v>
      </c>
      <c r="K207" s="5">
        <f t="shared" si="17"/>
        <v>361</v>
      </c>
      <c r="L207" s="5">
        <v>140</v>
      </c>
      <c r="M207" s="5">
        <f t="shared" si="18"/>
        <v>81</v>
      </c>
      <c r="N207" s="7">
        <f t="shared" si="19"/>
        <v>0.22437673130193905</v>
      </c>
      <c r="O207" s="1" t="s">
        <v>22</v>
      </c>
      <c r="P207" s="1" t="s">
        <v>31</v>
      </c>
      <c r="Q207" s="1" t="s">
        <v>24</v>
      </c>
      <c r="R207" s="1" t="s">
        <v>88</v>
      </c>
      <c r="S207" s="1" t="s">
        <v>96</v>
      </c>
      <c r="T207" s="15" t="s">
        <v>27</v>
      </c>
    </row>
    <row r="208" spans="1:20" x14ac:dyDescent="0.3">
      <c r="A208" s="14">
        <v>207</v>
      </c>
      <c r="B208" s="4">
        <v>44403</v>
      </c>
      <c r="C208" s="1" t="s">
        <v>532</v>
      </c>
      <c r="D208" s="1" t="s">
        <v>82</v>
      </c>
      <c r="E208" s="1" t="s">
        <v>21</v>
      </c>
      <c r="F208" s="2">
        <v>7</v>
      </c>
      <c r="G208" s="5">
        <v>210</v>
      </c>
      <c r="H208" s="24">
        <f t="shared" si="15"/>
        <v>1470</v>
      </c>
      <c r="I208" s="7">
        <v>0.15</v>
      </c>
      <c r="J208" s="5">
        <f t="shared" si="16"/>
        <v>220.5</v>
      </c>
      <c r="K208" s="5">
        <f t="shared" si="17"/>
        <v>1249.5</v>
      </c>
      <c r="L208" s="5">
        <v>140</v>
      </c>
      <c r="M208" s="5">
        <f t="shared" si="18"/>
        <v>269.5</v>
      </c>
      <c r="N208" s="7">
        <f t="shared" si="19"/>
        <v>0.21568627450980393</v>
      </c>
      <c r="O208" s="1" t="s">
        <v>41</v>
      </c>
      <c r="P208" s="1" t="s">
        <v>31</v>
      </c>
      <c r="Q208" s="1" t="s">
        <v>37</v>
      </c>
      <c r="R208" s="1" t="s">
        <v>66</v>
      </c>
      <c r="S208" s="1" t="s">
        <v>203</v>
      </c>
      <c r="T208" s="15" t="s">
        <v>61</v>
      </c>
    </row>
    <row r="209" spans="1:20" x14ac:dyDescent="0.3">
      <c r="A209" s="14">
        <v>208</v>
      </c>
      <c r="B209" s="4">
        <v>44404</v>
      </c>
      <c r="C209" s="1" t="s">
        <v>533</v>
      </c>
      <c r="D209" s="1" t="s">
        <v>82</v>
      </c>
      <c r="E209" s="1" t="s">
        <v>29</v>
      </c>
      <c r="F209" s="2">
        <v>6</v>
      </c>
      <c r="G209" s="5">
        <v>2100</v>
      </c>
      <c r="H209" s="24">
        <f t="shared" si="15"/>
        <v>12600</v>
      </c>
      <c r="I209" s="7">
        <v>0.05</v>
      </c>
      <c r="J209" s="5">
        <f t="shared" si="16"/>
        <v>630</v>
      </c>
      <c r="K209" s="5">
        <f t="shared" si="17"/>
        <v>11970</v>
      </c>
      <c r="L209" s="5">
        <v>1720</v>
      </c>
      <c r="M209" s="5">
        <f t="shared" si="18"/>
        <v>1650</v>
      </c>
      <c r="N209" s="7">
        <f t="shared" si="19"/>
        <v>0.13784461152882205</v>
      </c>
      <c r="O209" s="1" t="s">
        <v>41</v>
      </c>
      <c r="P209" s="1" t="s">
        <v>31</v>
      </c>
      <c r="Q209" s="1" t="s">
        <v>37</v>
      </c>
      <c r="R209" s="1" t="s">
        <v>50</v>
      </c>
      <c r="S209" s="1" t="s">
        <v>184</v>
      </c>
      <c r="T209" s="15" t="s">
        <v>61</v>
      </c>
    </row>
    <row r="210" spans="1:20" x14ac:dyDescent="0.3">
      <c r="A210" s="14">
        <v>209</v>
      </c>
      <c r="B210" s="4">
        <v>44405</v>
      </c>
      <c r="C210" s="1" t="s">
        <v>533</v>
      </c>
      <c r="D210" s="1" t="s">
        <v>20</v>
      </c>
      <c r="E210" s="1" t="s">
        <v>36</v>
      </c>
      <c r="F210" s="2">
        <v>5</v>
      </c>
      <c r="G210" s="5">
        <v>1200</v>
      </c>
      <c r="H210" s="24">
        <f t="shared" si="15"/>
        <v>6000</v>
      </c>
      <c r="I210" s="7">
        <v>0.15</v>
      </c>
      <c r="J210" s="5">
        <f t="shared" si="16"/>
        <v>900</v>
      </c>
      <c r="K210" s="5">
        <f t="shared" si="17"/>
        <v>5100</v>
      </c>
      <c r="L210" s="5">
        <v>920</v>
      </c>
      <c r="M210" s="5">
        <f t="shared" si="18"/>
        <v>500</v>
      </c>
      <c r="N210" s="7">
        <f t="shared" si="19"/>
        <v>9.8039215686274508E-2</v>
      </c>
      <c r="O210" s="1" t="s">
        <v>30</v>
      </c>
      <c r="P210" s="1" t="s">
        <v>31</v>
      </c>
      <c r="Q210" s="1" t="s">
        <v>32</v>
      </c>
      <c r="R210" s="1" t="s">
        <v>33</v>
      </c>
      <c r="S210" s="1" t="s">
        <v>204</v>
      </c>
      <c r="T210" s="15" t="s">
        <v>35</v>
      </c>
    </row>
    <row r="211" spans="1:20" x14ac:dyDescent="0.3">
      <c r="A211" s="14">
        <v>210</v>
      </c>
      <c r="B211" s="4">
        <v>44406</v>
      </c>
      <c r="C211" s="1" t="s">
        <v>533</v>
      </c>
      <c r="D211" s="1" t="s">
        <v>28</v>
      </c>
      <c r="E211" s="1" t="s">
        <v>40</v>
      </c>
      <c r="F211" s="2">
        <v>4</v>
      </c>
      <c r="G211" s="5">
        <v>1500</v>
      </c>
      <c r="H211" s="24">
        <f t="shared" si="15"/>
        <v>6000</v>
      </c>
      <c r="I211" s="7">
        <v>0</v>
      </c>
      <c r="J211" s="5">
        <f t="shared" si="16"/>
        <v>0</v>
      </c>
      <c r="K211" s="5">
        <f t="shared" si="17"/>
        <v>6000</v>
      </c>
      <c r="L211" s="5">
        <v>1090</v>
      </c>
      <c r="M211" s="5">
        <f t="shared" si="18"/>
        <v>1640</v>
      </c>
      <c r="N211" s="7">
        <f t="shared" si="19"/>
        <v>0.27333333333333332</v>
      </c>
      <c r="O211" s="1" t="s">
        <v>54</v>
      </c>
      <c r="P211" s="1" t="s">
        <v>31</v>
      </c>
      <c r="Q211" s="1" t="s">
        <v>32</v>
      </c>
      <c r="R211" s="1" t="s">
        <v>56</v>
      </c>
      <c r="S211" s="1" t="s">
        <v>86</v>
      </c>
      <c r="T211" s="15" t="s">
        <v>27</v>
      </c>
    </row>
    <row r="212" spans="1:20" x14ac:dyDescent="0.3">
      <c r="A212" s="14">
        <v>211</v>
      </c>
      <c r="B212" s="4">
        <v>44407</v>
      </c>
      <c r="C212" s="1" t="s">
        <v>533</v>
      </c>
      <c r="D212" s="1" t="s">
        <v>80</v>
      </c>
      <c r="E212" s="1" t="s">
        <v>43</v>
      </c>
      <c r="F212" s="2">
        <v>3</v>
      </c>
      <c r="G212" s="5">
        <v>300</v>
      </c>
      <c r="H212" s="24">
        <f t="shared" si="15"/>
        <v>900</v>
      </c>
      <c r="I212" s="7">
        <v>0.05</v>
      </c>
      <c r="J212" s="5">
        <f t="shared" si="16"/>
        <v>45</v>
      </c>
      <c r="K212" s="5">
        <f t="shared" si="17"/>
        <v>855</v>
      </c>
      <c r="L212" s="5">
        <v>190</v>
      </c>
      <c r="M212" s="5">
        <f t="shared" si="18"/>
        <v>285</v>
      </c>
      <c r="N212" s="7">
        <f t="shared" si="19"/>
        <v>0.33333333333333331</v>
      </c>
      <c r="O212" s="1" t="s">
        <v>22</v>
      </c>
      <c r="P212" s="1" t="s">
        <v>31</v>
      </c>
      <c r="Q212" s="1" t="s">
        <v>37</v>
      </c>
      <c r="R212" s="1" t="s">
        <v>88</v>
      </c>
      <c r="S212" s="1" t="s">
        <v>99</v>
      </c>
      <c r="T212" s="15" t="s">
        <v>35</v>
      </c>
    </row>
    <row r="213" spans="1:20" x14ac:dyDescent="0.3">
      <c r="A213" s="14">
        <v>212</v>
      </c>
      <c r="B213" s="4">
        <v>44408</v>
      </c>
      <c r="C213" s="1" t="s">
        <v>533</v>
      </c>
      <c r="D213" s="1" t="s">
        <v>82</v>
      </c>
      <c r="E213" s="1" t="s">
        <v>45</v>
      </c>
      <c r="F213" s="2">
        <v>2</v>
      </c>
      <c r="G213" s="5">
        <v>190</v>
      </c>
      <c r="H213" s="24">
        <f t="shared" si="15"/>
        <v>380</v>
      </c>
      <c r="I213" s="7">
        <v>0.02</v>
      </c>
      <c r="J213" s="5">
        <f t="shared" si="16"/>
        <v>7.6000000000000005</v>
      </c>
      <c r="K213" s="5">
        <f t="shared" si="17"/>
        <v>372.4</v>
      </c>
      <c r="L213" s="5">
        <v>110</v>
      </c>
      <c r="M213" s="5">
        <f t="shared" si="18"/>
        <v>152.39999999999998</v>
      </c>
      <c r="N213" s="7">
        <f t="shared" si="19"/>
        <v>0.40923737916219116</v>
      </c>
      <c r="O213" s="1" t="s">
        <v>22</v>
      </c>
      <c r="P213" s="1" t="s">
        <v>31</v>
      </c>
      <c r="Q213" s="1" t="s">
        <v>32</v>
      </c>
      <c r="R213" s="1" t="s">
        <v>56</v>
      </c>
      <c r="S213" s="1" t="s">
        <v>205</v>
      </c>
      <c r="T213" s="15" t="s">
        <v>27</v>
      </c>
    </row>
    <row r="214" spans="1:20" x14ac:dyDescent="0.3">
      <c r="A214" s="14">
        <v>213</v>
      </c>
      <c r="B214" s="4">
        <v>44409</v>
      </c>
      <c r="C214" s="1" t="s">
        <v>533</v>
      </c>
      <c r="D214" s="1" t="s">
        <v>20</v>
      </c>
      <c r="E214" s="1" t="s">
        <v>21</v>
      </c>
      <c r="F214" s="2">
        <v>2</v>
      </c>
      <c r="G214" s="5">
        <v>210</v>
      </c>
      <c r="H214" s="24">
        <f t="shared" si="15"/>
        <v>420</v>
      </c>
      <c r="I214" s="7">
        <v>0</v>
      </c>
      <c r="J214" s="5">
        <f t="shared" si="16"/>
        <v>0</v>
      </c>
      <c r="K214" s="5">
        <f t="shared" si="17"/>
        <v>420</v>
      </c>
      <c r="L214" s="5">
        <v>130</v>
      </c>
      <c r="M214" s="5">
        <f t="shared" si="18"/>
        <v>160</v>
      </c>
      <c r="N214" s="7">
        <f t="shared" si="19"/>
        <v>0.38095238095238093</v>
      </c>
      <c r="O214" s="1" t="s">
        <v>41</v>
      </c>
      <c r="P214" s="1" t="s">
        <v>31</v>
      </c>
      <c r="Q214" s="1" t="s">
        <v>32</v>
      </c>
      <c r="R214" s="1" t="s">
        <v>38</v>
      </c>
      <c r="S214" s="1" t="s">
        <v>179</v>
      </c>
      <c r="T214" s="15" t="s">
        <v>61</v>
      </c>
    </row>
    <row r="215" spans="1:20" x14ac:dyDescent="0.3">
      <c r="A215" s="14">
        <v>214</v>
      </c>
      <c r="B215" s="4">
        <v>44410</v>
      </c>
      <c r="C215" s="1" t="s">
        <v>533</v>
      </c>
      <c r="D215" s="1" t="s">
        <v>28</v>
      </c>
      <c r="E215" s="1" t="s">
        <v>29</v>
      </c>
      <c r="F215" s="2">
        <v>7</v>
      </c>
      <c r="G215" s="5">
        <v>2100</v>
      </c>
      <c r="H215" s="24">
        <f t="shared" si="15"/>
        <v>14700</v>
      </c>
      <c r="I215" s="7">
        <v>0.1</v>
      </c>
      <c r="J215" s="5">
        <f t="shared" si="16"/>
        <v>1470</v>
      </c>
      <c r="K215" s="5">
        <f t="shared" si="17"/>
        <v>13230</v>
      </c>
      <c r="L215" s="5">
        <v>1400</v>
      </c>
      <c r="M215" s="5">
        <f t="shared" si="18"/>
        <v>3430</v>
      </c>
      <c r="N215" s="7">
        <f t="shared" si="19"/>
        <v>0.25925925925925924</v>
      </c>
      <c r="O215" s="1" t="s">
        <v>54</v>
      </c>
      <c r="P215" s="1" t="s">
        <v>31</v>
      </c>
      <c r="Q215" s="1" t="s">
        <v>48</v>
      </c>
      <c r="R215" s="1" t="s">
        <v>50</v>
      </c>
      <c r="S215" s="1" t="s">
        <v>206</v>
      </c>
      <c r="T215" s="15" t="s">
        <v>53</v>
      </c>
    </row>
    <row r="216" spans="1:20" x14ac:dyDescent="0.3">
      <c r="A216" s="14">
        <v>215</v>
      </c>
      <c r="B216" s="4">
        <v>44411</v>
      </c>
      <c r="C216" s="1" t="s">
        <v>533</v>
      </c>
      <c r="D216" s="1" t="s">
        <v>80</v>
      </c>
      <c r="E216" s="1" t="s">
        <v>36</v>
      </c>
      <c r="F216" s="2">
        <v>6</v>
      </c>
      <c r="G216" s="5">
        <v>1200</v>
      </c>
      <c r="H216" s="24">
        <f t="shared" si="15"/>
        <v>7200</v>
      </c>
      <c r="I216" s="7">
        <v>0</v>
      </c>
      <c r="J216" s="5">
        <f t="shared" si="16"/>
        <v>0</v>
      </c>
      <c r="K216" s="5">
        <f t="shared" si="17"/>
        <v>7200</v>
      </c>
      <c r="L216" s="5">
        <v>700</v>
      </c>
      <c r="M216" s="5">
        <f t="shared" si="18"/>
        <v>3000</v>
      </c>
      <c r="N216" s="7">
        <f t="shared" si="19"/>
        <v>0.41666666666666669</v>
      </c>
      <c r="O216" s="1" t="s">
        <v>30</v>
      </c>
      <c r="P216" s="1" t="s">
        <v>31</v>
      </c>
      <c r="Q216" s="1" t="s">
        <v>24</v>
      </c>
      <c r="R216" s="1" t="s">
        <v>46</v>
      </c>
      <c r="S216" s="1" t="s">
        <v>207</v>
      </c>
      <c r="T216" s="15" t="s">
        <v>53</v>
      </c>
    </row>
    <row r="217" spans="1:20" x14ac:dyDescent="0.3">
      <c r="A217" s="14">
        <v>216</v>
      </c>
      <c r="B217" s="4">
        <v>44412</v>
      </c>
      <c r="C217" s="1" t="s">
        <v>533</v>
      </c>
      <c r="D217" s="1" t="s">
        <v>82</v>
      </c>
      <c r="E217" s="1" t="s">
        <v>40</v>
      </c>
      <c r="F217" s="2">
        <v>5</v>
      </c>
      <c r="G217" s="5">
        <v>1500</v>
      </c>
      <c r="H217" s="24">
        <f t="shared" si="15"/>
        <v>7500</v>
      </c>
      <c r="I217" s="7">
        <v>0</v>
      </c>
      <c r="J217" s="5">
        <f t="shared" si="16"/>
        <v>0</v>
      </c>
      <c r="K217" s="5">
        <f t="shared" si="17"/>
        <v>7500</v>
      </c>
      <c r="L217" s="5">
        <v>1080</v>
      </c>
      <c r="M217" s="5">
        <f t="shared" si="18"/>
        <v>2100</v>
      </c>
      <c r="N217" s="7">
        <f t="shared" si="19"/>
        <v>0.28000000000000003</v>
      </c>
      <c r="O217" s="1" t="s">
        <v>22</v>
      </c>
      <c r="P217" s="1" t="s">
        <v>31</v>
      </c>
      <c r="Q217" s="1" t="s">
        <v>32</v>
      </c>
      <c r="R217" s="1" t="s">
        <v>56</v>
      </c>
      <c r="S217" s="1" t="s">
        <v>208</v>
      </c>
      <c r="T217" s="15" t="s">
        <v>35</v>
      </c>
    </row>
    <row r="218" spans="1:20" x14ac:dyDescent="0.3">
      <c r="A218" s="14">
        <v>217</v>
      </c>
      <c r="B218" s="4">
        <v>44413</v>
      </c>
      <c r="C218" s="1" t="s">
        <v>530</v>
      </c>
      <c r="D218" s="1" t="s">
        <v>20</v>
      </c>
      <c r="E218" s="1" t="s">
        <v>43</v>
      </c>
      <c r="F218" s="2">
        <v>4</v>
      </c>
      <c r="G218" s="5">
        <v>300</v>
      </c>
      <c r="H218" s="24">
        <f t="shared" si="15"/>
        <v>1200</v>
      </c>
      <c r="I218" s="7">
        <v>0.05</v>
      </c>
      <c r="J218" s="5">
        <f t="shared" si="16"/>
        <v>60</v>
      </c>
      <c r="K218" s="5">
        <f t="shared" si="17"/>
        <v>1140</v>
      </c>
      <c r="L218" s="5">
        <v>190</v>
      </c>
      <c r="M218" s="5">
        <f t="shared" si="18"/>
        <v>380</v>
      </c>
      <c r="N218" s="7">
        <f t="shared" si="19"/>
        <v>0.33333333333333331</v>
      </c>
      <c r="O218" s="1" t="s">
        <v>22</v>
      </c>
      <c r="P218" s="1" t="s">
        <v>31</v>
      </c>
      <c r="Q218" s="1" t="s">
        <v>24</v>
      </c>
      <c r="R218" s="1" t="s">
        <v>49</v>
      </c>
      <c r="S218" s="1" t="s">
        <v>131</v>
      </c>
      <c r="T218" s="15" t="s">
        <v>27</v>
      </c>
    </row>
    <row r="219" spans="1:20" x14ac:dyDescent="0.3">
      <c r="A219" s="14">
        <v>218</v>
      </c>
      <c r="B219" s="4">
        <v>44414</v>
      </c>
      <c r="C219" s="1" t="s">
        <v>529</v>
      </c>
      <c r="D219" s="1" t="s">
        <v>28</v>
      </c>
      <c r="E219" s="1" t="s">
        <v>45</v>
      </c>
      <c r="F219" s="2">
        <v>3</v>
      </c>
      <c r="G219" s="5">
        <v>190</v>
      </c>
      <c r="H219" s="24">
        <f t="shared" si="15"/>
        <v>570</v>
      </c>
      <c r="I219" s="7">
        <v>0.02</v>
      </c>
      <c r="J219" s="5">
        <f t="shared" si="16"/>
        <v>11.4</v>
      </c>
      <c r="K219" s="5">
        <f t="shared" si="17"/>
        <v>558.6</v>
      </c>
      <c r="L219" s="5">
        <v>120</v>
      </c>
      <c r="M219" s="5">
        <f t="shared" si="18"/>
        <v>198.60000000000002</v>
      </c>
      <c r="N219" s="7">
        <f t="shared" si="19"/>
        <v>0.35553168635875404</v>
      </c>
      <c r="O219" s="1" t="s">
        <v>59</v>
      </c>
      <c r="P219" s="1" t="s">
        <v>31</v>
      </c>
      <c r="Q219" s="1" t="s">
        <v>32</v>
      </c>
      <c r="R219" s="1" t="s">
        <v>50</v>
      </c>
      <c r="S219" s="1" t="s">
        <v>172</v>
      </c>
      <c r="T219" s="15" t="s">
        <v>61</v>
      </c>
    </row>
    <row r="220" spans="1:20" x14ac:dyDescent="0.3">
      <c r="A220" s="14">
        <v>219</v>
      </c>
      <c r="B220" s="4">
        <v>44415</v>
      </c>
      <c r="C220" s="1" t="s">
        <v>534</v>
      </c>
      <c r="D220" s="1" t="s">
        <v>20</v>
      </c>
      <c r="E220" s="1" t="s">
        <v>21</v>
      </c>
      <c r="F220" s="2">
        <v>2</v>
      </c>
      <c r="G220" s="5">
        <v>210</v>
      </c>
      <c r="H220" s="24">
        <f t="shared" si="15"/>
        <v>420</v>
      </c>
      <c r="I220" s="7">
        <v>0.15</v>
      </c>
      <c r="J220" s="5">
        <f t="shared" si="16"/>
        <v>63</v>
      </c>
      <c r="K220" s="5">
        <f t="shared" si="17"/>
        <v>357</v>
      </c>
      <c r="L220" s="5">
        <v>170</v>
      </c>
      <c r="M220" s="5">
        <f t="shared" si="18"/>
        <v>17</v>
      </c>
      <c r="N220" s="7">
        <f t="shared" si="19"/>
        <v>4.7619047619047616E-2</v>
      </c>
      <c r="O220" s="1" t="s">
        <v>22</v>
      </c>
      <c r="P220" s="1" t="s">
        <v>31</v>
      </c>
      <c r="Q220" s="1" t="s">
        <v>48</v>
      </c>
      <c r="R220" s="1" t="s">
        <v>66</v>
      </c>
      <c r="S220" s="1" t="s">
        <v>209</v>
      </c>
      <c r="T220" s="15" t="s">
        <v>27</v>
      </c>
    </row>
    <row r="221" spans="1:20" x14ac:dyDescent="0.3">
      <c r="A221" s="14">
        <v>220</v>
      </c>
      <c r="B221" s="4">
        <v>44416</v>
      </c>
      <c r="C221" s="1" t="s">
        <v>531</v>
      </c>
      <c r="D221" s="1" t="s">
        <v>28</v>
      </c>
      <c r="E221" s="1" t="s">
        <v>36</v>
      </c>
      <c r="F221" s="2">
        <v>7</v>
      </c>
      <c r="G221" s="5">
        <v>2100</v>
      </c>
      <c r="H221" s="24">
        <f t="shared" si="15"/>
        <v>14700</v>
      </c>
      <c r="I221" s="7">
        <v>0</v>
      </c>
      <c r="J221" s="5">
        <f t="shared" si="16"/>
        <v>0</v>
      </c>
      <c r="K221" s="5">
        <f t="shared" si="17"/>
        <v>14700</v>
      </c>
      <c r="L221" s="5">
        <v>1520</v>
      </c>
      <c r="M221" s="5">
        <f t="shared" si="18"/>
        <v>4060</v>
      </c>
      <c r="N221" s="7">
        <f t="shared" si="19"/>
        <v>0.27619047619047621</v>
      </c>
      <c r="O221" s="1" t="s">
        <v>30</v>
      </c>
      <c r="P221" s="1" t="s">
        <v>31</v>
      </c>
      <c r="Q221" s="1" t="s">
        <v>48</v>
      </c>
      <c r="R221" s="1" t="s">
        <v>25</v>
      </c>
      <c r="S221" s="1" t="s">
        <v>210</v>
      </c>
      <c r="T221" s="15" t="s">
        <v>61</v>
      </c>
    </row>
    <row r="222" spans="1:20" x14ac:dyDescent="0.3">
      <c r="A222" s="14">
        <v>221</v>
      </c>
      <c r="B222" s="4">
        <v>44417</v>
      </c>
      <c r="C222" s="1" t="s">
        <v>532</v>
      </c>
      <c r="D222" s="1" t="s">
        <v>20</v>
      </c>
      <c r="E222" s="1" t="s">
        <v>40</v>
      </c>
      <c r="F222" s="2">
        <v>6</v>
      </c>
      <c r="G222" s="5">
        <v>1200</v>
      </c>
      <c r="H222" s="24">
        <f t="shared" si="15"/>
        <v>7200</v>
      </c>
      <c r="I222" s="7">
        <v>0.05</v>
      </c>
      <c r="J222" s="5">
        <f t="shared" si="16"/>
        <v>360</v>
      </c>
      <c r="K222" s="5">
        <f t="shared" si="17"/>
        <v>6840</v>
      </c>
      <c r="L222" s="5">
        <v>880</v>
      </c>
      <c r="M222" s="5">
        <f t="shared" si="18"/>
        <v>1560</v>
      </c>
      <c r="N222" s="7">
        <f t="shared" si="19"/>
        <v>0.22807017543859648</v>
      </c>
      <c r="O222" s="1" t="s">
        <v>22</v>
      </c>
      <c r="P222" s="1" t="s">
        <v>31</v>
      </c>
      <c r="Q222" s="1" t="s">
        <v>48</v>
      </c>
      <c r="R222" s="1" t="s">
        <v>56</v>
      </c>
      <c r="S222" s="1" t="s">
        <v>154</v>
      </c>
      <c r="T222" s="15" t="s">
        <v>53</v>
      </c>
    </row>
    <row r="223" spans="1:20" x14ac:dyDescent="0.3">
      <c r="A223" s="14">
        <v>222</v>
      </c>
      <c r="B223" s="4">
        <v>44418</v>
      </c>
      <c r="C223" s="1" t="s">
        <v>533</v>
      </c>
      <c r="D223" s="1" t="s">
        <v>20</v>
      </c>
      <c r="E223" s="1" t="s">
        <v>43</v>
      </c>
      <c r="F223" s="2">
        <v>5</v>
      </c>
      <c r="G223" s="5">
        <v>300</v>
      </c>
      <c r="H223" s="24">
        <f t="shared" si="15"/>
        <v>1500</v>
      </c>
      <c r="I223" s="7">
        <v>0.02</v>
      </c>
      <c r="J223" s="5">
        <f t="shared" si="16"/>
        <v>30</v>
      </c>
      <c r="K223" s="5">
        <f t="shared" si="17"/>
        <v>1470</v>
      </c>
      <c r="L223" s="5">
        <v>200</v>
      </c>
      <c r="M223" s="5">
        <f t="shared" si="18"/>
        <v>470</v>
      </c>
      <c r="N223" s="7">
        <f t="shared" si="19"/>
        <v>0.31972789115646261</v>
      </c>
      <c r="O223" s="1" t="s">
        <v>54</v>
      </c>
      <c r="P223" s="1" t="s">
        <v>31</v>
      </c>
      <c r="Q223" s="1" t="s">
        <v>37</v>
      </c>
      <c r="R223" s="1" t="s">
        <v>66</v>
      </c>
      <c r="S223" s="1" t="s">
        <v>126</v>
      </c>
      <c r="T223" s="15" t="s">
        <v>27</v>
      </c>
    </row>
    <row r="224" spans="1:20" x14ac:dyDescent="0.3">
      <c r="A224" s="14">
        <v>223</v>
      </c>
      <c r="B224" s="4">
        <v>44419</v>
      </c>
      <c r="C224" s="1" t="s">
        <v>530</v>
      </c>
      <c r="D224" s="1" t="s">
        <v>20</v>
      </c>
      <c r="E224" s="1" t="s">
        <v>45</v>
      </c>
      <c r="F224" s="2">
        <v>4</v>
      </c>
      <c r="G224" s="5">
        <v>200</v>
      </c>
      <c r="H224" s="24">
        <f t="shared" si="15"/>
        <v>800</v>
      </c>
      <c r="I224" s="7">
        <v>0.05</v>
      </c>
      <c r="J224" s="5">
        <f t="shared" si="16"/>
        <v>40</v>
      </c>
      <c r="K224" s="5">
        <f t="shared" si="17"/>
        <v>760</v>
      </c>
      <c r="L224" s="5">
        <v>120</v>
      </c>
      <c r="M224" s="5">
        <f t="shared" si="18"/>
        <v>280</v>
      </c>
      <c r="N224" s="7">
        <f t="shared" si="19"/>
        <v>0.36842105263157893</v>
      </c>
      <c r="O224" s="1" t="s">
        <v>59</v>
      </c>
      <c r="P224" s="1" t="s">
        <v>31</v>
      </c>
      <c r="Q224" s="1" t="s">
        <v>32</v>
      </c>
      <c r="R224" s="1" t="s">
        <v>56</v>
      </c>
      <c r="S224" s="1" t="s">
        <v>211</v>
      </c>
      <c r="T224" s="15" t="s">
        <v>35</v>
      </c>
    </row>
    <row r="225" spans="1:20" x14ac:dyDescent="0.3">
      <c r="A225" s="14">
        <v>224</v>
      </c>
      <c r="B225" s="4">
        <v>44420</v>
      </c>
      <c r="C225" s="1" t="s">
        <v>529</v>
      </c>
      <c r="D225" s="1" t="s">
        <v>28</v>
      </c>
      <c r="E225" s="1" t="s">
        <v>21</v>
      </c>
      <c r="F225" s="2">
        <v>3</v>
      </c>
      <c r="G225" s="5">
        <v>190</v>
      </c>
      <c r="H225" s="24">
        <f t="shared" si="15"/>
        <v>570</v>
      </c>
      <c r="I225" s="7">
        <v>0.02</v>
      </c>
      <c r="J225" s="5">
        <f t="shared" si="16"/>
        <v>11.4</v>
      </c>
      <c r="K225" s="5">
        <f t="shared" si="17"/>
        <v>558.6</v>
      </c>
      <c r="L225" s="5">
        <v>130</v>
      </c>
      <c r="M225" s="5">
        <f t="shared" si="18"/>
        <v>168.60000000000002</v>
      </c>
      <c r="N225" s="7">
        <f t="shared" si="19"/>
        <v>0.30182599355531692</v>
      </c>
      <c r="O225" s="1" t="s">
        <v>41</v>
      </c>
      <c r="P225" s="1" t="s">
        <v>31</v>
      </c>
      <c r="Q225" s="1" t="s">
        <v>32</v>
      </c>
      <c r="R225" s="1" t="s">
        <v>56</v>
      </c>
      <c r="S225" s="1" t="s">
        <v>212</v>
      </c>
      <c r="T225" s="15" t="s">
        <v>61</v>
      </c>
    </row>
    <row r="226" spans="1:20" x14ac:dyDescent="0.3">
      <c r="A226" s="14">
        <v>225</v>
      </c>
      <c r="B226" s="4">
        <v>44421</v>
      </c>
      <c r="C226" s="1" t="s">
        <v>534</v>
      </c>
      <c r="D226" s="1" t="s">
        <v>28</v>
      </c>
      <c r="E226" s="1" t="s">
        <v>29</v>
      </c>
      <c r="F226" s="2">
        <v>2</v>
      </c>
      <c r="G226" s="5">
        <v>2100</v>
      </c>
      <c r="H226" s="24">
        <f t="shared" si="15"/>
        <v>4200</v>
      </c>
      <c r="I226" s="7">
        <v>0.1</v>
      </c>
      <c r="J226" s="5">
        <f t="shared" si="16"/>
        <v>420</v>
      </c>
      <c r="K226" s="5">
        <f t="shared" si="17"/>
        <v>3780</v>
      </c>
      <c r="L226" s="5">
        <v>1510</v>
      </c>
      <c r="M226" s="5">
        <f t="shared" si="18"/>
        <v>760</v>
      </c>
      <c r="N226" s="7">
        <f t="shared" si="19"/>
        <v>0.20105820105820105</v>
      </c>
      <c r="O226" s="1" t="s">
        <v>41</v>
      </c>
      <c r="P226" s="1" t="s">
        <v>31</v>
      </c>
      <c r="Q226" s="1" t="s">
        <v>37</v>
      </c>
      <c r="R226" s="1" t="s">
        <v>88</v>
      </c>
      <c r="S226" s="1" t="s">
        <v>132</v>
      </c>
      <c r="T226" s="15" t="s">
        <v>27</v>
      </c>
    </row>
    <row r="227" spans="1:20" x14ac:dyDescent="0.3">
      <c r="A227" s="14">
        <v>226</v>
      </c>
      <c r="B227" s="4">
        <v>44422</v>
      </c>
      <c r="C227" s="1" t="s">
        <v>531</v>
      </c>
      <c r="D227" s="1" t="s">
        <v>20</v>
      </c>
      <c r="E227" s="1" t="s">
        <v>21</v>
      </c>
      <c r="F227" s="2">
        <v>7</v>
      </c>
      <c r="G227" s="5">
        <v>210</v>
      </c>
      <c r="H227" s="24">
        <f t="shared" si="15"/>
        <v>1470</v>
      </c>
      <c r="I227" s="7">
        <v>0</v>
      </c>
      <c r="J227" s="5">
        <f t="shared" si="16"/>
        <v>0</v>
      </c>
      <c r="K227" s="5">
        <f t="shared" si="17"/>
        <v>1470</v>
      </c>
      <c r="L227" s="5">
        <v>130</v>
      </c>
      <c r="M227" s="5">
        <f t="shared" si="18"/>
        <v>560</v>
      </c>
      <c r="N227" s="7">
        <f t="shared" si="19"/>
        <v>0.38095238095238093</v>
      </c>
      <c r="O227" s="1" t="s">
        <v>41</v>
      </c>
      <c r="P227" s="1" t="s">
        <v>31</v>
      </c>
      <c r="Q227" s="1" t="s">
        <v>32</v>
      </c>
      <c r="R227" s="1" t="s">
        <v>49</v>
      </c>
      <c r="S227" s="1" t="s">
        <v>213</v>
      </c>
      <c r="T227" s="15" t="s">
        <v>61</v>
      </c>
    </row>
    <row r="228" spans="1:20" x14ac:dyDescent="0.3">
      <c r="A228" s="14">
        <v>227</v>
      </c>
      <c r="B228" s="4">
        <v>44423</v>
      </c>
      <c r="C228" s="1" t="s">
        <v>532</v>
      </c>
      <c r="D228" s="1" t="s">
        <v>20</v>
      </c>
      <c r="E228" s="1" t="s">
        <v>29</v>
      </c>
      <c r="F228" s="2">
        <v>6</v>
      </c>
      <c r="G228" s="5">
        <v>2100</v>
      </c>
      <c r="H228" s="24">
        <f t="shared" si="15"/>
        <v>12600</v>
      </c>
      <c r="I228" s="7">
        <v>0.05</v>
      </c>
      <c r="J228" s="5">
        <f t="shared" si="16"/>
        <v>630</v>
      </c>
      <c r="K228" s="5">
        <f t="shared" si="17"/>
        <v>11970</v>
      </c>
      <c r="L228" s="5">
        <v>1660</v>
      </c>
      <c r="M228" s="5">
        <f t="shared" si="18"/>
        <v>2010</v>
      </c>
      <c r="N228" s="7">
        <f t="shared" si="19"/>
        <v>0.16791979949874686</v>
      </c>
      <c r="O228" s="1" t="s">
        <v>41</v>
      </c>
      <c r="P228" s="1" t="s">
        <v>31</v>
      </c>
      <c r="Q228" s="1" t="s">
        <v>37</v>
      </c>
      <c r="R228" s="1" t="s">
        <v>50</v>
      </c>
      <c r="S228" s="1" t="s">
        <v>214</v>
      </c>
      <c r="T228" s="15" t="s">
        <v>61</v>
      </c>
    </row>
    <row r="229" spans="1:20" x14ac:dyDescent="0.3">
      <c r="A229" s="14">
        <v>228</v>
      </c>
      <c r="B229" s="4">
        <v>44424</v>
      </c>
      <c r="C229" s="1" t="s">
        <v>533</v>
      </c>
      <c r="D229" s="1" t="s">
        <v>28</v>
      </c>
      <c r="E229" s="1" t="s">
        <v>36</v>
      </c>
      <c r="F229" s="2">
        <v>5</v>
      </c>
      <c r="G229" s="5">
        <v>1200</v>
      </c>
      <c r="H229" s="24">
        <f t="shared" si="15"/>
        <v>6000</v>
      </c>
      <c r="I229" s="7">
        <v>0</v>
      </c>
      <c r="J229" s="5">
        <f t="shared" si="16"/>
        <v>0</v>
      </c>
      <c r="K229" s="5">
        <f t="shared" si="17"/>
        <v>6000</v>
      </c>
      <c r="L229" s="5">
        <v>740</v>
      </c>
      <c r="M229" s="5">
        <f t="shared" si="18"/>
        <v>2300</v>
      </c>
      <c r="N229" s="7">
        <f t="shared" si="19"/>
        <v>0.38333333333333336</v>
      </c>
      <c r="O229" s="1" t="s">
        <v>54</v>
      </c>
      <c r="P229" s="1" t="s">
        <v>31</v>
      </c>
      <c r="Q229" s="1" t="s">
        <v>37</v>
      </c>
      <c r="R229" s="1" t="s">
        <v>25</v>
      </c>
      <c r="S229" s="1" t="s">
        <v>215</v>
      </c>
      <c r="T229" s="15" t="s">
        <v>27</v>
      </c>
    </row>
    <row r="230" spans="1:20" x14ac:dyDescent="0.3">
      <c r="A230" s="14">
        <v>229</v>
      </c>
      <c r="B230" s="4">
        <v>44425</v>
      </c>
      <c r="C230" s="1" t="s">
        <v>533</v>
      </c>
      <c r="D230" s="1" t="s">
        <v>20</v>
      </c>
      <c r="E230" s="1" t="s">
        <v>40</v>
      </c>
      <c r="F230" s="2">
        <v>4</v>
      </c>
      <c r="G230" s="5">
        <v>1500</v>
      </c>
      <c r="H230" s="24">
        <f t="shared" si="15"/>
        <v>6000</v>
      </c>
      <c r="I230" s="7">
        <v>0</v>
      </c>
      <c r="J230" s="5">
        <f t="shared" si="16"/>
        <v>0</v>
      </c>
      <c r="K230" s="5">
        <f t="shared" si="17"/>
        <v>6000</v>
      </c>
      <c r="L230" s="5">
        <v>1040</v>
      </c>
      <c r="M230" s="5">
        <f t="shared" si="18"/>
        <v>1840</v>
      </c>
      <c r="N230" s="7">
        <f t="shared" si="19"/>
        <v>0.30666666666666664</v>
      </c>
      <c r="O230" s="1" t="s">
        <v>30</v>
      </c>
      <c r="P230" s="1" t="s">
        <v>31</v>
      </c>
      <c r="Q230" s="1" t="s">
        <v>32</v>
      </c>
      <c r="R230" s="1" t="s">
        <v>33</v>
      </c>
      <c r="S230" s="1" t="s">
        <v>52</v>
      </c>
      <c r="T230" s="15" t="s">
        <v>53</v>
      </c>
    </row>
    <row r="231" spans="1:20" x14ac:dyDescent="0.3">
      <c r="A231" s="14">
        <v>230</v>
      </c>
      <c r="B231" s="4">
        <v>44426</v>
      </c>
      <c r="C231" s="1" t="s">
        <v>530</v>
      </c>
      <c r="D231" s="1" t="s">
        <v>20</v>
      </c>
      <c r="E231" s="1" t="s">
        <v>43</v>
      </c>
      <c r="F231" s="2">
        <v>3</v>
      </c>
      <c r="G231" s="5">
        <v>300</v>
      </c>
      <c r="H231" s="24">
        <f t="shared" si="15"/>
        <v>900</v>
      </c>
      <c r="I231" s="7">
        <v>0.15</v>
      </c>
      <c r="J231" s="5">
        <f t="shared" si="16"/>
        <v>135</v>
      </c>
      <c r="K231" s="5">
        <f t="shared" si="17"/>
        <v>765</v>
      </c>
      <c r="L231" s="5">
        <v>180</v>
      </c>
      <c r="M231" s="5">
        <f t="shared" si="18"/>
        <v>225</v>
      </c>
      <c r="N231" s="7">
        <f t="shared" si="19"/>
        <v>0.29411764705882354</v>
      </c>
      <c r="O231" s="1" t="s">
        <v>54</v>
      </c>
      <c r="P231" s="1" t="s">
        <v>23</v>
      </c>
      <c r="Q231" s="1" t="s">
        <v>48</v>
      </c>
      <c r="R231" s="1" t="s">
        <v>66</v>
      </c>
      <c r="S231" s="1" t="s">
        <v>117</v>
      </c>
      <c r="T231" s="15" t="s">
        <v>35</v>
      </c>
    </row>
    <row r="232" spans="1:20" x14ac:dyDescent="0.3">
      <c r="A232" s="14">
        <v>231</v>
      </c>
      <c r="B232" s="4">
        <v>44427</v>
      </c>
      <c r="C232" s="1" t="s">
        <v>529</v>
      </c>
      <c r="D232" s="1" t="s">
        <v>20</v>
      </c>
      <c r="E232" s="1" t="s">
        <v>45</v>
      </c>
      <c r="F232" s="2">
        <v>2</v>
      </c>
      <c r="G232" s="5">
        <v>190</v>
      </c>
      <c r="H232" s="24">
        <f t="shared" si="15"/>
        <v>380</v>
      </c>
      <c r="I232" s="7">
        <v>0.02</v>
      </c>
      <c r="J232" s="5">
        <f t="shared" si="16"/>
        <v>7.6000000000000005</v>
      </c>
      <c r="K232" s="5">
        <f t="shared" si="17"/>
        <v>372.4</v>
      </c>
      <c r="L232" s="5">
        <v>120</v>
      </c>
      <c r="M232" s="5">
        <f t="shared" si="18"/>
        <v>132.39999999999998</v>
      </c>
      <c r="N232" s="7">
        <f t="shared" si="19"/>
        <v>0.35553168635875398</v>
      </c>
      <c r="O232" s="1" t="s">
        <v>30</v>
      </c>
      <c r="P232" s="1" t="s">
        <v>62</v>
      </c>
      <c r="Q232" s="1" t="s">
        <v>32</v>
      </c>
      <c r="R232" s="1" t="s">
        <v>49</v>
      </c>
      <c r="S232" s="1" t="s">
        <v>52</v>
      </c>
      <c r="T232" s="15" t="s">
        <v>61</v>
      </c>
    </row>
    <row r="233" spans="1:20" x14ac:dyDescent="0.3">
      <c r="A233" s="14">
        <v>232</v>
      </c>
      <c r="B233" s="4">
        <v>44428</v>
      </c>
      <c r="C233" s="1" t="s">
        <v>534</v>
      </c>
      <c r="D233" s="1" t="s">
        <v>20</v>
      </c>
      <c r="E233" s="1" t="s">
        <v>21</v>
      </c>
      <c r="F233" s="2">
        <v>7</v>
      </c>
      <c r="G233" s="5">
        <v>210</v>
      </c>
      <c r="H233" s="24">
        <f t="shared" si="15"/>
        <v>1470</v>
      </c>
      <c r="I233" s="7">
        <v>0</v>
      </c>
      <c r="J233" s="5">
        <f t="shared" si="16"/>
        <v>0</v>
      </c>
      <c r="K233" s="5">
        <f t="shared" si="17"/>
        <v>1470</v>
      </c>
      <c r="L233" s="5">
        <v>160</v>
      </c>
      <c r="M233" s="5">
        <f t="shared" si="18"/>
        <v>350</v>
      </c>
      <c r="N233" s="7">
        <f t="shared" si="19"/>
        <v>0.23809523809523808</v>
      </c>
      <c r="O233" s="1" t="s">
        <v>41</v>
      </c>
      <c r="P233" s="1" t="s">
        <v>31</v>
      </c>
      <c r="Q233" s="1" t="s">
        <v>37</v>
      </c>
      <c r="R233" s="1" t="s">
        <v>88</v>
      </c>
      <c r="S233" s="1" t="s">
        <v>107</v>
      </c>
      <c r="T233" s="15" t="s">
        <v>61</v>
      </c>
    </row>
    <row r="234" spans="1:20" x14ac:dyDescent="0.3">
      <c r="A234" s="14">
        <v>233</v>
      </c>
      <c r="B234" s="4">
        <v>44429</v>
      </c>
      <c r="C234" s="1" t="s">
        <v>531</v>
      </c>
      <c r="D234" s="1" t="s">
        <v>20</v>
      </c>
      <c r="E234" s="1" t="s">
        <v>29</v>
      </c>
      <c r="F234" s="2">
        <v>6</v>
      </c>
      <c r="G234" s="5">
        <v>2100</v>
      </c>
      <c r="H234" s="24">
        <f t="shared" si="15"/>
        <v>12600</v>
      </c>
      <c r="I234" s="7">
        <v>0.05</v>
      </c>
      <c r="J234" s="5">
        <f t="shared" si="16"/>
        <v>630</v>
      </c>
      <c r="K234" s="5">
        <f t="shared" si="17"/>
        <v>11970</v>
      </c>
      <c r="L234" s="5">
        <v>1490</v>
      </c>
      <c r="M234" s="5">
        <f t="shared" si="18"/>
        <v>3030</v>
      </c>
      <c r="N234" s="7">
        <f t="shared" si="19"/>
        <v>0.25313283208020049</v>
      </c>
      <c r="O234" s="1" t="s">
        <v>30</v>
      </c>
      <c r="P234" s="1" t="s">
        <v>31</v>
      </c>
      <c r="Q234" s="1" t="s">
        <v>48</v>
      </c>
      <c r="R234" s="1" t="s">
        <v>49</v>
      </c>
      <c r="S234" s="1" t="s">
        <v>44</v>
      </c>
      <c r="T234" s="15" t="s">
        <v>27</v>
      </c>
    </row>
    <row r="235" spans="1:20" x14ac:dyDescent="0.3">
      <c r="A235" s="14">
        <v>234</v>
      </c>
      <c r="B235" s="4">
        <v>44430</v>
      </c>
      <c r="C235" s="1" t="s">
        <v>532</v>
      </c>
      <c r="D235" s="1" t="s">
        <v>20</v>
      </c>
      <c r="E235" s="1" t="s">
        <v>29</v>
      </c>
      <c r="F235" s="2">
        <v>7</v>
      </c>
      <c r="G235" s="5">
        <v>2100</v>
      </c>
      <c r="H235" s="24">
        <f t="shared" si="15"/>
        <v>14700</v>
      </c>
      <c r="I235" s="7">
        <v>0.15</v>
      </c>
      <c r="J235" s="5">
        <f t="shared" si="16"/>
        <v>2205</v>
      </c>
      <c r="K235" s="5">
        <f t="shared" si="17"/>
        <v>12495</v>
      </c>
      <c r="L235" s="5">
        <v>1300</v>
      </c>
      <c r="M235" s="5">
        <f t="shared" si="18"/>
        <v>3395</v>
      </c>
      <c r="N235" s="7">
        <f t="shared" si="19"/>
        <v>0.27170868347338933</v>
      </c>
      <c r="O235" s="1" t="s">
        <v>30</v>
      </c>
      <c r="P235" s="1" t="s">
        <v>31</v>
      </c>
      <c r="Q235" s="1" t="s">
        <v>24</v>
      </c>
      <c r="R235" s="1" t="s">
        <v>49</v>
      </c>
      <c r="S235" s="1" t="s">
        <v>216</v>
      </c>
      <c r="T235" s="15" t="s">
        <v>53</v>
      </c>
    </row>
    <row r="236" spans="1:20" x14ac:dyDescent="0.3">
      <c r="A236" s="14">
        <v>235</v>
      </c>
      <c r="B236" s="4">
        <v>44431</v>
      </c>
      <c r="C236" s="1" t="s">
        <v>533</v>
      </c>
      <c r="D236" s="1" t="s">
        <v>20</v>
      </c>
      <c r="E236" s="1" t="s">
        <v>40</v>
      </c>
      <c r="F236" s="2">
        <v>4</v>
      </c>
      <c r="G236" s="5">
        <v>1500</v>
      </c>
      <c r="H236" s="24">
        <f t="shared" si="15"/>
        <v>6000</v>
      </c>
      <c r="I236" s="7">
        <v>0</v>
      </c>
      <c r="J236" s="5">
        <f t="shared" si="16"/>
        <v>0</v>
      </c>
      <c r="K236" s="5">
        <f t="shared" si="17"/>
        <v>6000</v>
      </c>
      <c r="L236" s="5">
        <v>900</v>
      </c>
      <c r="M236" s="5">
        <f t="shared" si="18"/>
        <v>2400</v>
      </c>
      <c r="N236" s="7">
        <f t="shared" si="19"/>
        <v>0.4</v>
      </c>
      <c r="O236" s="1" t="s">
        <v>59</v>
      </c>
      <c r="P236" s="1" t="s">
        <v>31</v>
      </c>
      <c r="Q236" s="1" t="s">
        <v>32</v>
      </c>
      <c r="R236" s="1" t="s">
        <v>50</v>
      </c>
      <c r="S236" s="1" t="s">
        <v>26</v>
      </c>
      <c r="T236" s="15" t="s">
        <v>35</v>
      </c>
    </row>
    <row r="237" spans="1:20" x14ac:dyDescent="0.3">
      <c r="A237" s="14">
        <v>236</v>
      </c>
      <c r="B237" s="4">
        <v>44432</v>
      </c>
      <c r="C237" s="1" t="s">
        <v>530</v>
      </c>
      <c r="D237" s="1" t="s">
        <v>20</v>
      </c>
      <c r="E237" s="1" t="s">
        <v>43</v>
      </c>
      <c r="F237" s="2">
        <v>3</v>
      </c>
      <c r="G237" s="5">
        <v>300</v>
      </c>
      <c r="H237" s="24">
        <f t="shared" si="15"/>
        <v>900</v>
      </c>
      <c r="I237" s="7">
        <v>0.02</v>
      </c>
      <c r="J237" s="5">
        <f t="shared" si="16"/>
        <v>18</v>
      </c>
      <c r="K237" s="5">
        <f t="shared" si="17"/>
        <v>882</v>
      </c>
      <c r="L237" s="5">
        <v>200</v>
      </c>
      <c r="M237" s="5">
        <f t="shared" si="18"/>
        <v>282</v>
      </c>
      <c r="N237" s="7">
        <f t="shared" si="19"/>
        <v>0.31972789115646261</v>
      </c>
      <c r="O237" s="1" t="s">
        <v>30</v>
      </c>
      <c r="P237" s="1" t="s">
        <v>31</v>
      </c>
      <c r="Q237" s="1" t="s">
        <v>37</v>
      </c>
      <c r="R237" s="1" t="s">
        <v>88</v>
      </c>
      <c r="S237" s="1" t="s">
        <v>217</v>
      </c>
      <c r="T237" s="15" t="s">
        <v>61</v>
      </c>
    </row>
    <row r="238" spans="1:20" x14ac:dyDescent="0.3">
      <c r="A238" s="14">
        <v>237</v>
      </c>
      <c r="B238" s="4">
        <v>44433</v>
      </c>
      <c r="C238" s="1" t="s">
        <v>529</v>
      </c>
      <c r="D238" s="1" t="s">
        <v>28</v>
      </c>
      <c r="E238" s="1" t="s">
        <v>45</v>
      </c>
      <c r="F238" s="2">
        <v>2</v>
      </c>
      <c r="G238" s="5">
        <v>190</v>
      </c>
      <c r="H238" s="24">
        <f t="shared" si="15"/>
        <v>380</v>
      </c>
      <c r="I238" s="7">
        <v>0.02</v>
      </c>
      <c r="J238" s="5">
        <f t="shared" si="16"/>
        <v>7.6000000000000005</v>
      </c>
      <c r="K238" s="5">
        <f t="shared" si="17"/>
        <v>372.4</v>
      </c>
      <c r="L238" s="5">
        <v>150</v>
      </c>
      <c r="M238" s="5">
        <f t="shared" si="18"/>
        <v>72.399999999999977</v>
      </c>
      <c r="N238" s="7">
        <f t="shared" si="19"/>
        <v>0.19441460794844248</v>
      </c>
      <c r="O238" s="1" t="s">
        <v>59</v>
      </c>
      <c r="P238" s="1" t="s">
        <v>31</v>
      </c>
      <c r="Q238" s="1" t="s">
        <v>37</v>
      </c>
      <c r="R238" s="1" t="s">
        <v>38</v>
      </c>
      <c r="S238" s="1" t="s">
        <v>58</v>
      </c>
      <c r="T238" s="15" t="s">
        <v>53</v>
      </c>
    </row>
    <row r="239" spans="1:20" x14ac:dyDescent="0.3">
      <c r="A239" s="14">
        <v>238</v>
      </c>
      <c r="B239" s="4">
        <v>44434</v>
      </c>
      <c r="C239" s="1" t="s">
        <v>534</v>
      </c>
      <c r="D239" s="1" t="s">
        <v>20</v>
      </c>
      <c r="E239" s="1" t="s">
        <v>21</v>
      </c>
      <c r="F239" s="2">
        <v>2</v>
      </c>
      <c r="G239" s="5">
        <v>210</v>
      </c>
      <c r="H239" s="24">
        <f t="shared" si="15"/>
        <v>420</v>
      </c>
      <c r="I239" s="7">
        <v>0.02</v>
      </c>
      <c r="J239" s="5">
        <f t="shared" si="16"/>
        <v>8.4</v>
      </c>
      <c r="K239" s="5">
        <f t="shared" si="17"/>
        <v>411.6</v>
      </c>
      <c r="L239" s="5">
        <v>140</v>
      </c>
      <c r="M239" s="5">
        <f t="shared" si="18"/>
        <v>131.60000000000002</v>
      </c>
      <c r="N239" s="7">
        <f t="shared" si="19"/>
        <v>0.31972789115646261</v>
      </c>
      <c r="O239" s="1" t="s">
        <v>54</v>
      </c>
      <c r="P239" s="1" t="s">
        <v>31</v>
      </c>
      <c r="Q239" s="1" t="s">
        <v>24</v>
      </c>
      <c r="R239" s="1" t="s">
        <v>25</v>
      </c>
      <c r="S239" s="1" t="s">
        <v>190</v>
      </c>
      <c r="T239" s="15" t="s">
        <v>53</v>
      </c>
    </row>
    <row r="240" spans="1:20" x14ac:dyDescent="0.3">
      <c r="A240" s="14">
        <v>239</v>
      </c>
      <c r="B240" s="4">
        <v>44435</v>
      </c>
      <c r="C240" s="1" t="s">
        <v>531</v>
      </c>
      <c r="D240" s="1" t="s">
        <v>28</v>
      </c>
      <c r="E240" s="1" t="s">
        <v>29</v>
      </c>
      <c r="F240" s="2">
        <v>7</v>
      </c>
      <c r="G240" s="5">
        <v>2100</v>
      </c>
      <c r="H240" s="24">
        <f t="shared" si="15"/>
        <v>14700</v>
      </c>
      <c r="I240" s="7">
        <v>0</v>
      </c>
      <c r="J240" s="5">
        <f t="shared" si="16"/>
        <v>0</v>
      </c>
      <c r="K240" s="5">
        <f t="shared" si="17"/>
        <v>14700</v>
      </c>
      <c r="L240" s="5">
        <v>1400</v>
      </c>
      <c r="M240" s="5">
        <f t="shared" si="18"/>
        <v>4900</v>
      </c>
      <c r="N240" s="7">
        <f t="shared" si="19"/>
        <v>0.33333333333333331</v>
      </c>
      <c r="O240" s="1" t="s">
        <v>30</v>
      </c>
      <c r="P240" s="1" t="s">
        <v>31</v>
      </c>
      <c r="Q240" s="1" t="s">
        <v>24</v>
      </c>
      <c r="R240" s="1" t="s">
        <v>25</v>
      </c>
      <c r="S240" s="1" t="s">
        <v>218</v>
      </c>
      <c r="T240" s="15" t="s">
        <v>27</v>
      </c>
    </row>
    <row r="241" spans="1:20" x14ac:dyDescent="0.3">
      <c r="A241" s="14">
        <v>240</v>
      </c>
      <c r="B241" s="4">
        <v>44436</v>
      </c>
      <c r="C241" s="1" t="s">
        <v>532</v>
      </c>
      <c r="D241" s="1" t="s">
        <v>20</v>
      </c>
      <c r="E241" s="1" t="s">
        <v>36</v>
      </c>
      <c r="F241" s="2">
        <v>6</v>
      </c>
      <c r="G241" s="5">
        <v>1200</v>
      </c>
      <c r="H241" s="24">
        <f t="shared" si="15"/>
        <v>7200</v>
      </c>
      <c r="I241" s="7">
        <v>0</v>
      </c>
      <c r="J241" s="5">
        <f t="shared" si="16"/>
        <v>0</v>
      </c>
      <c r="K241" s="5">
        <f t="shared" si="17"/>
        <v>7200</v>
      </c>
      <c r="L241" s="5">
        <v>770</v>
      </c>
      <c r="M241" s="5">
        <f t="shared" si="18"/>
        <v>2580</v>
      </c>
      <c r="N241" s="7">
        <f t="shared" si="19"/>
        <v>0.35833333333333334</v>
      </c>
      <c r="O241" s="1" t="s">
        <v>59</v>
      </c>
      <c r="P241" s="1" t="s">
        <v>31</v>
      </c>
      <c r="Q241" s="1" t="s">
        <v>24</v>
      </c>
      <c r="R241" s="1" t="s">
        <v>66</v>
      </c>
      <c r="S241" s="1" t="s">
        <v>176</v>
      </c>
      <c r="T241" s="15" t="s">
        <v>61</v>
      </c>
    </row>
    <row r="242" spans="1:20" x14ac:dyDescent="0.3">
      <c r="A242" s="14">
        <v>241</v>
      </c>
      <c r="B242" s="4">
        <v>44437</v>
      </c>
      <c r="C242" s="1" t="s">
        <v>533</v>
      </c>
      <c r="D242" s="1" t="s">
        <v>20</v>
      </c>
      <c r="E242" s="1" t="s">
        <v>40</v>
      </c>
      <c r="F242" s="2">
        <v>5</v>
      </c>
      <c r="G242" s="5">
        <v>1500</v>
      </c>
      <c r="H242" s="24">
        <f t="shared" si="15"/>
        <v>7500</v>
      </c>
      <c r="I242" s="7">
        <v>0</v>
      </c>
      <c r="J242" s="5">
        <f t="shared" si="16"/>
        <v>0</v>
      </c>
      <c r="K242" s="5">
        <f t="shared" si="17"/>
        <v>7500</v>
      </c>
      <c r="L242" s="5">
        <v>910</v>
      </c>
      <c r="M242" s="5">
        <f t="shared" si="18"/>
        <v>2950</v>
      </c>
      <c r="N242" s="7">
        <f t="shared" si="19"/>
        <v>0.39333333333333331</v>
      </c>
      <c r="O242" s="1" t="s">
        <v>41</v>
      </c>
      <c r="P242" s="1" t="s">
        <v>31</v>
      </c>
      <c r="Q242" s="1" t="s">
        <v>32</v>
      </c>
      <c r="R242" s="1" t="s">
        <v>25</v>
      </c>
      <c r="S242" s="1" t="s">
        <v>219</v>
      </c>
      <c r="T242" s="15" t="s">
        <v>53</v>
      </c>
    </row>
    <row r="243" spans="1:20" x14ac:dyDescent="0.3">
      <c r="A243" s="14">
        <v>242</v>
      </c>
      <c r="B243" s="4">
        <v>44438</v>
      </c>
      <c r="C243" s="1" t="s">
        <v>533</v>
      </c>
      <c r="D243" s="1" t="s">
        <v>20</v>
      </c>
      <c r="E243" s="1" t="s">
        <v>43</v>
      </c>
      <c r="F243" s="2">
        <v>4</v>
      </c>
      <c r="G243" s="5">
        <v>300</v>
      </c>
      <c r="H243" s="24">
        <f t="shared" si="15"/>
        <v>1200</v>
      </c>
      <c r="I243" s="7">
        <v>0</v>
      </c>
      <c r="J243" s="5">
        <f t="shared" si="16"/>
        <v>0</v>
      </c>
      <c r="K243" s="5">
        <f t="shared" si="17"/>
        <v>1200</v>
      </c>
      <c r="L243" s="5">
        <v>220</v>
      </c>
      <c r="M243" s="5">
        <f t="shared" si="18"/>
        <v>320</v>
      </c>
      <c r="N243" s="7">
        <f t="shared" si="19"/>
        <v>0.26666666666666666</v>
      </c>
      <c r="O243" s="1" t="s">
        <v>22</v>
      </c>
      <c r="P243" s="1" t="s">
        <v>31</v>
      </c>
      <c r="Q243" s="1" t="s">
        <v>48</v>
      </c>
      <c r="R243" s="1" t="s">
        <v>25</v>
      </c>
      <c r="S243" s="1" t="s">
        <v>220</v>
      </c>
      <c r="T243" s="15" t="s">
        <v>27</v>
      </c>
    </row>
    <row r="244" spans="1:20" x14ac:dyDescent="0.3">
      <c r="A244" s="14">
        <v>243</v>
      </c>
      <c r="B244" s="4">
        <v>44439</v>
      </c>
      <c r="C244" s="1" t="s">
        <v>530</v>
      </c>
      <c r="D244" s="1" t="s">
        <v>20</v>
      </c>
      <c r="E244" s="1" t="s">
        <v>43</v>
      </c>
      <c r="F244" s="2">
        <v>3</v>
      </c>
      <c r="G244" s="5">
        <v>300</v>
      </c>
      <c r="H244" s="24">
        <f t="shared" si="15"/>
        <v>900</v>
      </c>
      <c r="I244" s="7">
        <v>0</v>
      </c>
      <c r="J244" s="5">
        <f t="shared" si="16"/>
        <v>0</v>
      </c>
      <c r="K244" s="5">
        <f t="shared" si="17"/>
        <v>900</v>
      </c>
      <c r="L244" s="5">
        <v>240</v>
      </c>
      <c r="M244" s="5">
        <f t="shared" si="18"/>
        <v>180</v>
      </c>
      <c r="N244" s="7">
        <f t="shared" si="19"/>
        <v>0.2</v>
      </c>
      <c r="O244" s="1" t="s">
        <v>30</v>
      </c>
      <c r="P244" s="1" t="s">
        <v>31</v>
      </c>
      <c r="Q244" s="1" t="s">
        <v>32</v>
      </c>
      <c r="R244" s="1" t="s">
        <v>66</v>
      </c>
      <c r="S244" s="1" t="s">
        <v>221</v>
      </c>
      <c r="T244" s="15" t="s">
        <v>53</v>
      </c>
    </row>
    <row r="245" spans="1:20" x14ac:dyDescent="0.3">
      <c r="A245" s="14">
        <v>244</v>
      </c>
      <c r="B245" s="4">
        <v>44440</v>
      </c>
      <c r="C245" s="1" t="s">
        <v>530</v>
      </c>
      <c r="D245" s="1" t="s">
        <v>28</v>
      </c>
      <c r="E245" s="1" t="s">
        <v>45</v>
      </c>
      <c r="F245" s="2">
        <v>2</v>
      </c>
      <c r="G245" s="5">
        <v>190</v>
      </c>
      <c r="H245" s="24">
        <f t="shared" si="15"/>
        <v>380</v>
      </c>
      <c r="I245" s="7">
        <v>0.02</v>
      </c>
      <c r="J245" s="5">
        <f t="shared" si="16"/>
        <v>7.6000000000000005</v>
      </c>
      <c r="K245" s="5">
        <f t="shared" si="17"/>
        <v>372.4</v>
      </c>
      <c r="L245" s="5">
        <v>150</v>
      </c>
      <c r="M245" s="5">
        <f t="shared" si="18"/>
        <v>72.399999999999977</v>
      </c>
      <c r="N245" s="7">
        <f t="shared" si="19"/>
        <v>0.19441460794844248</v>
      </c>
      <c r="O245" s="1" t="s">
        <v>30</v>
      </c>
      <c r="P245" s="1" t="s">
        <v>31</v>
      </c>
      <c r="Q245" s="1" t="s">
        <v>48</v>
      </c>
      <c r="R245" s="1" t="s">
        <v>66</v>
      </c>
      <c r="S245" s="1" t="s">
        <v>84</v>
      </c>
      <c r="T245" s="15" t="s">
        <v>53</v>
      </c>
    </row>
    <row r="246" spans="1:20" x14ac:dyDescent="0.3">
      <c r="A246" s="14">
        <v>245</v>
      </c>
      <c r="B246" s="4">
        <v>44441</v>
      </c>
      <c r="C246" s="1" t="s">
        <v>530</v>
      </c>
      <c r="D246" s="1" t="s">
        <v>80</v>
      </c>
      <c r="E246" s="1" t="s">
        <v>21</v>
      </c>
      <c r="F246" s="2">
        <v>2</v>
      </c>
      <c r="G246" s="5">
        <v>210</v>
      </c>
      <c r="H246" s="24">
        <f t="shared" si="15"/>
        <v>420</v>
      </c>
      <c r="I246" s="7">
        <v>0.15</v>
      </c>
      <c r="J246" s="5">
        <f t="shared" si="16"/>
        <v>63</v>
      </c>
      <c r="K246" s="5">
        <f t="shared" si="17"/>
        <v>357</v>
      </c>
      <c r="L246" s="5">
        <v>150</v>
      </c>
      <c r="M246" s="5">
        <f t="shared" si="18"/>
        <v>57</v>
      </c>
      <c r="N246" s="7">
        <f t="shared" si="19"/>
        <v>0.15966386554621848</v>
      </c>
      <c r="O246" s="1" t="s">
        <v>54</v>
      </c>
      <c r="P246" s="1" t="s">
        <v>31</v>
      </c>
      <c r="Q246" s="1" t="s">
        <v>32</v>
      </c>
      <c r="R246" s="1" t="s">
        <v>49</v>
      </c>
      <c r="S246" s="1" t="s">
        <v>222</v>
      </c>
      <c r="T246" s="15" t="s">
        <v>53</v>
      </c>
    </row>
    <row r="247" spans="1:20" x14ac:dyDescent="0.3">
      <c r="A247" s="14">
        <v>246</v>
      </c>
      <c r="B247" s="4">
        <v>44442</v>
      </c>
      <c r="C247" s="1" t="s">
        <v>530</v>
      </c>
      <c r="D247" s="1" t="s">
        <v>82</v>
      </c>
      <c r="E247" s="1" t="s">
        <v>29</v>
      </c>
      <c r="F247" s="2">
        <v>7</v>
      </c>
      <c r="G247" s="5">
        <v>2100</v>
      </c>
      <c r="H247" s="24">
        <f t="shared" si="15"/>
        <v>14700</v>
      </c>
      <c r="I247" s="7">
        <v>0.05</v>
      </c>
      <c r="J247" s="5">
        <f t="shared" si="16"/>
        <v>735</v>
      </c>
      <c r="K247" s="5">
        <f t="shared" si="17"/>
        <v>13965</v>
      </c>
      <c r="L247" s="5">
        <v>1340</v>
      </c>
      <c r="M247" s="5">
        <f t="shared" si="18"/>
        <v>4585</v>
      </c>
      <c r="N247" s="7">
        <f t="shared" si="19"/>
        <v>0.32832080200501251</v>
      </c>
      <c r="O247" s="1" t="s">
        <v>59</v>
      </c>
      <c r="P247" s="1" t="s">
        <v>31</v>
      </c>
      <c r="Q247" s="1" t="s">
        <v>24</v>
      </c>
      <c r="R247" s="1" t="s">
        <v>56</v>
      </c>
      <c r="S247" s="1" t="s">
        <v>220</v>
      </c>
      <c r="T247" s="15" t="s">
        <v>53</v>
      </c>
    </row>
    <row r="248" spans="1:20" x14ac:dyDescent="0.3">
      <c r="A248" s="14">
        <v>247</v>
      </c>
      <c r="B248" s="4">
        <v>44443</v>
      </c>
      <c r="C248" s="1" t="s">
        <v>530</v>
      </c>
      <c r="D248" s="1" t="s">
        <v>20</v>
      </c>
      <c r="E248" s="1" t="s">
        <v>36</v>
      </c>
      <c r="F248" s="2">
        <v>6</v>
      </c>
      <c r="G248" s="5">
        <v>1200</v>
      </c>
      <c r="H248" s="24">
        <f t="shared" si="15"/>
        <v>7200</v>
      </c>
      <c r="I248" s="7">
        <v>0</v>
      </c>
      <c r="J248" s="5">
        <f t="shared" si="16"/>
        <v>0</v>
      </c>
      <c r="K248" s="5">
        <f t="shared" si="17"/>
        <v>7200</v>
      </c>
      <c r="L248" s="5">
        <v>730</v>
      </c>
      <c r="M248" s="5">
        <f t="shared" si="18"/>
        <v>2820</v>
      </c>
      <c r="N248" s="7">
        <f t="shared" si="19"/>
        <v>0.39166666666666666</v>
      </c>
      <c r="O248" s="1" t="s">
        <v>54</v>
      </c>
      <c r="P248" s="1" t="s">
        <v>31</v>
      </c>
      <c r="Q248" s="1" t="s">
        <v>32</v>
      </c>
      <c r="R248" s="1" t="s">
        <v>33</v>
      </c>
      <c r="S248" s="1" t="s">
        <v>114</v>
      </c>
      <c r="T248" s="15" t="s">
        <v>53</v>
      </c>
    </row>
    <row r="249" spans="1:20" x14ac:dyDescent="0.3">
      <c r="A249" s="14">
        <v>248</v>
      </c>
      <c r="B249" s="4">
        <v>44444</v>
      </c>
      <c r="C249" s="1" t="s">
        <v>530</v>
      </c>
      <c r="D249" s="1" t="s">
        <v>28</v>
      </c>
      <c r="E249" s="1" t="s">
        <v>40</v>
      </c>
      <c r="F249" s="2">
        <v>5</v>
      </c>
      <c r="G249" s="5">
        <v>1500</v>
      </c>
      <c r="H249" s="24">
        <f t="shared" si="15"/>
        <v>7500</v>
      </c>
      <c r="I249" s="7">
        <v>0.02</v>
      </c>
      <c r="J249" s="5">
        <f t="shared" si="16"/>
        <v>150</v>
      </c>
      <c r="K249" s="5">
        <f t="shared" si="17"/>
        <v>7350</v>
      </c>
      <c r="L249" s="5">
        <v>1010</v>
      </c>
      <c r="M249" s="5">
        <f t="shared" si="18"/>
        <v>2300</v>
      </c>
      <c r="N249" s="7">
        <f t="shared" si="19"/>
        <v>0.31292517006802723</v>
      </c>
      <c r="O249" s="1" t="s">
        <v>59</v>
      </c>
      <c r="P249" s="1" t="s">
        <v>31</v>
      </c>
      <c r="Q249" s="1" t="s">
        <v>48</v>
      </c>
      <c r="R249" s="1" t="s">
        <v>50</v>
      </c>
      <c r="S249" s="1" t="s">
        <v>223</v>
      </c>
      <c r="T249" s="15" t="s">
        <v>61</v>
      </c>
    </row>
    <row r="250" spans="1:20" x14ac:dyDescent="0.3">
      <c r="A250" s="14">
        <v>249</v>
      </c>
      <c r="B250" s="4">
        <v>44445</v>
      </c>
      <c r="C250" s="1" t="s">
        <v>530</v>
      </c>
      <c r="D250" s="1" t="s">
        <v>80</v>
      </c>
      <c r="E250" s="1" t="s">
        <v>43</v>
      </c>
      <c r="F250" s="2">
        <v>4</v>
      </c>
      <c r="G250" s="5">
        <v>300</v>
      </c>
      <c r="H250" s="24">
        <f t="shared" si="15"/>
        <v>1200</v>
      </c>
      <c r="I250" s="7">
        <v>0</v>
      </c>
      <c r="J250" s="5">
        <f t="shared" si="16"/>
        <v>0</v>
      </c>
      <c r="K250" s="5">
        <f t="shared" si="17"/>
        <v>1200</v>
      </c>
      <c r="L250" s="5">
        <v>180</v>
      </c>
      <c r="M250" s="5">
        <f t="shared" si="18"/>
        <v>480</v>
      </c>
      <c r="N250" s="7">
        <f t="shared" si="19"/>
        <v>0.4</v>
      </c>
      <c r="O250" s="1" t="s">
        <v>54</v>
      </c>
      <c r="P250" s="1" t="s">
        <v>31</v>
      </c>
      <c r="Q250" s="1" t="s">
        <v>32</v>
      </c>
      <c r="R250" s="1" t="s">
        <v>63</v>
      </c>
      <c r="S250" s="1" t="s">
        <v>224</v>
      </c>
      <c r="T250" s="15" t="s">
        <v>53</v>
      </c>
    </row>
    <row r="251" spans="1:20" x14ac:dyDescent="0.3">
      <c r="A251" s="14">
        <v>250</v>
      </c>
      <c r="B251" s="4">
        <v>44446</v>
      </c>
      <c r="C251" s="1" t="s">
        <v>530</v>
      </c>
      <c r="D251" s="1" t="s">
        <v>82</v>
      </c>
      <c r="E251" s="1" t="s">
        <v>43</v>
      </c>
      <c r="F251" s="2">
        <v>3</v>
      </c>
      <c r="G251" s="5">
        <v>300</v>
      </c>
      <c r="H251" s="24">
        <f t="shared" si="15"/>
        <v>900</v>
      </c>
      <c r="I251" s="7">
        <v>0.1</v>
      </c>
      <c r="J251" s="5">
        <f t="shared" si="16"/>
        <v>90</v>
      </c>
      <c r="K251" s="5">
        <f t="shared" si="17"/>
        <v>810</v>
      </c>
      <c r="L251" s="5">
        <v>200</v>
      </c>
      <c r="M251" s="5">
        <f t="shared" si="18"/>
        <v>210</v>
      </c>
      <c r="N251" s="7">
        <f t="shared" si="19"/>
        <v>0.25925925925925924</v>
      </c>
      <c r="O251" s="1" t="s">
        <v>41</v>
      </c>
      <c r="P251" s="1" t="s">
        <v>31</v>
      </c>
      <c r="Q251" s="1" t="s">
        <v>37</v>
      </c>
      <c r="R251" s="1" t="s">
        <v>63</v>
      </c>
      <c r="S251" s="1" t="s">
        <v>149</v>
      </c>
      <c r="T251" s="15" t="s">
        <v>27</v>
      </c>
    </row>
    <row r="252" spans="1:20" x14ac:dyDescent="0.3">
      <c r="A252" s="14">
        <v>251</v>
      </c>
      <c r="B252" s="4">
        <v>44447</v>
      </c>
      <c r="C252" s="1" t="s">
        <v>529</v>
      </c>
      <c r="D252" s="1" t="s">
        <v>28</v>
      </c>
      <c r="E252" s="1" t="s">
        <v>45</v>
      </c>
      <c r="F252" s="2">
        <v>2</v>
      </c>
      <c r="G252" s="5">
        <v>190</v>
      </c>
      <c r="H252" s="24">
        <f t="shared" si="15"/>
        <v>380</v>
      </c>
      <c r="I252" s="7">
        <v>0.15</v>
      </c>
      <c r="J252" s="5">
        <f t="shared" si="16"/>
        <v>57</v>
      </c>
      <c r="K252" s="5">
        <f t="shared" si="17"/>
        <v>323</v>
      </c>
      <c r="L252" s="5">
        <v>130</v>
      </c>
      <c r="M252" s="5">
        <f t="shared" si="18"/>
        <v>63</v>
      </c>
      <c r="N252" s="7">
        <f t="shared" si="19"/>
        <v>0.19504643962848298</v>
      </c>
      <c r="O252" s="1" t="s">
        <v>59</v>
      </c>
      <c r="P252" s="1" t="s">
        <v>31</v>
      </c>
      <c r="Q252" s="1" t="s">
        <v>32</v>
      </c>
      <c r="R252" s="1" t="s">
        <v>49</v>
      </c>
      <c r="S252" s="1" t="s">
        <v>85</v>
      </c>
      <c r="T252" s="15" t="s">
        <v>53</v>
      </c>
    </row>
    <row r="253" spans="1:20" x14ac:dyDescent="0.3">
      <c r="A253" s="14">
        <v>252</v>
      </c>
      <c r="B253" s="4">
        <v>44448</v>
      </c>
      <c r="C253" s="1" t="s">
        <v>529</v>
      </c>
      <c r="D253" s="1" t="s">
        <v>20</v>
      </c>
      <c r="E253" s="1" t="s">
        <v>21</v>
      </c>
      <c r="F253" s="2">
        <v>2</v>
      </c>
      <c r="G253" s="5">
        <v>210</v>
      </c>
      <c r="H253" s="24">
        <f t="shared" si="15"/>
        <v>420</v>
      </c>
      <c r="I253" s="7">
        <v>0.15</v>
      </c>
      <c r="J253" s="5">
        <f t="shared" si="16"/>
        <v>63</v>
      </c>
      <c r="K253" s="5">
        <f t="shared" si="17"/>
        <v>357</v>
      </c>
      <c r="L253" s="5">
        <v>160</v>
      </c>
      <c r="M253" s="5">
        <f t="shared" si="18"/>
        <v>37</v>
      </c>
      <c r="N253" s="7">
        <f t="shared" si="19"/>
        <v>0.10364145658263306</v>
      </c>
      <c r="O253" s="1" t="s">
        <v>59</v>
      </c>
      <c r="P253" s="1" t="s">
        <v>31</v>
      </c>
      <c r="Q253" s="1" t="s">
        <v>24</v>
      </c>
      <c r="R253" s="1" t="s">
        <v>63</v>
      </c>
      <c r="S253" s="1" t="s">
        <v>188</v>
      </c>
      <c r="T253" s="15" t="s">
        <v>53</v>
      </c>
    </row>
    <row r="254" spans="1:20" x14ac:dyDescent="0.3">
      <c r="A254" s="14">
        <v>253</v>
      </c>
      <c r="B254" s="4">
        <v>44449</v>
      </c>
      <c r="C254" s="1" t="s">
        <v>529</v>
      </c>
      <c r="D254" s="1" t="s">
        <v>80</v>
      </c>
      <c r="E254" s="1" t="s">
        <v>29</v>
      </c>
      <c r="F254" s="2">
        <v>7</v>
      </c>
      <c r="G254" s="5">
        <v>2100</v>
      </c>
      <c r="H254" s="24">
        <f t="shared" si="15"/>
        <v>14700</v>
      </c>
      <c r="I254" s="7">
        <v>0.05</v>
      </c>
      <c r="J254" s="5">
        <f t="shared" si="16"/>
        <v>735</v>
      </c>
      <c r="K254" s="5">
        <f t="shared" si="17"/>
        <v>13965</v>
      </c>
      <c r="L254" s="5">
        <v>1470</v>
      </c>
      <c r="M254" s="5">
        <f t="shared" si="18"/>
        <v>3675</v>
      </c>
      <c r="N254" s="7">
        <f t="shared" si="19"/>
        <v>0.26315789473684209</v>
      </c>
      <c r="O254" s="1" t="s">
        <v>54</v>
      </c>
      <c r="P254" s="1" t="s">
        <v>31</v>
      </c>
      <c r="Q254" s="1" t="s">
        <v>48</v>
      </c>
      <c r="R254" s="1" t="s">
        <v>33</v>
      </c>
      <c r="S254" s="1" t="s">
        <v>225</v>
      </c>
      <c r="T254" s="15" t="s">
        <v>35</v>
      </c>
    </row>
    <row r="255" spans="1:20" x14ac:dyDescent="0.3">
      <c r="A255" s="14">
        <v>254</v>
      </c>
      <c r="B255" s="4">
        <v>44450</v>
      </c>
      <c r="C255" s="1" t="s">
        <v>529</v>
      </c>
      <c r="D255" s="1" t="s">
        <v>82</v>
      </c>
      <c r="E255" s="1" t="s">
        <v>36</v>
      </c>
      <c r="F255" s="2">
        <v>6</v>
      </c>
      <c r="G255" s="5">
        <v>1200</v>
      </c>
      <c r="H255" s="24">
        <f t="shared" si="15"/>
        <v>7200</v>
      </c>
      <c r="I255" s="7">
        <v>0.02</v>
      </c>
      <c r="J255" s="5">
        <f t="shared" si="16"/>
        <v>144</v>
      </c>
      <c r="K255" s="5">
        <f t="shared" si="17"/>
        <v>7056</v>
      </c>
      <c r="L255" s="5">
        <v>980</v>
      </c>
      <c r="M255" s="5">
        <f t="shared" si="18"/>
        <v>1176</v>
      </c>
      <c r="N255" s="7">
        <f t="shared" si="19"/>
        <v>0.16666666666666666</v>
      </c>
      <c r="O255" s="1" t="s">
        <v>54</v>
      </c>
      <c r="P255" s="1" t="s">
        <v>31</v>
      </c>
      <c r="Q255" s="1" t="s">
        <v>32</v>
      </c>
      <c r="R255" s="1" t="s">
        <v>38</v>
      </c>
      <c r="S255" s="1" t="s">
        <v>206</v>
      </c>
      <c r="T255" s="15" t="s">
        <v>53</v>
      </c>
    </row>
    <row r="256" spans="1:20" x14ac:dyDescent="0.3">
      <c r="A256" s="14">
        <v>255</v>
      </c>
      <c r="B256" s="4">
        <v>44451</v>
      </c>
      <c r="C256" s="1" t="s">
        <v>529</v>
      </c>
      <c r="D256" s="1" t="s">
        <v>28</v>
      </c>
      <c r="E256" s="1" t="s">
        <v>40</v>
      </c>
      <c r="F256" s="2">
        <v>5</v>
      </c>
      <c r="G256" s="5">
        <v>1500</v>
      </c>
      <c r="H256" s="24">
        <f t="shared" si="15"/>
        <v>7500</v>
      </c>
      <c r="I256" s="7">
        <v>0</v>
      </c>
      <c r="J256" s="5">
        <f t="shared" si="16"/>
        <v>0</v>
      </c>
      <c r="K256" s="5">
        <f t="shared" si="17"/>
        <v>7500</v>
      </c>
      <c r="L256" s="5">
        <v>1070</v>
      </c>
      <c r="M256" s="5">
        <f t="shared" si="18"/>
        <v>2150</v>
      </c>
      <c r="N256" s="7">
        <f t="shared" si="19"/>
        <v>0.28666666666666668</v>
      </c>
      <c r="O256" s="1" t="s">
        <v>22</v>
      </c>
      <c r="P256" s="1" t="s">
        <v>31</v>
      </c>
      <c r="Q256" s="1" t="s">
        <v>24</v>
      </c>
      <c r="R256" s="1" t="s">
        <v>25</v>
      </c>
      <c r="S256" s="1" t="s">
        <v>110</v>
      </c>
      <c r="T256" s="15" t="s">
        <v>53</v>
      </c>
    </row>
    <row r="257" spans="1:20" x14ac:dyDescent="0.3">
      <c r="A257" s="14">
        <v>256</v>
      </c>
      <c r="B257" s="4">
        <v>44452</v>
      </c>
      <c r="C257" s="1" t="s">
        <v>529</v>
      </c>
      <c r="D257" s="1" t="s">
        <v>20</v>
      </c>
      <c r="E257" s="1" t="s">
        <v>43</v>
      </c>
      <c r="F257" s="2">
        <v>4</v>
      </c>
      <c r="G257" s="5">
        <v>300</v>
      </c>
      <c r="H257" s="24">
        <f t="shared" si="15"/>
        <v>1200</v>
      </c>
      <c r="I257" s="7">
        <v>0.1</v>
      </c>
      <c r="J257" s="5">
        <f t="shared" si="16"/>
        <v>120</v>
      </c>
      <c r="K257" s="5">
        <f t="shared" si="17"/>
        <v>1080</v>
      </c>
      <c r="L257" s="5">
        <v>200</v>
      </c>
      <c r="M257" s="5">
        <f t="shared" si="18"/>
        <v>280</v>
      </c>
      <c r="N257" s="7">
        <f t="shared" si="19"/>
        <v>0.25925925925925924</v>
      </c>
      <c r="O257" s="1" t="s">
        <v>30</v>
      </c>
      <c r="P257" s="1" t="s">
        <v>31</v>
      </c>
      <c r="Q257" s="1" t="s">
        <v>48</v>
      </c>
      <c r="R257" s="1" t="s">
        <v>66</v>
      </c>
      <c r="S257" s="1" t="s">
        <v>177</v>
      </c>
      <c r="T257" s="15" t="s">
        <v>53</v>
      </c>
    </row>
    <row r="258" spans="1:20" x14ac:dyDescent="0.3">
      <c r="A258" s="14">
        <v>257</v>
      </c>
      <c r="B258" s="4">
        <v>44453</v>
      </c>
      <c r="C258" s="1" t="s">
        <v>529</v>
      </c>
      <c r="D258" s="1" t="s">
        <v>80</v>
      </c>
      <c r="E258" s="1" t="s">
        <v>21</v>
      </c>
      <c r="F258" s="2">
        <v>7</v>
      </c>
      <c r="G258" s="5">
        <v>210</v>
      </c>
      <c r="H258" s="24">
        <f t="shared" ref="H258:H321" si="20">F258*G258</f>
        <v>1470</v>
      </c>
      <c r="I258" s="7">
        <v>0.05</v>
      </c>
      <c r="J258" s="5">
        <f t="shared" ref="J258:J321" si="21">H258*I258</f>
        <v>73.5</v>
      </c>
      <c r="K258" s="5">
        <f t="shared" ref="K258:K321" si="22">H258-J258</f>
        <v>1396.5</v>
      </c>
      <c r="L258" s="5">
        <v>160</v>
      </c>
      <c r="M258" s="5">
        <f t="shared" ref="M258:M321" si="23">K258-(F258*L258)</f>
        <v>276.5</v>
      </c>
      <c r="N258" s="7">
        <f t="shared" ref="N258:N321" si="24">IFERROR(M258/K258,0)</f>
        <v>0.19799498746867167</v>
      </c>
      <c r="O258" s="1" t="s">
        <v>22</v>
      </c>
      <c r="P258" s="1" t="s">
        <v>31</v>
      </c>
      <c r="Q258" s="1" t="s">
        <v>32</v>
      </c>
      <c r="R258" s="1" t="s">
        <v>88</v>
      </c>
      <c r="S258" s="1" t="s">
        <v>148</v>
      </c>
      <c r="T258" s="15" t="s">
        <v>35</v>
      </c>
    </row>
    <row r="259" spans="1:20" x14ac:dyDescent="0.3">
      <c r="A259" s="14">
        <v>258</v>
      </c>
      <c r="B259" s="4">
        <v>44454</v>
      </c>
      <c r="C259" s="1" t="s">
        <v>529</v>
      </c>
      <c r="D259" s="1" t="s">
        <v>82</v>
      </c>
      <c r="E259" s="1" t="s">
        <v>29</v>
      </c>
      <c r="F259" s="2">
        <v>6</v>
      </c>
      <c r="G259" s="5">
        <v>2100</v>
      </c>
      <c r="H259" s="24">
        <f t="shared" si="20"/>
        <v>12600</v>
      </c>
      <c r="I259" s="7">
        <v>0</v>
      </c>
      <c r="J259" s="5">
        <f t="shared" si="21"/>
        <v>0</v>
      </c>
      <c r="K259" s="5">
        <f t="shared" si="22"/>
        <v>12600</v>
      </c>
      <c r="L259" s="5">
        <v>1540</v>
      </c>
      <c r="M259" s="5">
        <f t="shared" si="23"/>
        <v>3360</v>
      </c>
      <c r="N259" s="7">
        <f t="shared" si="24"/>
        <v>0.26666666666666666</v>
      </c>
      <c r="O259" s="1" t="s">
        <v>59</v>
      </c>
      <c r="P259" s="1" t="s">
        <v>31</v>
      </c>
      <c r="Q259" s="1" t="s">
        <v>32</v>
      </c>
      <c r="R259" s="1" t="s">
        <v>46</v>
      </c>
      <c r="S259" s="1" t="s">
        <v>226</v>
      </c>
      <c r="T259" s="15" t="s">
        <v>53</v>
      </c>
    </row>
    <row r="260" spans="1:20" x14ac:dyDescent="0.3">
      <c r="A260" s="14">
        <v>259</v>
      </c>
      <c r="B260" s="4">
        <v>44455</v>
      </c>
      <c r="C260" s="1" t="s">
        <v>534</v>
      </c>
      <c r="D260" s="1" t="s">
        <v>82</v>
      </c>
      <c r="E260" s="1" t="s">
        <v>36</v>
      </c>
      <c r="F260" s="2">
        <v>5</v>
      </c>
      <c r="G260" s="5">
        <v>1200</v>
      </c>
      <c r="H260" s="24">
        <f t="shared" si="20"/>
        <v>6000</v>
      </c>
      <c r="I260" s="7">
        <v>0.05</v>
      </c>
      <c r="J260" s="5">
        <f t="shared" si="21"/>
        <v>300</v>
      </c>
      <c r="K260" s="5">
        <f t="shared" si="22"/>
        <v>5700</v>
      </c>
      <c r="L260" s="5">
        <v>750</v>
      </c>
      <c r="M260" s="5">
        <f t="shared" si="23"/>
        <v>1950</v>
      </c>
      <c r="N260" s="7">
        <f t="shared" si="24"/>
        <v>0.34210526315789475</v>
      </c>
      <c r="O260" s="1" t="s">
        <v>41</v>
      </c>
      <c r="P260" s="1" t="s">
        <v>31</v>
      </c>
      <c r="Q260" s="1" t="s">
        <v>37</v>
      </c>
      <c r="R260" s="1" t="s">
        <v>25</v>
      </c>
      <c r="S260" s="1" t="s">
        <v>227</v>
      </c>
      <c r="T260" s="15" t="s">
        <v>61</v>
      </c>
    </row>
    <row r="261" spans="1:20" x14ac:dyDescent="0.3">
      <c r="A261" s="14">
        <v>260</v>
      </c>
      <c r="B261" s="4">
        <v>44456</v>
      </c>
      <c r="C261" s="1" t="s">
        <v>531</v>
      </c>
      <c r="D261" s="1" t="s">
        <v>82</v>
      </c>
      <c r="E261" s="1" t="s">
        <v>40</v>
      </c>
      <c r="F261" s="2">
        <v>4</v>
      </c>
      <c r="G261" s="5">
        <v>1500</v>
      </c>
      <c r="H261" s="24">
        <f t="shared" si="20"/>
        <v>6000</v>
      </c>
      <c r="I261" s="7">
        <v>0</v>
      </c>
      <c r="J261" s="5">
        <f t="shared" si="21"/>
        <v>0</v>
      </c>
      <c r="K261" s="5">
        <f t="shared" si="22"/>
        <v>6000</v>
      </c>
      <c r="L261" s="5">
        <v>930</v>
      </c>
      <c r="M261" s="5">
        <f t="shared" si="23"/>
        <v>2280</v>
      </c>
      <c r="N261" s="7">
        <f t="shared" si="24"/>
        <v>0.38</v>
      </c>
      <c r="O261" s="1" t="s">
        <v>30</v>
      </c>
      <c r="P261" s="1" t="s">
        <v>31</v>
      </c>
      <c r="Q261" s="1" t="s">
        <v>48</v>
      </c>
      <c r="R261" s="1" t="s">
        <v>63</v>
      </c>
      <c r="S261" s="1" t="s">
        <v>228</v>
      </c>
      <c r="T261" s="15" t="s">
        <v>61</v>
      </c>
    </row>
    <row r="262" spans="1:20" x14ac:dyDescent="0.3">
      <c r="A262" s="14">
        <v>261</v>
      </c>
      <c r="B262" s="4">
        <v>44457</v>
      </c>
      <c r="C262" s="1" t="s">
        <v>532</v>
      </c>
      <c r="D262" s="1" t="s">
        <v>82</v>
      </c>
      <c r="E262" s="1" t="s">
        <v>43</v>
      </c>
      <c r="F262" s="2">
        <v>3</v>
      </c>
      <c r="G262" s="5">
        <v>300</v>
      </c>
      <c r="H262" s="24">
        <f t="shared" si="20"/>
        <v>900</v>
      </c>
      <c r="I262" s="7">
        <v>0.15</v>
      </c>
      <c r="J262" s="5">
        <f t="shared" si="21"/>
        <v>135</v>
      </c>
      <c r="K262" s="5">
        <f t="shared" si="22"/>
        <v>765</v>
      </c>
      <c r="L262" s="5">
        <v>220</v>
      </c>
      <c r="M262" s="5">
        <f t="shared" si="23"/>
        <v>105</v>
      </c>
      <c r="N262" s="7">
        <f t="shared" si="24"/>
        <v>0.13725490196078433</v>
      </c>
      <c r="O262" s="1" t="s">
        <v>59</v>
      </c>
      <c r="P262" s="1" t="s">
        <v>31</v>
      </c>
      <c r="Q262" s="1" t="s">
        <v>48</v>
      </c>
      <c r="R262" s="1" t="s">
        <v>66</v>
      </c>
      <c r="S262" s="1" t="s">
        <v>229</v>
      </c>
      <c r="T262" s="15" t="s">
        <v>61</v>
      </c>
    </row>
    <row r="263" spans="1:20" x14ac:dyDescent="0.3">
      <c r="A263" s="14">
        <v>262</v>
      </c>
      <c r="B263" s="4">
        <v>44458</v>
      </c>
      <c r="C263" s="1" t="s">
        <v>533</v>
      </c>
      <c r="D263" s="1" t="s">
        <v>82</v>
      </c>
      <c r="E263" s="1" t="s">
        <v>45</v>
      </c>
      <c r="F263" s="2">
        <v>2</v>
      </c>
      <c r="G263" s="5">
        <v>190</v>
      </c>
      <c r="H263" s="24">
        <f t="shared" si="20"/>
        <v>380</v>
      </c>
      <c r="I263" s="7">
        <v>0</v>
      </c>
      <c r="J263" s="5">
        <f t="shared" si="21"/>
        <v>0</v>
      </c>
      <c r="K263" s="5">
        <f t="shared" si="22"/>
        <v>380</v>
      </c>
      <c r="L263" s="5">
        <v>120</v>
      </c>
      <c r="M263" s="5">
        <f t="shared" si="23"/>
        <v>140</v>
      </c>
      <c r="N263" s="7">
        <f t="shared" si="24"/>
        <v>0.36842105263157893</v>
      </c>
      <c r="O263" s="1" t="s">
        <v>59</v>
      </c>
      <c r="P263" s="1" t="s">
        <v>31</v>
      </c>
      <c r="Q263" s="1" t="s">
        <v>32</v>
      </c>
      <c r="R263" s="1" t="s">
        <v>33</v>
      </c>
      <c r="S263" s="1" t="s">
        <v>116</v>
      </c>
      <c r="T263" s="15" t="s">
        <v>27</v>
      </c>
    </row>
    <row r="264" spans="1:20" x14ac:dyDescent="0.3">
      <c r="A264" s="14">
        <v>263</v>
      </c>
      <c r="B264" s="4">
        <v>44459</v>
      </c>
      <c r="C264" s="1" t="s">
        <v>533</v>
      </c>
      <c r="D264" s="1" t="s">
        <v>20</v>
      </c>
      <c r="E264" s="1" t="s">
        <v>21</v>
      </c>
      <c r="F264" s="2">
        <v>2</v>
      </c>
      <c r="G264" s="5">
        <v>210</v>
      </c>
      <c r="H264" s="24">
        <f t="shared" si="20"/>
        <v>420</v>
      </c>
      <c r="I264" s="7">
        <v>0.02</v>
      </c>
      <c r="J264" s="5">
        <f t="shared" si="21"/>
        <v>8.4</v>
      </c>
      <c r="K264" s="5">
        <f t="shared" si="22"/>
        <v>411.6</v>
      </c>
      <c r="L264" s="5">
        <v>150</v>
      </c>
      <c r="M264" s="5">
        <f t="shared" si="23"/>
        <v>111.60000000000002</v>
      </c>
      <c r="N264" s="7">
        <f t="shared" si="24"/>
        <v>0.2711370262390671</v>
      </c>
      <c r="O264" s="1" t="s">
        <v>59</v>
      </c>
      <c r="P264" s="1" t="s">
        <v>31</v>
      </c>
      <c r="Q264" s="1" t="s">
        <v>32</v>
      </c>
      <c r="R264" s="1" t="s">
        <v>49</v>
      </c>
      <c r="S264" s="1" t="s">
        <v>114</v>
      </c>
      <c r="T264" s="15" t="s">
        <v>27</v>
      </c>
    </row>
    <row r="265" spans="1:20" x14ac:dyDescent="0.3">
      <c r="A265" s="14">
        <v>264</v>
      </c>
      <c r="B265" s="4">
        <v>44460</v>
      </c>
      <c r="C265" s="1" t="s">
        <v>533</v>
      </c>
      <c r="D265" s="1" t="s">
        <v>28</v>
      </c>
      <c r="E265" s="1" t="s">
        <v>29</v>
      </c>
      <c r="F265" s="2">
        <v>7</v>
      </c>
      <c r="G265" s="5">
        <v>2100</v>
      </c>
      <c r="H265" s="24">
        <f t="shared" si="20"/>
        <v>14700</v>
      </c>
      <c r="I265" s="7">
        <v>0.1</v>
      </c>
      <c r="J265" s="5">
        <f t="shared" si="21"/>
        <v>1470</v>
      </c>
      <c r="K265" s="5">
        <f t="shared" si="22"/>
        <v>13230</v>
      </c>
      <c r="L265" s="5">
        <v>1350</v>
      </c>
      <c r="M265" s="5">
        <f t="shared" si="23"/>
        <v>3780</v>
      </c>
      <c r="N265" s="7">
        <f t="shared" si="24"/>
        <v>0.2857142857142857</v>
      </c>
      <c r="O265" s="1" t="s">
        <v>30</v>
      </c>
      <c r="P265" s="1" t="s">
        <v>76</v>
      </c>
      <c r="Q265" s="1" t="s">
        <v>37</v>
      </c>
      <c r="R265" s="1" t="s">
        <v>63</v>
      </c>
      <c r="S265" s="1" t="s">
        <v>230</v>
      </c>
      <c r="T265" s="15" t="s">
        <v>53</v>
      </c>
    </row>
    <row r="266" spans="1:20" x14ac:dyDescent="0.3">
      <c r="A266" s="14">
        <v>265</v>
      </c>
      <c r="B266" s="4">
        <v>44461</v>
      </c>
      <c r="C266" s="1" t="s">
        <v>533</v>
      </c>
      <c r="D266" s="1" t="s">
        <v>80</v>
      </c>
      <c r="E266" s="1" t="s">
        <v>36</v>
      </c>
      <c r="F266" s="2">
        <v>6</v>
      </c>
      <c r="G266" s="5">
        <v>1200</v>
      </c>
      <c r="H266" s="24">
        <f t="shared" si="20"/>
        <v>7200</v>
      </c>
      <c r="I266" s="7">
        <v>0</v>
      </c>
      <c r="J266" s="5">
        <f t="shared" si="21"/>
        <v>0</v>
      </c>
      <c r="K266" s="5">
        <f t="shared" si="22"/>
        <v>7200</v>
      </c>
      <c r="L266" s="5">
        <v>760</v>
      </c>
      <c r="M266" s="5">
        <f t="shared" si="23"/>
        <v>2640</v>
      </c>
      <c r="N266" s="7">
        <f t="shared" si="24"/>
        <v>0.36666666666666664</v>
      </c>
      <c r="O266" s="1" t="s">
        <v>54</v>
      </c>
      <c r="P266" s="1" t="s">
        <v>31</v>
      </c>
      <c r="Q266" s="1" t="s">
        <v>24</v>
      </c>
      <c r="R266" s="1" t="s">
        <v>38</v>
      </c>
      <c r="S266" s="1" t="s">
        <v>95</v>
      </c>
      <c r="T266" s="15" t="s">
        <v>27</v>
      </c>
    </row>
    <row r="267" spans="1:20" x14ac:dyDescent="0.3">
      <c r="A267" s="14">
        <v>266</v>
      </c>
      <c r="B267" s="4">
        <v>44462</v>
      </c>
      <c r="C267" s="1" t="s">
        <v>533</v>
      </c>
      <c r="D267" s="1" t="s">
        <v>82</v>
      </c>
      <c r="E267" s="1" t="s">
        <v>40</v>
      </c>
      <c r="F267" s="2">
        <v>5</v>
      </c>
      <c r="G267" s="5">
        <v>1500</v>
      </c>
      <c r="H267" s="24">
        <f t="shared" si="20"/>
        <v>7500</v>
      </c>
      <c r="I267" s="7">
        <v>0.05</v>
      </c>
      <c r="J267" s="5">
        <f t="shared" si="21"/>
        <v>375</v>
      </c>
      <c r="K267" s="5">
        <f t="shared" si="22"/>
        <v>7125</v>
      </c>
      <c r="L267" s="5">
        <v>1160</v>
      </c>
      <c r="M267" s="5">
        <f t="shared" si="23"/>
        <v>1325</v>
      </c>
      <c r="N267" s="7">
        <f t="shared" si="24"/>
        <v>0.18596491228070175</v>
      </c>
      <c r="O267" s="1" t="s">
        <v>59</v>
      </c>
      <c r="P267" s="1" t="s">
        <v>31</v>
      </c>
      <c r="Q267" s="1" t="s">
        <v>24</v>
      </c>
      <c r="R267" s="1" t="s">
        <v>63</v>
      </c>
      <c r="S267" s="1" t="s">
        <v>79</v>
      </c>
      <c r="T267" s="15" t="s">
        <v>53</v>
      </c>
    </row>
    <row r="268" spans="1:20" x14ac:dyDescent="0.3">
      <c r="A268" s="14">
        <v>267</v>
      </c>
      <c r="B268" s="4">
        <v>44463</v>
      </c>
      <c r="C268" s="1" t="s">
        <v>533</v>
      </c>
      <c r="D268" s="1" t="s">
        <v>20</v>
      </c>
      <c r="E268" s="1" t="s">
        <v>29</v>
      </c>
      <c r="F268" s="2">
        <v>7</v>
      </c>
      <c r="G268" s="5">
        <v>2100</v>
      </c>
      <c r="H268" s="24">
        <f t="shared" si="20"/>
        <v>14700</v>
      </c>
      <c r="I268" s="7">
        <v>0.02</v>
      </c>
      <c r="J268" s="5">
        <f t="shared" si="21"/>
        <v>294</v>
      </c>
      <c r="K268" s="5">
        <f t="shared" si="22"/>
        <v>14406</v>
      </c>
      <c r="L268" s="5">
        <v>1320</v>
      </c>
      <c r="M268" s="5">
        <f t="shared" si="23"/>
        <v>5166</v>
      </c>
      <c r="N268" s="7">
        <f t="shared" si="24"/>
        <v>0.35860058309037901</v>
      </c>
      <c r="O268" s="1" t="s">
        <v>54</v>
      </c>
      <c r="P268" s="1" t="s">
        <v>31</v>
      </c>
      <c r="Q268" s="1" t="s">
        <v>37</v>
      </c>
      <c r="R268" s="1" t="s">
        <v>49</v>
      </c>
      <c r="S268" s="1" t="s">
        <v>164</v>
      </c>
      <c r="T268" s="15" t="s">
        <v>35</v>
      </c>
    </row>
    <row r="269" spans="1:20" x14ac:dyDescent="0.3">
      <c r="A269" s="14">
        <v>268</v>
      </c>
      <c r="B269" s="4">
        <v>44464</v>
      </c>
      <c r="C269" s="1" t="s">
        <v>533</v>
      </c>
      <c r="D269" s="1" t="s">
        <v>28</v>
      </c>
      <c r="E269" s="1" t="s">
        <v>29</v>
      </c>
      <c r="F269" s="2">
        <v>7</v>
      </c>
      <c r="G269" s="5">
        <v>2100</v>
      </c>
      <c r="H269" s="24">
        <f t="shared" si="20"/>
        <v>14700</v>
      </c>
      <c r="I269" s="7">
        <v>0</v>
      </c>
      <c r="J269" s="5">
        <f t="shared" si="21"/>
        <v>0</v>
      </c>
      <c r="K269" s="5">
        <f t="shared" si="22"/>
        <v>14700</v>
      </c>
      <c r="L269" s="5">
        <v>1460</v>
      </c>
      <c r="M269" s="5">
        <f t="shared" si="23"/>
        <v>4480</v>
      </c>
      <c r="N269" s="7">
        <f t="shared" si="24"/>
        <v>0.30476190476190479</v>
      </c>
      <c r="O269" s="1" t="s">
        <v>30</v>
      </c>
      <c r="P269" s="1" t="s">
        <v>31</v>
      </c>
      <c r="Q269" s="1" t="s">
        <v>37</v>
      </c>
      <c r="R269" s="1" t="s">
        <v>46</v>
      </c>
      <c r="S269" s="1" t="s">
        <v>73</v>
      </c>
      <c r="T269" s="15" t="s">
        <v>61</v>
      </c>
    </row>
    <row r="270" spans="1:20" x14ac:dyDescent="0.3">
      <c r="A270" s="14">
        <v>269</v>
      </c>
      <c r="B270" s="4">
        <v>44465</v>
      </c>
      <c r="C270" s="1" t="s">
        <v>533</v>
      </c>
      <c r="D270" s="1" t="s">
        <v>80</v>
      </c>
      <c r="E270" s="1" t="s">
        <v>29</v>
      </c>
      <c r="F270" s="2">
        <v>7</v>
      </c>
      <c r="G270" s="5">
        <v>2100</v>
      </c>
      <c r="H270" s="24">
        <f t="shared" si="20"/>
        <v>14700</v>
      </c>
      <c r="I270" s="7">
        <v>0.02</v>
      </c>
      <c r="J270" s="5">
        <f t="shared" si="21"/>
        <v>294</v>
      </c>
      <c r="K270" s="5">
        <f t="shared" si="22"/>
        <v>14406</v>
      </c>
      <c r="L270" s="5">
        <v>1550</v>
      </c>
      <c r="M270" s="5">
        <f t="shared" si="23"/>
        <v>3556</v>
      </c>
      <c r="N270" s="7">
        <f t="shared" si="24"/>
        <v>0.24684159378036929</v>
      </c>
      <c r="O270" s="1" t="s">
        <v>30</v>
      </c>
      <c r="P270" s="1" t="s">
        <v>23</v>
      </c>
      <c r="Q270" s="1" t="s">
        <v>37</v>
      </c>
      <c r="R270" s="1" t="s">
        <v>49</v>
      </c>
      <c r="S270" s="1" t="s">
        <v>231</v>
      </c>
      <c r="T270" s="15" t="s">
        <v>61</v>
      </c>
    </row>
    <row r="271" spans="1:20" x14ac:dyDescent="0.3">
      <c r="A271" s="14">
        <v>270</v>
      </c>
      <c r="B271" s="4">
        <v>44466</v>
      </c>
      <c r="C271" s="1" t="s">
        <v>533</v>
      </c>
      <c r="D271" s="1" t="s">
        <v>82</v>
      </c>
      <c r="E271" s="1" t="s">
        <v>29</v>
      </c>
      <c r="F271" s="2">
        <v>7</v>
      </c>
      <c r="G271" s="5">
        <v>2100</v>
      </c>
      <c r="H271" s="24">
        <f t="shared" si="20"/>
        <v>14700</v>
      </c>
      <c r="I271" s="7">
        <v>0.02</v>
      </c>
      <c r="J271" s="5">
        <f t="shared" si="21"/>
        <v>294</v>
      </c>
      <c r="K271" s="5">
        <f t="shared" si="22"/>
        <v>14406</v>
      </c>
      <c r="L271" s="5">
        <v>1530</v>
      </c>
      <c r="M271" s="5">
        <f t="shared" si="23"/>
        <v>3696</v>
      </c>
      <c r="N271" s="7">
        <f t="shared" si="24"/>
        <v>0.2565597667638484</v>
      </c>
      <c r="O271" s="1" t="s">
        <v>30</v>
      </c>
      <c r="P271" s="1" t="s">
        <v>31</v>
      </c>
      <c r="Q271" s="1" t="s">
        <v>48</v>
      </c>
      <c r="R271" s="1" t="s">
        <v>49</v>
      </c>
      <c r="S271" s="1" t="s">
        <v>232</v>
      </c>
      <c r="T271" s="15" t="s">
        <v>27</v>
      </c>
    </row>
    <row r="272" spans="1:20" x14ac:dyDescent="0.3">
      <c r="A272" s="14">
        <v>271</v>
      </c>
      <c r="B272" s="4">
        <v>44467</v>
      </c>
      <c r="C272" s="1" t="s">
        <v>530</v>
      </c>
      <c r="D272" s="1" t="s">
        <v>20</v>
      </c>
      <c r="E272" s="1" t="s">
        <v>29</v>
      </c>
      <c r="F272" s="2">
        <v>7</v>
      </c>
      <c r="G272" s="5">
        <v>2100</v>
      </c>
      <c r="H272" s="24">
        <f t="shared" si="20"/>
        <v>14700</v>
      </c>
      <c r="I272" s="7">
        <v>0.1</v>
      </c>
      <c r="J272" s="5">
        <f t="shared" si="21"/>
        <v>1470</v>
      </c>
      <c r="K272" s="5">
        <f t="shared" si="22"/>
        <v>13230</v>
      </c>
      <c r="L272" s="5">
        <v>1500</v>
      </c>
      <c r="M272" s="5">
        <f t="shared" si="23"/>
        <v>2730</v>
      </c>
      <c r="N272" s="7">
        <f t="shared" si="24"/>
        <v>0.20634920634920634</v>
      </c>
      <c r="O272" s="1" t="s">
        <v>22</v>
      </c>
      <c r="P272" s="1" t="s">
        <v>31</v>
      </c>
      <c r="Q272" s="1" t="s">
        <v>48</v>
      </c>
      <c r="R272" s="1" t="s">
        <v>56</v>
      </c>
      <c r="S272" s="1" t="s">
        <v>148</v>
      </c>
      <c r="T272" s="15" t="s">
        <v>53</v>
      </c>
    </row>
    <row r="273" spans="1:20" x14ac:dyDescent="0.3">
      <c r="A273" s="14">
        <v>272</v>
      </c>
      <c r="B273" s="4">
        <v>44468</v>
      </c>
      <c r="C273" s="1" t="s">
        <v>529</v>
      </c>
      <c r="D273" s="1" t="s">
        <v>28</v>
      </c>
      <c r="E273" s="1" t="s">
        <v>29</v>
      </c>
      <c r="F273" s="2">
        <v>7</v>
      </c>
      <c r="G273" s="5">
        <v>2100</v>
      </c>
      <c r="H273" s="24">
        <f t="shared" si="20"/>
        <v>14700</v>
      </c>
      <c r="I273" s="7">
        <v>0.02</v>
      </c>
      <c r="J273" s="5">
        <f t="shared" si="21"/>
        <v>294</v>
      </c>
      <c r="K273" s="5">
        <f t="shared" si="22"/>
        <v>14406</v>
      </c>
      <c r="L273" s="5">
        <v>1700</v>
      </c>
      <c r="M273" s="5">
        <f t="shared" si="23"/>
        <v>2506</v>
      </c>
      <c r="N273" s="7">
        <f t="shared" si="24"/>
        <v>0.17395529640427598</v>
      </c>
      <c r="O273" s="1" t="s">
        <v>30</v>
      </c>
      <c r="P273" s="1" t="s">
        <v>31</v>
      </c>
      <c r="Q273" s="1" t="s">
        <v>32</v>
      </c>
      <c r="R273" s="1" t="s">
        <v>46</v>
      </c>
      <c r="S273" s="1" t="s">
        <v>92</v>
      </c>
      <c r="T273" s="15" t="s">
        <v>61</v>
      </c>
    </row>
    <row r="274" spans="1:20" x14ac:dyDescent="0.3">
      <c r="A274" s="14">
        <v>273</v>
      </c>
      <c r="B274" s="4">
        <v>44469</v>
      </c>
      <c r="C274" s="1" t="s">
        <v>534</v>
      </c>
      <c r="D274" s="1" t="s">
        <v>20</v>
      </c>
      <c r="E274" s="1" t="s">
        <v>29</v>
      </c>
      <c r="F274" s="2">
        <v>7</v>
      </c>
      <c r="G274" s="5">
        <v>2100</v>
      </c>
      <c r="H274" s="24">
        <f t="shared" si="20"/>
        <v>14700</v>
      </c>
      <c r="I274" s="7">
        <v>0.02</v>
      </c>
      <c r="J274" s="5">
        <f t="shared" si="21"/>
        <v>294</v>
      </c>
      <c r="K274" s="5">
        <f t="shared" si="22"/>
        <v>14406</v>
      </c>
      <c r="L274" s="5">
        <v>1260</v>
      </c>
      <c r="M274" s="5">
        <f t="shared" si="23"/>
        <v>5586</v>
      </c>
      <c r="N274" s="7">
        <f t="shared" si="24"/>
        <v>0.38775510204081631</v>
      </c>
      <c r="O274" s="1" t="s">
        <v>54</v>
      </c>
      <c r="P274" s="1" t="s">
        <v>31</v>
      </c>
      <c r="Q274" s="1" t="s">
        <v>37</v>
      </c>
      <c r="R274" s="1" t="s">
        <v>56</v>
      </c>
      <c r="S274" s="1" t="s">
        <v>163</v>
      </c>
      <c r="T274" s="15" t="s">
        <v>35</v>
      </c>
    </row>
    <row r="275" spans="1:20" x14ac:dyDescent="0.3">
      <c r="A275" s="14">
        <v>274</v>
      </c>
      <c r="B275" s="4">
        <v>44470</v>
      </c>
      <c r="C275" s="1" t="s">
        <v>531</v>
      </c>
      <c r="D275" s="1" t="s">
        <v>28</v>
      </c>
      <c r="E275" s="1" t="s">
        <v>29</v>
      </c>
      <c r="F275" s="2">
        <v>7</v>
      </c>
      <c r="G275" s="5">
        <v>2100</v>
      </c>
      <c r="H275" s="24">
        <f t="shared" si="20"/>
        <v>14700</v>
      </c>
      <c r="I275" s="7">
        <v>0.1</v>
      </c>
      <c r="J275" s="5">
        <f t="shared" si="21"/>
        <v>1470</v>
      </c>
      <c r="K275" s="5">
        <f t="shared" si="22"/>
        <v>13230</v>
      </c>
      <c r="L275" s="5">
        <v>1550</v>
      </c>
      <c r="M275" s="5">
        <f t="shared" si="23"/>
        <v>2380</v>
      </c>
      <c r="N275" s="7">
        <f t="shared" si="24"/>
        <v>0.17989417989417988</v>
      </c>
      <c r="O275" s="1" t="s">
        <v>41</v>
      </c>
      <c r="P275" s="1" t="s">
        <v>31</v>
      </c>
      <c r="Q275" s="1" t="s">
        <v>24</v>
      </c>
      <c r="R275" s="1" t="s">
        <v>50</v>
      </c>
      <c r="S275" s="1" t="s">
        <v>233</v>
      </c>
      <c r="T275" s="15" t="s">
        <v>27</v>
      </c>
    </row>
    <row r="276" spans="1:20" x14ac:dyDescent="0.3">
      <c r="A276" s="14">
        <v>275</v>
      </c>
      <c r="B276" s="4">
        <v>44471</v>
      </c>
      <c r="C276" s="1" t="s">
        <v>532</v>
      </c>
      <c r="D276" s="1" t="s">
        <v>20</v>
      </c>
      <c r="E276" s="1" t="s">
        <v>29</v>
      </c>
      <c r="F276" s="2">
        <v>7</v>
      </c>
      <c r="G276" s="5">
        <v>2100</v>
      </c>
      <c r="H276" s="24">
        <f t="shared" si="20"/>
        <v>14700</v>
      </c>
      <c r="I276" s="7">
        <v>0.05</v>
      </c>
      <c r="J276" s="5">
        <f t="shared" si="21"/>
        <v>735</v>
      </c>
      <c r="K276" s="5">
        <f t="shared" si="22"/>
        <v>13965</v>
      </c>
      <c r="L276" s="5">
        <v>1430</v>
      </c>
      <c r="M276" s="5">
        <f t="shared" si="23"/>
        <v>3955</v>
      </c>
      <c r="N276" s="7">
        <f t="shared" si="24"/>
        <v>0.2832080200501253</v>
      </c>
      <c r="O276" s="1" t="s">
        <v>30</v>
      </c>
      <c r="P276" s="1" t="s">
        <v>31</v>
      </c>
      <c r="Q276" s="1" t="s">
        <v>37</v>
      </c>
      <c r="R276" s="1" t="s">
        <v>88</v>
      </c>
      <c r="S276" s="1" t="s">
        <v>234</v>
      </c>
      <c r="T276" s="15" t="s">
        <v>27</v>
      </c>
    </row>
    <row r="277" spans="1:20" x14ac:dyDescent="0.3">
      <c r="A277" s="14">
        <v>276</v>
      </c>
      <c r="B277" s="4">
        <v>44472</v>
      </c>
      <c r="C277" s="1" t="s">
        <v>533</v>
      </c>
      <c r="D277" s="1" t="s">
        <v>20</v>
      </c>
      <c r="E277" s="1" t="s">
        <v>29</v>
      </c>
      <c r="F277" s="2">
        <v>7</v>
      </c>
      <c r="G277" s="5">
        <v>2100</v>
      </c>
      <c r="H277" s="24">
        <f t="shared" si="20"/>
        <v>14700</v>
      </c>
      <c r="I277" s="7">
        <v>0</v>
      </c>
      <c r="J277" s="5">
        <f t="shared" si="21"/>
        <v>0</v>
      </c>
      <c r="K277" s="5">
        <f t="shared" si="22"/>
        <v>14700</v>
      </c>
      <c r="L277" s="5">
        <v>1580</v>
      </c>
      <c r="M277" s="5">
        <f t="shared" si="23"/>
        <v>3640</v>
      </c>
      <c r="N277" s="7">
        <f t="shared" si="24"/>
        <v>0.24761904761904763</v>
      </c>
      <c r="O277" s="1" t="s">
        <v>59</v>
      </c>
      <c r="P277" s="1" t="s">
        <v>31</v>
      </c>
      <c r="Q277" s="1" t="s">
        <v>37</v>
      </c>
      <c r="R277" s="1" t="s">
        <v>56</v>
      </c>
      <c r="S277" s="1" t="s">
        <v>52</v>
      </c>
      <c r="T277" s="15" t="s">
        <v>61</v>
      </c>
    </row>
    <row r="278" spans="1:20" x14ac:dyDescent="0.3">
      <c r="A278" s="14">
        <v>277</v>
      </c>
      <c r="B278" s="4">
        <v>44473</v>
      </c>
      <c r="C278" s="1" t="s">
        <v>530</v>
      </c>
      <c r="D278" s="1" t="s">
        <v>20</v>
      </c>
      <c r="E278" s="1" t="s">
        <v>29</v>
      </c>
      <c r="F278" s="2">
        <v>7</v>
      </c>
      <c r="G278" s="5">
        <v>2100</v>
      </c>
      <c r="H278" s="24">
        <f t="shared" si="20"/>
        <v>14700</v>
      </c>
      <c r="I278" s="7">
        <v>0</v>
      </c>
      <c r="J278" s="5">
        <f t="shared" si="21"/>
        <v>0</v>
      </c>
      <c r="K278" s="5">
        <f t="shared" si="22"/>
        <v>14700</v>
      </c>
      <c r="L278" s="5">
        <v>1530</v>
      </c>
      <c r="M278" s="5">
        <f t="shared" si="23"/>
        <v>3990</v>
      </c>
      <c r="N278" s="7">
        <f t="shared" si="24"/>
        <v>0.27142857142857141</v>
      </c>
      <c r="O278" s="1" t="s">
        <v>59</v>
      </c>
      <c r="P278" s="1" t="s">
        <v>31</v>
      </c>
      <c r="Q278" s="1" t="s">
        <v>32</v>
      </c>
      <c r="R278" s="1" t="s">
        <v>49</v>
      </c>
      <c r="S278" s="1" t="s">
        <v>144</v>
      </c>
      <c r="T278" s="15" t="s">
        <v>35</v>
      </c>
    </row>
    <row r="279" spans="1:20" x14ac:dyDescent="0.3">
      <c r="A279" s="14">
        <v>278</v>
      </c>
      <c r="B279" s="4">
        <v>44474</v>
      </c>
      <c r="C279" s="1" t="s">
        <v>529</v>
      </c>
      <c r="D279" s="1" t="s">
        <v>28</v>
      </c>
      <c r="E279" s="1" t="s">
        <v>36</v>
      </c>
      <c r="F279" s="2">
        <v>5</v>
      </c>
      <c r="G279" s="5">
        <v>1200</v>
      </c>
      <c r="H279" s="24">
        <f t="shared" si="20"/>
        <v>6000</v>
      </c>
      <c r="I279" s="7">
        <v>0.05</v>
      </c>
      <c r="J279" s="5">
        <f t="shared" si="21"/>
        <v>300</v>
      </c>
      <c r="K279" s="5">
        <f t="shared" si="22"/>
        <v>5700</v>
      </c>
      <c r="L279" s="5">
        <v>780</v>
      </c>
      <c r="M279" s="5">
        <f t="shared" si="23"/>
        <v>1800</v>
      </c>
      <c r="N279" s="7">
        <f t="shared" si="24"/>
        <v>0.31578947368421051</v>
      </c>
      <c r="O279" s="1" t="s">
        <v>41</v>
      </c>
      <c r="P279" s="1" t="s">
        <v>31</v>
      </c>
      <c r="Q279" s="1" t="s">
        <v>24</v>
      </c>
      <c r="R279" s="1" t="s">
        <v>49</v>
      </c>
      <c r="S279" s="1" t="s">
        <v>201</v>
      </c>
      <c r="T279" s="15" t="s">
        <v>35</v>
      </c>
    </row>
    <row r="280" spans="1:20" x14ac:dyDescent="0.3">
      <c r="A280" s="14">
        <v>279</v>
      </c>
      <c r="B280" s="4">
        <v>44475</v>
      </c>
      <c r="C280" s="1" t="s">
        <v>534</v>
      </c>
      <c r="D280" s="1" t="s">
        <v>28</v>
      </c>
      <c r="E280" s="1" t="s">
        <v>40</v>
      </c>
      <c r="F280" s="2">
        <v>4</v>
      </c>
      <c r="G280" s="5">
        <v>1500</v>
      </c>
      <c r="H280" s="24">
        <f t="shared" si="20"/>
        <v>6000</v>
      </c>
      <c r="I280" s="7">
        <v>0.05</v>
      </c>
      <c r="J280" s="5">
        <f t="shared" si="21"/>
        <v>300</v>
      </c>
      <c r="K280" s="5">
        <f t="shared" si="22"/>
        <v>5700</v>
      </c>
      <c r="L280" s="5">
        <v>1150</v>
      </c>
      <c r="M280" s="5">
        <f t="shared" si="23"/>
        <v>1100</v>
      </c>
      <c r="N280" s="7">
        <f t="shared" si="24"/>
        <v>0.19298245614035087</v>
      </c>
      <c r="O280" s="1" t="s">
        <v>59</v>
      </c>
      <c r="P280" s="1" t="s">
        <v>31</v>
      </c>
      <c r="Q280" s="1" t="s">
        <v>32</v>
      </c>
      <c r="R280" s="1" t="s">
        <v>56</v>
      </c>
      <c r="S280" s="1" t="s">
        <v>235</v>
      </c>
      <c r="T280" s="15" t="s">
        <v>35</v>
      </c>
    </row>
    <row r="281" spans="1:20" x14ac:dyDescent="0.3">
      <c r="A281" s="14">
        <v>280</v>
      </c>
      <c r="B281" s="4">
        <v>44476</v>
      </c>
      <c r="C281" s="1" t="s">
        <v>531</v>
      </c>
      <c r="D281" s="1" t="s">
        <v>20</v>
      </c>
      <c r="E281" s="1" t="s">
        <v>43</v>
      </c>
      <c r="F281" s="2">
        <v>3</v>
      </c>
      <c r="G281" s="5">
        <v>300</v>
      </c>
      <c r="H281" s="24">
        <f t="shared" si="20"/>
        <v>900</v>
      </c>
      <c r="I281" s="7">
        <v>0.1</v>
      </c>
      <c r="J281" s="5">
        <f t="shared" si="21"/>
        <v>90</v>
      </c>
      <c r="K281" s="5">
        <f t="shared" si="22"/>
        <v>810</v>
      </c>
      <c r="L281" s="5">
        <v>230</v>
      </c>
      <c r="M281" s="5">
        <f t="shared" si="23"/>
        <v>120</v>
      </c>
      <c r="N281" s="7">
        <f t="shared" si="24"/>
        <v>0.14814814814814814</v>
      </c>
      <c r="O281" s="1" t="s">
        <v>54</v>
      </c>
      <c r="P281" s="1" t="s">
        <v>31</v>
      </c>
      <c r="Q281" s="1" t="s">
        <v>48</v>
      </c>
      <c r="R281" s="1" t="s">
        <v>49</v>
      </c>
      <c r="S281" s="1" t="s">
        <v>236</v>
      </c>
      <c r="T281" s="15" t="s">
        <v>27</v>
      </c>
    </row>
    <row r="282" spans="1:20" x14ac:dyDescent="0.3">
      <c r="A282" s="14">
        <v>281</v>
      </c>
      <c r="B282" s="4">
        <v>44477</v>
      </c>
      <c r="C282" s="1" t="s">
        <v>532</v>
      </c>
      <c r="D282" s="1" t="s">
        <v>20</v>
      </c>
      <c r="E282" s="1" t="s">
        <v>45</v>
      </c>
      <c r="F282" s="2">
        <v>2</v>
      </c>
      <c r="G282" s="5">
        <v>190</v>
      </c>
      <c r="H282" s="24">
        <f t="shared" si="20"/>
        <v>380</v>
      </c>
      <c r="I282" s="7">
        <v>0.05</v>
      </c>
      <c r="J282" s="5">
        <f t="shared" si="21"/>
        <v>19</v>
      </c>
      <c r="K282" s="5">
        <f t="shared" si="22"/>
        <v>361</v>
      </c>
      <c r="L282" s="5">
        <v>120</v>
      </c>
      <c r="M282" s="5">
        <f t="shared" si="23"/>
        <v>121</v>
      </c>
      <c r="N282" s="7">
        <f t="shared" si="24"/>
        <v>0.33518005540166207</v>
      </c>
      <c r="O282" s="1" t="s">
        <v>41</v>
      </c>
      <c r="P282" s="1" t="s">
        <v>31</v>
      </c>
      <c r="Q282" s="1" t="s">
        <v>32</v>
      </c>
      <c r="R282" s="1" t="s">
        <v>56</v>
      </c>
      <c r="S282" s="1" t="s">
        <v>237</v>
      </c>
      <c r="T282" s="15" t="s">
        <v>35</v>
      </c>
    </row>
    <row r="283" spans="1:20" x14ac:dyDescent="0.3">
      <c r="A283" s="14">
        <v>282</v>
      </c>
      <c r="B283" s="4">
        <v>44478</v>
      </c>
      <c r="C283" s="1" t="s">
        <v>533</v>
      </c>
      <c r="D283" s="1" t="s">
        <v>28</v>
      </c>
      <c r="E283" s="1" t="s">
        <v>21</v>
      </c>
      <c r="F283" s="2">
        <v>7</v>
      </c>
      <c r="G283" s="5">
        <v>210</v>
      </c>
      <c r="H283" s="24">
        <f t="shared" si="20"/>
        <v>1470</v>
      </c>
      <c r="I283" s="7">
        <v>0</v>
      </c>
      <c r="J283" s="5">
        <f t="shared" si="21"/>
        <v>0</v>
      </c>
      <c r="K283" s="5">
        <f t="shared" si="22"/>
        <v>1470</v>
      </c>
      <c r="L283" s="5">
        <v>150</v>
      </c>
      <c r="M283" s="5">
        <f t="shared" si="23"/>
        <v>420</v>
      </c>
      <c r="N283" s="7">
        <f t="shared" si="24"/>
        <v>0.2857142857142857</v>
      </c>
      <c r="O283" s="1" t="s">
        <v>59</v>
      </c>
      <c r="P283" s="1" t="s">
        <v>31</v>
      </c>
      <c r="Q283" s="1" t="s">
        <v>24</v>
      </c>
      <c r="R283" s="1" t="s">
        <v>38</v>
      </c>
      <c r="S283" s="1" t="s">
        <v>134</v>
      </c>
      <c r="T283" s="15" t="s">
        <v>61</v>
      </c>
    </row>
    <row r="284" spans="1:20" x14ac:dyDescent="0.3">
      <c r="A284" s="14">
        <v>283</v>
      </c>
      <c r="B284" s="4">
        <v>44479</v>
      </c>
      <c r="C284" s="1" t="s">
        <v>533</v>
      </c>
      <c r="D284" s="1" t="s">
        <v>20</v>
      </c>
      <c r="E284" s="1" t="s">
        <v>29</v>
      </c>
      <c r="F284" s="2">
        <v>6</v>
      </c>
      <c r="G284" s="5">
        <v>2100</v>
      </c>
      <c r="H284" s="24">
        <f t="shared" si="20"/>
        <v>12600</v>
      </c>
      <c r="I284" s="7">
        <v>0.15</v>
      </c>
      <c r="J284" s="5">
        <f t="shared" si="21"/>
        <v>1890</v>
      </c>
      <c r="K284" s="5">
        <f t="shared" si="22"/>
        <v>10710</v>
      </c>
      <c r="L284" s="5">
        <v>1640</v>
      </c>
      <c r="M284" s="5">
        <f t="shared" si="23"/>
        <v>870</v>
      </c>
      <c r="N284" s="7">
        <f t="shared" si="24"/>
        <v>8.1232492997198882E-2</v>
      </c>
      <c r="O284" s="1" t="s">
        <v>41</v>
      </c>
      <c r="P284" s="1" t="s">
        <v>31</v>
      </c>
      <c r="Q284" s="1" t="s">
        <v>32</v>
      </c>
      <c r="R284" s="1" t="s">
        <v>56</v>
      </c>
      <c r="S284" s="1" t="s">
        <v>238</v>
      </c>
      <c r="T284" s="15" t="s">
        <v>53</v>
      </c>
    </row>
    <row r="285" spans="1:20" x14ac:dyDescent="0.3">
      <c r="A285" s="14">
        <v>284</v>
      </c>
      <c r="B285" s="4">
        <v>44480</v>
      </c>
      <c r="C285" s="1" t="s">
        <v>530</v>
      </c>
      <c r="D285" s="1" t="s">
        <v>20</v>
      </c>
      <c r="E285" s="1" t="s">
        <v>36</v>
      </c>
      <c r="F285" s="2">
        <v>5</v>
      </c>
      <c r="G285" s="5">
        <v>1200</v>
      </c>
      <c r="H285" s="24">
        <f t="shared" si="20"/>
        <v>6000</v>
      </c>
      <c r="I285" s="7">
        <v>0</v>
      </c>
      <c r="J285" s="5">
        <f t="shared" si="21"/>
        <v>0</v>
      </c>
      <c r="K285" s="5">
        <f t="shared" si="22"/>
        <v>6000</v>
      </c>
      <c r="L285" s="5">
        <v>870</v>
      </c>
      <c r="M285" s="5">
        <f t="shared" si="23"/>
        <v>1650</v>
      </c>
      <c r="N285" s="7">
        <f t="shared" si="24"/>
        <v>0.27500000000000002</v>
      </c>
      <c r="O285" s="1" t="s">
        <v>41</v>
      </c>
      <c r="P285" s="1" t="s">
        <v>31</v>
      </c>
      <c r="Q285" s="1" t="s">
        <v>32</v>
      </c>
      <c r="R285" s="1" t="s">
        <v>38</v>
      </c>
      <c r="S285" s="1" t="s">
        <v>178</v>
      </c>
      <c r="T285" s="15" t="s">
        <v>53</v>
      </c>
    </row>
    <row r="286" spans="1:20" x14ac:dyDescent="0.3">
      <c r="A286" s="14">
        <v>285</v>
      </c>
      <c r="B286" s="4">
        <v>44481</v>
      </c>
      <c r="C286" s="1" t="s">
        <v>529</v>
      </c>
      <c r="D286" s="1" t="s">
        <v>20</v>
      </c>
      <c r="E286" s="1" t="s">
        <v>40</v>
      </c>
      <c r="F286" s="2">
        <v>4</v>
      </c>
      <c r="G286" s="5">
        <v>1500</v>
      </c>
      <c r="H286" s="24">
        <f t="shared" si="20"/>
        <v>6000</v>
      </c>
      <c r="I286" s="7">
        <v>0.02</v>
      </c>
      <c r="J286" s="5">
        <f t="shared" si="21"/>
        <v>120</v>
      </c>
      <c r="K286" s="5">
        <f t="shared" si="22"/>
        <v>5880</v>
      </c>
      <c r="L286" s="5">
        <v>1010</v>
      </c>
      <c r="M286" s="5">
        <f t="shared" si="23"/>
        <v>1840</v>
      </c>
      <c r="N286" s="7">
        <f t="shared" si="24"/>
        <v>0.31292517006802723</v>
      </c>
      <c r="O286" s="1" t="s">
        <v>22</v>
      </c>
      <c r="P286" s="1" t="s">
        <v>76</v>
      </c>
      <c r="Q286" s="1" t="s">
        <v>24</v>
      </c>
      <c r="R286" s="1" t="s">
        <v>66</v>
      </c>
      <c r="S286" s="1" t="s">
        <v>211</v>
      </c>
      <c r="T286" s="15" t="s">
        <v>27</v>
      </c>
    </row>
    <row r="287" spans="1:20" x14ac:dyDescent="0.3">
      <c r="A287" s="14">
        <v>286</v>
      </c>
      <c r="B287" s="4">
        <v>44482</v>
      </c>
      <c r="C287" s="1" t="s">
        <v>534</v>
      </c>
      <c r="D287" s="1" t="s">
        <v>20</v>
      </c>
      <c r="E287" s="1" t="s">
        <v>43</v>
      </c>
      <c r="F287" s="2">
        <v>3</v>
      </c>
      <c r="G287" s="5">
        <v>300</v>
      </c>
      <c r="H287" s="24">
        <f t="shared" si="20"/>
        <v>900</v>
      </c>
      <c r="I287" s="7">
        <v>0</v>
      </c>
      <c r="J287" s="5">
        <f t="shared" si="21"/>
        <v>0</v>
      </c>
      <c r="K287" s="5">
        <f t="shared" si="22"/>
        <v>900</v>
      </c>
      <c r="L287" s="5">
        <v>200</v>
      </c>
      <c r="M287" s="5">
        <f t="shared" si="23"/>
        <v>300</v>
      </c>
      <c r="N287" s="7">
        <f t="shared" si="24"/>
        <v>0.33333333333333331</v>
      </c>
      <c r="O287" s="1" t="s">
        <v>54</v>
      </c>
      <c r="P287" s="1" t="s">
        <v>31</v>
      </c>
      <c r="Q287" s="1" t="s">
        <v>32</v>
      </c>
      <c r="R287" s="1" t="s">
        <v>88</v>
      </c>
      <c r="S287" s="1" t="s">
        <v>121</v>
      </c>
      <c r="T287" s="15" t="s">
        <v>35</v>
      </c>
    </row>
    <row r="288" spans="1:20" x14ac:dyDescent="0.3">
      <c r="A288" s="14">
        <v>287</v>
      </c>
      <c r="B288" s="4">
        <v>44483</v>
      </c>
      <c r="C288" s="1" t="s">
        <v>531</v>
      </c>
      <c r="D288" s="1" t="s">
        <v>20</v>
      </c>
      <c r="E288" s="1" t="s">
        <v>45</v>
      </c>
      <c r="F288" s="2">
        <v>2</v>
      </c>
      <c r="G288" s="5">
        <v>190</v>
      </c>
      <c r="H288" s="24">
        <f t="shared" si="20"/>
        <v>380</v>
      </c>
      <c r="I288" s="7">
        <v>0.05</v>
      </c>
      <c r="J288" s="5">
        <f t="shared" si="21"/>
        <v>19</v>
      </c>
      <c r="K288" s="5">
        <f t="shared" si="22"/>
        <v>361</v>
      </c>
      <c r="L288" s="5">
        <v>120</v>
      </c>
      <c r="M288" s="5">
        <f t="shared" si="23"/>
        <v>121</v>
      </c>
      <c r="N288" s="7">
        <f t="shared" si="24"/>
        <v>0.33518005540166207</v>
      </c>
      <c r="O288" s="1" t="s">
        <v>41</v>
      </c>
      <c r="P288" s="1" t="s">
        <v>31</v>
      </c>
      <c r="Q288" s="1" t="s">
        <v>24</v>
      </c>
      <c r="R288" s="1" t="s">
        <v>38</v>
      </c>
      <c r="S288" s="1" t="s">
        <v>239</v>
      </c>
      <c r="T288" s="15" t="s">
        <v>27</v>
      </c>
    </row>
    <row r="289" spans="1:20" x14ac:dyDescent="0.3">
      <c r="A289" s="14">
        <v>288</v>
      </c>
      <c r="B289" s="4">
        <v>44484</v>
      </c>
      <c r="C289" s="1" t="s">
        <v>532</v>
      </c>
      <c r="D289" s="1" t="s">
        <v>20</v>
      </c>
      <c r="E289" s="1" t="s">
        <v>21</v>
      </c>
      <c r="F289" s="2">
        <v>2</v>
      </c>
      <c r="G289" s="5">
        <v>210</v>
      </c>
      <c r="H289" s="24">
        <f t="shared" si="20"/>
        <v>420</v>
      </c>
      <c r="I289" s="7">
        <v>0.15</v>
      </c>
      <c r="J289" s="5">
        <f t="shared" si="21"/>
        <v>63</v>
      </c>
      <c r="K289" s="5">
        <f t="shared" si="22"/>
        <v>357</v>
      </c>
      <c r="L289" s="5">
        <v>170</v>
      </c>
      <c r="M289" s="5">
        <f t="shared" si="23"/>
        <v>17</v>
      </c>
      <c r="N289" s="7">
        <f t="shared" si="24"/>
        <v>4.7619047619047616E-2</v>
      </c>
      <c r="O289" s="1" t="s">
        <v>22</v>
      </c>
      <c r="P289" s="1" t="s">
        <v>31</v>
      </c>
      <c r="Q289" s="1" t="s">
        <v>32</v>
      </c>
      <c r="R289" s="1" t="s">
        <v>38</v>
      </c>
      <c r="S289" s="1" t="s">
        <v>240</v>
      </c>
      <c r="T289" s="15" t="s">
        <v>53</v>
      </c>
    </row>
    <row r="290" spans="1:20" x14ac:dyDescent="0.3">
      <c r="A290" s="14">
        <v>289</v>
      </c>
      <c r="B290" s="4">
        <v>44485</v>
      </c>
      <c r="C290" s="1" t="s">
        <v>533</v>
      </c>
      <c r="D290" s="1" t="s">
        <v>20</v>
      </c>
      <c r="E290" s="1" t="s">
        <v>29</v>
      </c>
      <c r="F290" s="2">
        <v>7</v>
      </c>
      <c r="G290" s="5">
        <v>2100</v>
      </c>
      <c r="H290" s="24">
        <f t="shared" si="20"/>
        <v>14700</v>
      </c>
      <c r="I290" s="7">
        <v>0.1</v>
      </c>
      <c r="J290" s="5">
        <f t="shared" si="21"/>
        <v>1470</v>
      </c>
      <c r="K290" s="5">
        <f t="shared" si="22"/>
        <v>13230</v>
      </c>
      <c r="L290" s="5">
        <v>1580</v>
      </c>
      <c r="M290" s="5">
        <f t="shared" si="23"/>
        <v>2170</v>
      </c>
      <c r="N290" s="7">
        <f t="shared" si="24"/>
        <v>0.16402116402116401</v>
      </c>
      <c r="O290" s="1" t="s">
        <v>41</v>
      </c>
      <c r="P290" s="1" t="s">
        <v>31</v>
      </c>
      <c r="Q290" s="1" t="s">
        <v>48</v>
      </c>
      <c r="R290" s="1" t="s">
        <v>46</v>
      </c>
      <c r="S290" s="1" t="s">
        <v>195</v>
      </c>
      <c r="T290" s="15" t="s">
        <v>27</v>
      </c>
    </row>
    <row r="291" spans="1:20" x14ac:dyDescent="0.3">
      <c r="A291" s="14">
        <v>290</v>
      </c>
      <c r="B291" s="4">
        <v>44486</v>
      </c>
      <c r="C291" s="1" t="s">
        <v>530</v>
      </c>
      <c r="D291" s="1" t="s">
        <v>20</v>
      </c>
      <c r="E291" s="1" t="s">
        <v>36</v>
      </c>
      <c r="F291" s="2">
        <v>6</v>
      </c>
      <c r="G291" s="5">
        <v>1200</v>
      </c>
      <c r="H291" s="24">
        <f t="shared" si="20"/>
        <v>7200</v>
      </c>
      <c r="I291" s="7">
        <v>0</v>
      </c>
      <c r="J291" s="5">
        <f t="shared" si="21"/>
        <v>0</v>
      </c>
      <c r="K291" s="5">
        <f t="shared" si="22"/>
        <v>7200</v>
      </c>
      <c r="L291" s="5">
        <v>740</v>
      </c>
      <c r="M291" s="5">
        <f t="shared" si="23"/>
        <v>2760</v>
      </c>
      <c r="N291" s="7">
        <f t="shared" si="24"/>
        <v>0.38333333333333336</v>
      </c>
      <c r="O291" s="1" t="s">
        <v>59</v>
      </c>
      <c r="P291" s="1" t="s">
        <v>31</v>
      </c>
      <c r="Q291" s="1" t="s">
        <v>24</v>
      </c>
      <c r="R291" s="1" t="s">
        <v>46</v>
      </c>
      <c r="S291" s="1" t="s">
        <v>241</v>
      </c>
      <c r="T291" s="15" t="s">
        <v>61</v>
      </c>
    </row>
    <row r="292" spans="1:20" x14ac:dyDescent="0.3">
      <c r="A292" s="14">
        <v>291</v>
      </c>
      <c r="B292" s="4">
        <v>44487</v>
      </c>
      <c r="C292" s="1" t="s">
        <v>529</v>
      </c>
      <c r="D292" s="1" t="s">
        <v>28</v>
      </c>
      <c r="E292" s="1" t="s">
        <v>40</v>
      </c>
      <c r="F292" s="2">
        <v>5</v>
      </c>
      <c r="G292" s="5">
        <v>1500</v>
      </c>
      <c r="H292" s="24">
        <f t="shared" si="20"/>
        <v>7500</v>
      </c>
      <c r="I292" s="7">
        <v>0.1</v>
      </c>
      <c r="J292" s="5">
        <f t="shared" si="21"/>
        <v>750</v>
      </c>
      <c r="K292" s="5">
        <f t="shared" si="22"/>
        <v>6750</v>
      </c>
      <c r="L292" s="5">
        <v>900</v>
      </c>
      <c r="M292" s="5">
        <f t="shared" si="23"/>
        <v>2250</v>
      </c>
      <c r="N292" s="7">
        <f t="shared" si="24"/>
        <v>0.33333333333333331</v>
      </c>
      <c r="O292" s="1" t="s">
        <v>54</v>
      </c>
      <c r="P292" s="1" t="s">
        <v>31</v>
      </c>
      <c r="Q292" s="1" t="s">
        <v>37</v>
      </c>
      <c r="R292" s="1" t="s">
        <v>46</v>
      </c>
      <c r="S292" s="1" t="s">
        <v>178</v>
      </c>
      <c r="T292" s="15" t="s">
        <v>61</v>
      </c>
    </row>
    <row r="293" spans="1:20" x14ac:dyDescent="0.3">
      <c r="A293" s="14">
        <v>292</v>
      </c>
      <c r="B293" s="4">
        <v>44488</v>
      </c>
      <c r="C293" s="1" t="s">
        <v>534</v>
      </c>
      <c r="D293" s="1" t="s">
        <v>20</v>
      </c>
      <c r="E293" s="1" t="s">
        <v>43</v>
      </c>
      <c r="F293" s="2">
        <v>4</v>
      </c>
      <c r="G293" s="5">
        <v>300</v>
      </c>
      <c r="H293" s="24">
        <f t="shared" si="20"/>
        <v>1200</v>
      </c>
      <c r="I293" s="7">
        <v>0</v>
      </c>
      <c r="J293" s="5">
        <f t="shared" si="21"/>
        <v>0</v>
      </c>
      <c r="K293" s="5">
        <f t="shared" si="22"/>
        <v>1200</v>
      </c>
      <c r="L293" s="5">
        <v>200</v>
      </c>
      <c r="M293" s="5">
        <f t="shared" si="23"/>
        <v>400</v>
      </c>
      <c r="N293" s="7">
        <f t="shared" si="24"/>
        <v>0.33333333333333331</v>
      </c>
      <c r="O293" s="1" t="s">
        <v>54</v>
      </c>
      <c r="P293" s="1" t="s">
        <v>31</v>
      </c>
      <c r="Q293" s="1" t="s">
        <v>37</v>
      </c>
      <c r="R293" s="1" t="s">
        <v>88</v>
      </c>
      <c r="S293" s="1" t="s">
        <v>215</v>
      </c>
      <c r="T293" s="15" t="s">
        <v>27</v>
      </c>
    </row>
    <row r="294" spans="1:20" x14ac:dyDescent="0.3">
      <c r="A294" s="14">
        <v>293</v>
      </c>
      <c r="B294" s="4">
        <v>44489</v>
      </c>
      <c r="C294" s="1" t="s">
        <v>531</v>
      </c>
      <c r="D294" s="1" t="s">
        <v>28</v>
      </c>
      <c r="E294" s="1" t="s">
        <v>40</v>
      </c>
      <c r="F294" s="2">
        <v>5</v>
      </c>
      <c r="G294" s="5">
        <v>1500</v>
      </c>
      <c r="H294" s="24">
        <f t="shared" si="20"/>
        <v>7500</v>
      </c>
      <c r="I294" s="7">
        <v>0</v>
      </c>
      <c r="J294" s="5">
        <f t="shared" si="21"/>
        <v>0</v>
      </c>
      <c r="K294" s="5">
        <f t="shared" si="22"/>
        <v>7500</v>
      </c>
      <c r="L294" s="5">
        <v>1220</v>
      </c>
      <c r="M294" s="5">
        <f t="shared" si="23"/>
        <v>1400</v>
      </c>
      <c r="N294" s="7">
        <f t="shared" si="24"/>
        <v>0.18666666666666668</v>
      </c>
      <c r="O294" s="1" t="s">
        <v>22</v>
      </c>
      <c r="P294" s="1" t="s">
        <v>31</v>
      </c>
      <c r="Q294" s="1" t="s">
        <v>24</v>
      </c>
      <c r="R294" s="1" t="s">
        <v>38</v>
      </c>
      <c r="S294" s="1" t="s">
        <v>242</v>
      </c>
      <c r="T294" s="15" t="s">
        <v>61</v>
      </c>
    </row>
    <row r="295" spans="1:20" x14ac:dyDescent="0.3">
      <c r="A295" s="14">
        <v>294</v>
      </c>
      <c r="B295" s="4">
        <v>44490</v>
      </c>
      <c r="C295" s="1" t="s">
        <v>532</v>
      </c>
      <c r="D295" s="1" t="s">
        <v>20</v>
      </c>
      <c r="E295" s="1" t="s">
        <v>43</v>
      </c>
      <c r="F295" s="2">
        <v>4</v>
      </c>
      <c r="G295" s="5">
        <v>300</v>
      </c>
      <c r="H295" s="24">
        <f t="shared" si="20"/>
        <v>1200</v>
      </c>
      <c r="I295" s="7">
        <v>0.15</v>
      </c>
      <c r="J295" s="5">
        <f t="shared" si="21"/>
        <v>180</v>
      </c>
      <c r="K295" s="5">
        <f t="shared" si="22"/>
        <v>1020</v>
      </c>
      <c r="L295" s="5">
        <v>240</v>
      </c>
      <c r="M295" s="5">
        <f t="shared" si="23"/>
        <v>60</v>
      </c>
      <c r="N295" s="7">
        <f t="shared" si="24"/>
        <v>5.8823529411764705E-2</v>
      </c>
      <c r="O295" s="1" t="s">
        <v>54</v>
      </c>
      <c r="P295" s="1" t="s">
        <v>31</v>
      </c>
      <c r="Q295" s="1" t="s">
        <v>48</v>
      </c>
      <c r="R295" s="1" t="s">
        <v>38</v>
      </c>
      <c r="S295" s="1" t="s">
        <v>243</v>
      </c>
      <c r="T295" s="15" t="s">
        <v>53</v>
      </c>
    </row>
    <row r="296" spans="1:20" x14ac:dyDescent="0.3">
      <c r="A296" s="14">
        <v>295</v>
      </c>
      <c r="B296" s="4">
        <v>44491</v>
      </c>
      <c r="C296" s="1" t="s">
        <v>533</v>
      </c>
      <c r="D296" s="1" t="s">
        <v>20</v>
      </c>
      <c r="E296" s="1" t="s">
        <v>40</v>
      </c>
      <c r="F296" s="2">
        <v>5</v>
      </c>
      <c r="G296" s="5">
        <v>1500</v>
      </c>
      <c r="H296" s="24">
        <f t="shared" si="20"/>
        <v>7500</v>
      </c>
      <c r="I296" s="7">
        <v>0</v>
      </c>
      <c r="J296" s="5">
        <f t="shared" si="21"/>
        <v>0</v>
      </c>
      <c r="K296" s="5">
        <f t="shared" si="22"/>
        <v>7500</v>
      </c>
      <c r="L296" s="5">
        <v>1130</v>
      </c>
      <c r="M296" s="5">
        <f t="shared" si="23"/>
        <v>1850</v>
      </c>
      <c r="N296" s="7">
        <f t="shared" si="24"/>
        <v>0.24666666666666667</v>
      </c>
      <c r="O296" s="1" t="s">
        <v>54</v>
      </c>
      <c r="P296" s="1" t="s">
        <v>31</v>
      </c>
      <c r="Q296" s="1" t="s">
        <v>24</v>
      </c>
      <c r="R296" s="1" t="s">
        <v>88</v>
      </c>
      <c r="S296" s="1" t="s">
        <v>142</v>
      </c>
      <c r="T296" s="15" t="s">
        <v>27</v>
      </c>
    </row>
    <row r="297" spans="1:20" x14ac:dyDescent="0.3">
      <c r="A297" s="14">
        <v>296</v>
      </c>
      <c r="B297" s="4">
        <v>44492</v>
      </c>
      <c r="C297" s="1" t="s">
        <v>533</v>
      </c>
      <c r="D297" s="1" t="s">
        <v>20</v>
      </c>
      <c r="E297" s="1" t="s">
        <v>43</v>
      </c>
      <c r="F297" s="2">
        <v>4</v>
      </c>
      <c r="G297" s="5">
        <v>300</v>
      </c>
      <c r="H297" s="24">
        <f t="shared" si="20"/>
        <v>1200</v>
      </c>
      <c r="I297" s="7">
        <v>0.02</v>
      </c>
      <c r="J297" s="5">
        <f t="shared" si="21"/>
        <v>24</v>
      </c>
      <c r="K297" s="5">
        <f t="shared" si="22"/>
        <v>1176</v>
      </c>
      <c r="L297" s="5">
        <v>240</v>
      </c>
      <c r="M297" s="5">
        <f t="shared" si="23"/>
        <v>216</v>
      </c>
      <c r="N297" s="7">
        <f t="shared" si="24"/>
        <v>0.18367346938775511</v>
      </c>
      <c r="O297" s="1" t="s">
        <v>54</v>
      </c>
      <c r="P297" s="1" t="s">
        <v>31</v>
      </c>
      <c r="Q297" s="1" t="s">
        <v>48</v>
      </c>
      <c r="R297" s="1" t="s">
        <v>66</v>
      </c>
      <c r="S297" s="1" t="s">
        <v>244</v>
      </c>
      <c r="T297" s="15" t="s">
        <v>53</v>
      </c>
    </row>
    <row r="298" spans="1:20" x14ac:dyDescent="0.3">
      <c r="A298" s="14">
        <v>297</v>
      </c>
      <c r="B298" s="4">
        <v>44493</v>
      </c>
      <c r="C298" s="1" t="s">
        <v>530</v>
      </c>
      <c r="D298" s="1" t="s">
        <v>20</v>
      </c>
      <c r="E298" s="1" t="s">
        <v>40</v>
      </c>
      <c r="F298" s="2">
        <v>5</v>
      </c>
      <c r="G298" s="5">
        <v>1500</v>
      </c>
      <c r="H298" s="24">
        <f t="shared" si="20"/>
        <v>7500</v>
      </c>
      <c r="I298" s="7">
        <v>0</v>
      </c>
      <c r="J298" s="5">
        <f t="shared" si="21"/>
        <v>0</v>
      </c>
      <c r="K298" s="5">
        <f t="shared" si="22"/>
        <v>7500</v>
      </c>
      <c r="L298" s="5">
        <v>980</v>
      </c>
      <c r="M298" s="5">
        <f t="shared" si="23"/>
        <v>2600</v>
      </c>
      <c r="N298" s="7">
        <f t="shared" si="24"/>
        <v>0.34666666666666668</v>
      </c>
      <c r="O298" s="1" t="s">
        <v>41</v>
      </c>
      <c r="P298" s="1" t="s">
        <v>31</v>
      </c>
      <c r="Q298" s="1" t="s">
        <v>48</v>
      </c>
      <c r="R298" s="1" t="s">
        <v>56</v>
      </c>
      <c r="S298" s="1" t="s">
        <v>245</v>
      </c>
      <c r="T298" s="15" t="s">
        <v>61</v>
      </c>
    </row>
    <row r="299" spans="1:20" x14ac:dyDescent="0.3">
      <c r="A299" s="14">
        <v>298</v>
      </c>
      <c r="B299" s="4">
        <v>44494</v>
      </c>
      <c r="C299" s="1" t="s">
        <v>530</v>
      </c>
      <c r="D299" s="1" t="s">
        <v>28</v>
      </c>
      <c r="E299" s="1" t="s">
        <v>43</v>
      </c>
      <c r="F299" s="2">
        <v>4</v>
      </c>
      <c r="G299" s="5">
        <v>300</v>
      </c>
      <c r="H299" s="24">
        <f t="shared" si="20"/>
        <v>1200</v>
      </c>
      <c r="I299" s="7">
        <v>0</v>
      </c>
      <c r="J299" s="5">
        <f t="shared" si="21"/>
        <v>0</v>
      </c>
      <c r="K299" s="5">
        <f t="shared" si="22"/>
        <v>1200</v>
      </c>
      <c r="L299" s="5">
        <v>210</v>
      </c>
      <c r="M299" s="5">
        <f t="shared" si="23"/>
        <v>360</v>
      </c>
      <c r="N299" s="7">
        <f t="shared" si="24"/>
        <v>0.3</v>
      </c>
      <c r="O299" s="1" t="s">
        <v>41</v>
      </c>
      <c r="P299" s="1" t="s">
        <v>31</v>
      </c>
      <c r="Q299" s="1" t="s">
        <v>32</v>
      </c>
      <c r="R299" s="1" t="s">
        <v>25</v>
      </c>
      <c r="S299" s="1" t="s">
        <v>198</v>
      </c>
      <c r="T299" s="15" t="s">
        <v>35</v>
      </c>
    </row>
    <row r="300" spans="1:20" x14ac:dyDescent="0.3">
      <c r="A300" s="14">
        <v>299</v>
      </c>
      <c r="B300" s="4">
        <v>44495</v>
      </c>
      <c r="C300" s="1" t="s">
        <v>530</v>
      </c>
      <c r="D300" s="1" t="s">
        <v>80</v>
      </c>
      <c r="E300" s="1" t="s">
        <v>40</v>
      </c>
      <c r="F300" s="2">
        <v>5</v>
      </c>
      <c r="G300" s="5">
        <v>1500</v>
      </c>
      <c r="H300" s="24">
        <f t="shared" si="20"/>
        <v>7500</v>
      </c>
      <c r="I300" s="7">
        <v>0.1</v>
      </c>
      <c r="J300" s="5">
        <f t="shared" si="21"/>
        <v>750</v>
      </c>
      <c r="K300" s="5">
        <f t="shared" si="22"/>
        <v>6750</v>
      </c>
      <c r="L300" s="5">
        <v>990</v>
      </c>
      <c r="M300" s="5">
        <f t="shared" si="23"/>
        <v>1800</v>
      </c>
      <c r="N300" s="7">
        <f t="shared" si="24"/>
        <v>0.26666666666666666</v>
      </c>
      <c r="O300" s="1" t="s">
        <v>41</v>
      </c>
      <c r="P300" s="1" t="s">
        <v>31</v>
      </c>
      <c r="Q300" s="1" t="s">
        <v>32</v>
      </c>
      <c r="R300" s="1" t="s">
        <v>46</v>
      </c>
      <c r="S300" s="1" t="s">
        <v>110</v>
      </c>
      <c r="T300" s="15" t="s">
        <v>53</v>
      </c>
    </row>
    <row r="301" spans="1:20" x14ac:dyDescent="0.3">
      <c r="A301" s="14">
        <v>300</v>
      </c>
      <c r="B301" s="4">
        <v>44496</v>
      </c>
      <c r="C301" s="1" t="s">
        <v>530</v>
      </c>
      <c r="D301" s="1" t="s">
        <v>82</v>
      </c>
      <c r="E301" s="1" t="s">
        <v>43</v>
      </c>
      <c r="F301" s="2">
        <v>4</v>
      </c>
      <c r="G301" s="5">
        <v>300</v>
      </c>
      <c r="H301" s="24">
        <f t="shared" si="20"/>
        <v>1200</v>
      </c>
      <c r="I301" s="7">
        <v>0</v>
      </c>
      <c r="J301" s="5">
        <f t="shared" si="21"/>
        <v>0</v>
      </c>
      <c r="K301" s="5">
        <f t="shared" si="22"/>
        <v>1200</v>
      </c>
      <c r="L301" s="5">
        <v>240</v>
      </c>
      <c r="M301" s="5">
        <f t="shared" si="23"/>
        <v>240</v>
      </c>
      <c r="N301" s="7">
        <f t="shared" si="24"/>
        <v>0.2</v>
      </c>
      <c r="O301" s="1" t="s">
        <v>22</v>
      </c>
      <c r="P301" s="1" t="s">
        <v>31</v>
      </c>
      <c r="Q301" s="1" t="s">
        <v>37</v>
      </c>
      <c r="R301" s="1" t="s">
        <v>88</v>
      </c>
      <c r="S301" s="1" t="s">
        <v>117</v>
      </c>
      <c r="T301" s="15" t="s">
        <v>35</v>
      </c>
    </row>
    <row r="302" spans="1:20" x14ac:dyDescent="0.3">
      <c r="A302" s="14">
        <v>301</v>
      </c>
      <c r="B302" s="4">
        <v>44497</v>
      </c>
      <c r="C302" s="1" t="s">
        <v>530</v>
      </c>
      <c r="D302" s="1" t="s">
        <v>20</v>
      </c>
      <c r="E302" s="1" t="s">
        <v>40</v>
      </c>
      <c r="F302" s="2">
        <v>5</v>
      </c>
      <c r="G302" s="5">
        <v>1500</v>
      </c>
      <c r="H302" s="24">
        <f t="shared" si="20"/>
        <v>7500</v>
      </c>
      <c r="I302" s="7">
        <v>0.05</v>
      </c>
      <c r="J302" s="5">
        <f t="shared" si="21"/>
        <v>375</v>
      </c>
      <c r="K302" s="5">
        <f t="shared" si="22"/>
        <v>7125</v>
      </c>
      <c r="L302" s="5">
        <v>1080</v>
      </c>
      <c r="M302" s="5">
        <f t="shared" si="23"/>
        <v>1725</v>
      </c>
      <c r="N302" s="7">
        <f t="shared" si="24"/>
        <v>0.24210526315789474</v>
      </c>
      <c r="O302" s="1" t="s">
        <v>22</v>
      </c>
      <c r="P302" s="1" t="s">
        <v>31</v>
      </c>
      <c r="Q302" s="1" t="s">
        <v>32</v>
      </c>
      <c r="R302" s="1" t="s">
        <v>50</v>
      </c>
      <c r="S302" s="1" t="s">
        <v>89</v>
      </c>
      <c r="T302" s="15" t="s">
        <v>53</v>
      </c>
    </row>
    <row r="303" spans="1:20" x14ac:dyDescent="0.3">
      <c r="A303" s="14">
        <v>302</v>
      </c>
      <c r="B303" s="4">
        <v>44498</v>
      </c>
      <c r="C303" s="1" t="s">
        <v>530</v>
      </c>
      <c r="D303" s="1" t="s">
        <v>28</v>
      </c>
      <c r="E303" s="1" t="s">
        <v>29</v>
      </c>
      <c r="F303" s="2">
        <v>6</v>
      </c>
      <c r="G303" s="5">
        <v>2100</v>
      </c>
      <c r="H303" s="24">
        <f t="shared" si="20"/>
        <v>12600</v>
      </c>
      <c r="I303" s="7">
        <v>0</v>
      </c>
      <c r="J303" s="5">
        <f t="shared" si="21"/>
        <v>0</v>
      </c>
      <c r="K303" s="5">
        <f t="shared" si="22"/>
        <v>12600</v>
      </c>
      <c r="L303" s="5">
        <v>1360</v>
      </c>
      <c r="M303" s="5">
        <f t="shared" si="23"/>
        <v>4440</v>
      </c>
      <c r="N303" s="7">
        <f t="shared" si="24"/>
        <v>0.35238095238095241</v>
      </c>
      <c r="O303" s="1" t="s">
        <v>54</v>
      </c>
      <c r="P303" s="1" t="s">
        <v>31</v>
      </c>
      <c r="Q303" s="1" t="s">
        <v>32</v>
      </c>
      <c r="R303" s="1" t="s">
        <v>63</v>
      </c>
      <c r="S303" s="1" t="s">
        <v>119</v>
      </c>
      <c r="T303" s="15" t="s">
        <v>61</v>
      </c>
    </row>
    <row r="304" spans="1:20" x14ac:dyDescent="0.3">
      <c r="A304" s="14">
        <v>303</v>
      </c>
      <c r="B304" s="4">
        <v>44499</v>
      </c>
      <c r="C304" s="1" t="s">
        <v>530</v>
      </c>
      <c r="D304" s="1" t="s">
        <v>80</v>
      </c>
      <c r="E304" s="1" t="s">
        <v>36</v>
      </c>
      <c r="F304" s="2">
        <v>5</v>
      </c>
      <c r="G304" s="5">
        <v>1200</v>
      </c>
      <c r="H304" s="24">
        <f t="shared" si="20"/>
        <v>6000</v>
      </c>
      <c r="I304" s="7">
        <v>0.05</v>
      </c>
      <c r="J304" s="5">
        <f t="shared" si="21"/>
        <v>300</v>
      </c>
      <c r="K304" s="5">
        <f t="shared" si="22"/>
        <v>5700</v>
      </c>
      <c r="L304" s="5">
        <v>960</v>
      </c>
      <c r="M304" s="5">
        <f t="shared" si="23"/>
        <v>900</v>
      </c>
      <c r="N304" s="7">
        <f t="shared" si="24"/>
        <v>0.15789473684210525</v>
      </c>
      <c r="O304" s="1" t="s">
        <v>59</v>
      </c>
      <c r="P304" s="1" t="s">
        <v>31</v>
      </c>
      <c r="Q304" s="1" t="s">
        <v>24</v>
      </c>
      <c r="R304" s="1" t="s">
        <v>50</v>
      </c>
      <c r="S304" s="1" t="s">
        <v>234</v>
      </c>
      <c r="T304" s="15" t="s">
        <v>53</v>
      </c>
    </row>
    <row r="305" spans="1:20" x14ac:dyDescent="0.3">
      <c r="A305" s="14">
        <v>304</v>
      </c>
      <c r="B305" s="4">
        <v>44500</v>
      </c>
      <c r="C305" s="1" t="s">
        <v>530</v>
      </c>
      <c r="D305" s="1" t="s">
        <v>82</v>
      </c>
      <c r="E305" s="1" t="s">
        <v>40</v>
      </c>
      <c r="F305" s="2">
        <v>4</v>
      </c>
      <c r="G305" s="5">
        <v>1500</v>
      </c>
      <c r="H305" s="24">
        <f t="shared" si="20"/>
        <v>6000</v>
      </c>
      <c r="I305" s="7">
        <v>0.1</v>
      </c>
      <c r="J305" s="5">
        <f t="shared" si="21"/>
        <v>600</v>
      </c>
      <c r="K305" s="5">
        <f t="shared" si="22"/>
        <v>5400</v>
      </c>
      <c r="L305" s="5">
        <v>1060</v>
      </c>
      <c r="M305" s="5">
        <f t="shared" si="23"/>
        <v>1160</v>
      </c>
      <c r="N305" s="7">
        <f t="shared" si="24"/>
        <v>0.21481481481481482</v>
      </c>
      <c r="O305" s="1" t="s">
        <v>22</v>
      </c>
      <c r="P305" s="1" t="s">
        <v>31</v>
      </c>
      <c r="Q305" s="1" t="s">
        <v>48</v>
      </c>
      <c r="R305" s="1" t="s">
        <v>33</v>
      </c>
      <c r="S305" s="1" t="s">
        <v>188</v>
      </c>
      <c r="T305" s="15" t="s">
        <v>35</v>
      </c>
    </row>
    <row r="306" spans="1:20" x14ac:dyDescent="0.3">
      <c r="A306" s="14">
        <v>305</v>
      </c>
      <c r="B306" s="4">
        <v>44501</v>
      </c>
      <c r="C306" s="1" t="s">
        <v>529</v>
      </c>
      <c r="D306" s="1" t="s">
        <v>28</v>
      </c>
      <c r="E306" s="1" t="s">
        <v>43</v>
      </c>
      <c r="F306" s="2">
        <v>3</v>
      </c>
      <c r="G306" s="5">
        <v>300</v>
      </c>
      <c r="H306" s="24">
        <f t="shared" si="20"/>
        <v>900</v>
      </c>
      <c r="I306" s="7">
        <v>0</v>
      </c>
      <c r="J306" s="5">
        <f t="shared" si="21"/>
        <v>0</v>
      </c>
      <c r="K306" s="5">
        <f t="shared" si="22"/>
        <v>900</v>
      </c>
      <c r="L306" s="5">
        <v>240</v>
      </c>
      <c r="M306" s="5">
        <f t="shared" si="23"/>
        <v>180</v>
      </c>
      <c r="N306" s="7">
        <f t="shared" si="24"/>
        <v>0.2</v>
      </c>
      <c r="O306" s="1" t="s">
        <v>41</v>
      </c>
      <c r="P306" s="1" t="s">
        <v>76</v>
      </c>
      <c r="Q306" s="1" t="s">
        <v>24</v>
      </c>
      <c r="R306" s="1" t="s">
        <v>50</v>
      </c>
      <c r="S306" s="1" t="s">
        <v>246</v>
      </c>
      <c r="T306" s="15" t="s">
        <v>35</v>
      </c>
    </row>
    <row r="307" spans="1:20" x14ac:dyDescent="0.3">
      <c r="A307" s="14">
        <v>306</v>
      </c>
      <c r="B307" s="4">
        <v>44502</v>
      </c>
      <c r="C307" s="1" t="s">
        <v>529</v>
      </c>
      <c r="D307" s="1" t="s">
        <v>20</v>
      </c>
      <c r="E307" s="1" t="s">
        <v>45</v>
      </c>
      <c r="F307" s="2">
        <v>2</v>
      </c>
      <c r="G307" s="5">
        <v>190</v>
      </c>
      <c r="H307" s="24">
        <f t="shared" si="20"/>
        <v>380</v>
      </c>
      <c r="I307" s="7">
        <v>0.1</v>
      </c>
      <c r="J307" s="5">
        <f t="shared" si="21"/>
        <v>38</v>
      </c>
      <c r="K307" s="5">
        <f t="shared" si="22"/>
        <v>342</v>
      </c>
      <c r="L307" s="5">
        <v>120</v>
      </c>
      <c r="M307" s="5">
        <f t="shared" si="23"/>
        <v>102</v>
      </c>
      <c r="N307" s="7">
        <f t="shared" si="24"/>
        <v>0.2982456140350877</v>
      </c>
      <c r="O307" s="1" t="s">
        <v>54</v>
      </c>
      <c r="P307" s="1" t="s">
        <v>31</v>
      </c>
      <c r="Q307" s="1" t="s">
        <v>48</v>
      </c>
      <c r="R307" s="1" t="s">
        <v>49</v>
      </c>
      <c r="S307" s="1" t="s">
        <v>44</v>
      </c>
      <c r="T307" s="15" t="s">
        <v>53</v>
      </c>
    </row>
    <row r="308" spans="1:20" x14ac:dyDescent="0.3">
      <c r="A308" s="14">
        <v>307</v>
      </c>
      <c r="B308" s="4">
        <v>44503</v>
      </c>
      <c r="C308" s="1" t="s">
        <v>529</v>
      </c>
      <c r="D308" s="1" t="s">
        <v>80</v>
      </c>
      <c r="E308" s="1" t="s">
        <v>45</v>
      </c>
      <c r="F308" s="2">
        <v>2</v>
      </c>
      <c r="G308" s="5">
        <v>190</v>
      </c>
      <c r="H308" s="24">
        <f t="shared" si="20"/>
        <v>380</v>
      </c>
      <c r="I308" s="7">
        <v>0.05</v>
      </c>
      <c r="J308" s="5">
        <f t="shared" si="21"/>
        <v>19</v>
      </c>
      <c r="K308" s="5">
        <f t="shared" si="22"/>
        <v>361</v>
      </c>
      <c r="L308" s="5">
        <v>130</v>
      </c>
      <c r="M308" s="5">
        <f t="shared" si="23"/>
        <v>101</v>
      </c>
      <c r="N308" s="7">
        <f t="shared" si="24"/>
        <v>0.27977839335180055</v>
      </c>
      <c r="O308" s="1" t="s">
        <v>41</v>
      </c>
      <c r="P308" s="1" t="s">
        <v>31</v>
      </c>
      <c r="Q308" s="1" t="s">
        <v>24</v>
      </c>
      <c r="R308" s="1" t="s">
        <v>88</v>
      </c>
      <c r="S308" s="1" t="s">
        <v>205</v>
      </c>
      <c r="T308" s="15" t="s">
        <v>35</v>
      </c>
    </row>
    <row r="309" spans="1:20" x14ac:dyDescent="0.3">
      <c r="A309" s="14">
        <v>308</v>
      </c>
      <c r="B309" s="4">
        <v>44504</v>
      </c>
      <c r="C309" s="1" t="s">
        <v>529</v>
      </c>
      <c r="D309" s="1" t="s">
        <v>82</v>
      </c>
      <c r="E309" s="1" t="s">
        <v>45</v>
      </c>
      <c r="F309" s="2">
        <v>2</v>
      </c>
      <c r="G309" s="5">
        <v>190</v>
      </c>
      <c r="H309" s="24">
        <f t="shared" si="20"/>
        <v>380</v>
      </c>
      <c r="I309" s="7">
        <v>0.05</v>
      </c>
      <c r="J309" s="5">
        <f t="shared" si="21"/>
        <v>19</v>
      </c>
      <c r="K309" s="5">
        <f t="shared" si="22"/>
        <v>361</v>
      </c>
      <c r="L309" s="5">
        <v>150</v>
      </c>
      <c r="M309" s="5">
        <f t="shared" si="23"/>
        <v>61</v>
      </c>
      <c r="N309" s="7">
        <f t="shared" si="24"/>
        <v>0.16897506925207756</v>
      </c>
      <c r="O309" s="1" t="s">
        <v>22</v>
      </c>
      <c r="P309" s="1" t="s">
        <v>31</v>
      </c>
      <c r="Q309" s="1" t="s">
        <v>37</v>
      </c>
      <c r="R309" s="1" t="s">
        <v>46</v>
      </c>
      <c r="S309" s="1" t="s">
        <v>247</v>
      </c>
      <c r="T309" s="15" t="s">
        <v>27</v>
      </c>
    </row>
    <row r="310" spans="1:20" x14ac:dyDescent="0.3">
      <c r="A310" s="14">
        <v>309</v>
      </c>
      <c r="B310" s="4">
        <v>44505</v>
      </c>
      <c r="C310" s="1" t="s">
        <v>529</v>
      </c>
      <c r="D310" s="1" t="s">
        <v>28</v>
      </c>
      <c r="E310" s="1" t="s">
        <v>45</v>
      </c>
      <c r="F310" s="2">
        <v>2</v>
      </c>
      <c r="G310" s="5">
        <v>190</v>
      </c>
      <c r="H310" s="24">
        <f t="shared" si="20"/>
        <v>380</v>
      </c>
      <c r="I310" s="7">
        <v>0</v>
      </c>
      <c r="J310" s="5">
        <f t="shared" si="21"/>
        <v>0</v>
      </c>
      <c r="K310" s="5">
        <f t="shared" si="22"/>
        <v>380</v>
      </c>
      <c r="L310" s="5">
        <v>140</v>
      </c>
      <c r="M310" s="5">
        <f t="shared" si="23"/>
        <v>100</v>
      </c>
      <c r="N310" s="7">
        <f t="shared" si="24"/>
        <v>0.26315789473684209</v>
      </c>
      <c r="O310" s="1" t="s">
        <v>41</v>
      </c>
      <c r="P310" s="1" t="s">
        <v>76</v>
      </c>
      <c r="Q310" s="1" t="s">
        <v>48</v>
      </c>
      <c r="R310" s="1" t="s">
        <v>63</v>
      </c>
      <c r="S310" s="1" t="s">
        <v>73</v>
      </c>
      <c r="T310" s="15" t="s">
        <v>53</v>
      </c>
    </row>
    <row r="311" spans="1:20" x14ac:dyDescent="0.3">
      <c r="A311" s="14">
        <v>310</v>
      </c>
      <c r="B311" s="4">
        <v>44506</v>
      </c>
      <c r="C311" s="1" t="s">
        <v>529</v>
      </c>
      <c r="D311" s="1" t="s">
        <v>20</v>
      </c>
      <c r="E311" s="1" t="s">
        <v>45</v>
      </c>
      <c r="F311" s="2">
        <v>2</v>
      </c>
      <c r="G311" s="5">
        <v>190</v>
      </c>
      <c r="H311" s="24">
        <f t="shared" si="20"/>
        <v>380</v>
      </c>
      <c r="I311" s="7">
        <v>0</v>
      </c>
      <c r="J311" s="5">
        <f t="shared" si="21"/>
        <v>0</v>
      </c>
      <c r="K311" s="5">
        <f t="shared" si="22"/>
        <v>380</v>
      </c>
      <c r="L311" s="5">
        <v>120</v>
      </c>
      <c r="M311" s="5">
        <f t="shared" si="23"/>
        <v>140</v>
      </c>
      <c r="N311" s="7">
        <f t="shared" si="24"/>
        <v>0.36842105263157893</v>
      </c>
      <c r="O311" s="1" t="s">
        <v>22</v>
      </c>
      <c r="P311" s="1" t="s">
        <v>31</v>
      </c>
      <c r="Q311" s="1" t="s">
        <v>48</v>
      </c>
      <c r="R311" s="1" t="s">
        <v>50</v>
      </c>
      <c r="S311" s="1" t="s">
        <v>229</v>
      </c>
      <c r="T311" s="15" t="s">
        <v>27</v>
      </c>
    </row>
    <row r="312" spans="1:20" x14ac:dyDescent="0.3">
      <c r="A312" s="14">
        <v>311</v>
      </c>
      <c r="B312" s="4">
        <v>44507</v>
      </c>
      <c r="C312" s="1" t="s">
        <v>529</v>
      </c>
      <c r="D312" s="1" t="s">
        <v>80</v>
      </c>
      <c r="E312" s="1" t="s">
        <v>45</v>
      </c>
      <c r="F312" s="2">
        <v>2</v>
      </c>
      <c r="G312" s="5">
        <v>190</v>
      </c>
      <c r="H312" s="24">
        <f t="shared" si="20"/>
        <v>380</v>
      </c>
      <c r="I312" s="7">
        <v>0.05</v>
      </c>
      <c r="J312" s="5">
        <f t="shared" si="21"/>
        <v>19</v>
      </c>
      <c r="K312" s="5">
        <f t="shared" si="22"/>
        <v>361</v>
      </c>
      <c r="L312" s="5">
        <v>120</v>
      </c>
      <c r="M312" s="5">
        <f t="shared" si="23"/>
        <v>121</v>
      </c>
      <c r="N312" s="7">
        <f t="shared" si="24"/>
        <v>0.33518005540166207</v>
      </c>
      <c r="O312" s="1" t="s">
        <v>30</v>
      </c>
      <c r="P312" s="1" t="s">
        <v>76</v>
      </c>
      <c r="Q312" s="1" t="s">
        <v>24</v>
      </c>
      <c r="R312" s="1" t="s">
        <v>66</v>
      </c>
      <c r="S312" s="1" t="s">
        <v>44</v>
      </c>
      <c r="T312" s="15" t="s">
        <v>53</v>
      </c>
    </row>
    <row r="313" spans="1:20" x14ac:dyDescent="0.3">
      <c r="A313" s="14">
        <v>312</v>
      </c>
      <c r="B313" s="4">
        <v>44508</v>
      </c>
      <c r="C313" s="1" t="s">
        <v>529</v>
      </c>
      <c r="D313" s="1" t="s">
        <v>82</v>
      </c>
      <c r="E313" s="1" t="s">
        <v>45</v>
      </c>
      <c r="F313" s="2">
        <v>2</v>
      </c>
      <c r="G313" s="5">
        <v>190</v>
      </c>
      <c r="H313" s="24">
        <f t="shared" si="20"/>
        <v>380</v>
      </c>
      <c r="I313" s="7">
        <v>0.15</v>
      </c>
      <c r="J313" s="5">
        <f t="shared" si="21"/>
        <v>57</v>
      </c>
      <c r="K313" s="5">
        <f t="shared" si="22"/>
        <v>323</v>
      </c>
      <c r="L313" s="5">
        <v>150</v>
      </c>
      <c r="M313" s="5">
        <f t="shared" si="23"/>
        <v>23</v>
      </c>
      <c r="N313" s="7">
        <f t="shared" si="24"/>
        <v>7.1207430340557279E-2</v>
      </c>
      <c r="O313" s="1" t="s">
        <v>54</v>
      </c>
      <c r="P313" s="1" t="s">
        <v>31</v>
      </c>
      <c r="Q313" s="1" t="s">
        <v>37</v>
      </c>
      <c r="R313" s="1" t="s">
        <v>66</v>
      </c>
      <c r="S313" s="1" t="s">
        <v>248</v>
      </c>
      <c r="T313" s="15" t="s">
        <v>53</v>
      </c>
    </row>
    <row r="314" spans="1:20" x14ac:dyDescent="0.3">
      <c r="A314" s="14">
        <v>313</v>
      </c>
      <c r="B314" s="4">
        <v>44509</v>
      </c>
      <c r="C314" s="1" t="s">
        <v>534</v>
      </c>
      <c r="D314" s="1" t="s">
        <v>82</v>
      </c>
      <c r="E314" s="1" t="s">
        <v>45</v>
      </c>
      <c r="F314" s="2">
        <v>2</v>
      </c>
      <c r="G314" s="5">
        <v>190</v>
      </c>
      <c r="H314" s="24">
        <f t="shared" si="20"/>
        <v>380</v>
      </c>
      <c r="I314" s="7">
        <v>0</v>
      </c>
      <c r="J314" s="5">
        <f t="shared" si="21"/>
        <v>0</v>
      </c>
      <c r="K314" s="5">
        <f t="shared" si="22"/>
        <v>380</v>
      </c>
      <c r="L314" s="5">
        <v>120</v>
      </c>
      <c r="M314" s="5">
        <f t="shared" si="23"/>
        <v>140</v>
      </c>
      <c r="N314" s="7">
        <f t="shared" si="24"/>
        <v>0.36842105263157893</v>
      </c>
      <c r="O314" s="1" t="s">
        <v>59</v>
      </c>
      <c r="P314" s="1" t="s">
        <v>31</v>
      </c>
      <c r="Q314" s="1" t="s">
        <v>37</v>
      </c>
      <c r="R314" s="1" t="s">
        <v>49</v>
      </c>
      <c r="S314" s="1" t="s">
        <v>169</v>
      </c>
      <c r="T314" s="15" t="s">
        <v>53</v>
      </c>
    </row>
    <row r="315" spans="1:20" x14ac:dyDescent="0.3">
      <c r="A315" s="14">
        <v>314</v>
      </c>
      <c r="B315" s="4">
        <v>44510</v>
      </c>
      <c r="C315" s="1" t="s">
        <v>531</v>
      </c>
      <c r="D315" s="1" t="s">
        <v>82</v>
      </c>
      <c r="E315" s="1" t="s">
        <v>45</v>
      </c>
      <c r="F315" s="2">
        <v>2</v>
      </c>
      <c r="G315" s="5">
        <v>190</v>
      </c>
      <c r="H315" s="24">
        <f t="shared" si="20"/>
        <v>380</v>
      </c>
      <c r="I315" s="7">
        <v>0.15</v>
      </c>
      <c r="J315" s="5">
        <f t="shared" si="21"/>
        <v>57</v>
      </c>
      <c r="K315" s="5">
        <f t="shared" si="22"/>
        <v>323</v>
      </c>
      <c r="L315" s="5">
        <v>110</v>
      </c>
      <c r="M315" s="5">
        <f t="shared" si="23"/>
        <v>103</v>
      </c>
      <c r="N315" s="7">
        <f t="shared" si="24"/>
        <v>0.31888544891640869</v>
      </c>
      <c r="O315" s="1" t="s">
        <v>30</v>
      </c>
      <c r="P315" s="1" t="s">
        <v>31</v>
      </c>
      <c r="Q315" s="1" t="s">
        <v>48</v>
      </c>
      <c r="R315" s="1" t="s">
        <v>38</v>
      </c>
      <c r="S315" s="1" t="s">
        <v>219</v>
      </c>
      <c r="T315" s="15" t="s">
        <v>35</v>
      </c>
    </row>
    <row r="316" spans="1:20" x14ac:dyDescent="0.3">
      <c r="A316" s="14">
        <v>315</v>
      </c>
      <c r="B316" s="4">
        <v>44511</v>
      </c>
      <c r="C316" s="1" t="s">
        <v>532</v>
      </c>
      <c r="D316" s="1" t="s">
        <v>82</v>
      </c>
      <c r="E316" s="1" t="s">
        <v>45</v>
      </c>
      <c r="F316" s="2">
        <v>2</v>
      </c>
      <c r="G316" s="5">
        <v>190</v>
      </c>
      <c r="H316" s="24">
        <f t="shared" si="20"/>
        <v>380</v>
      </c>
      <c r="I316" s="7">
        <v>0</v>
      </c>
      <c r="J316" s="5">
        <f t="shared" si="21"/>
        <v>0</v>
      </c>
      <c r="K316" s="5">
        <f t="shared" si="22"/>
        <v>380</v>
      </c>
      <c r="L316" s="5">
        <v>110</v>
      </c>
      <c r="M316" s="5">
        <f t="shared" si="23"/>
        <v>160</v>
      </c>
      <c r="N316" s="7">
        <f t="shared" si="24"/>
        <v>0.42105263157894735</v>
      </c>
      <c r="O316" s="1" t="s">
        <v>22</v>
      </c>
      <c r="P316" s="1" t="s">
        <v>31</v>
      </c>
      <c r="Q316" s="1" t="s">
        <v>37</v>
      </c>
      <c r="R316" s="1" t="s">
        <v>56</v>
      </c>
      <c r="S316" s="1" t="s">
        <v>249</v>
      </c>
      <c r="T316" s="15" t="s">
        <v>53</v>
      </c>
    </row>
    <row r="317" spans="1:20" x14ac:dyDescent="0.3">
      <c r="A317" s="14">
        <v>316</v>
      </c>
      <c r="B317" s="4">
        <v>44512</v>
      </c>
      <c r="C317" s="1" t="s">
        <v>533</v>
      </c>
      <c r="D317" s="1" t="s">
        <v>82</v>
      </c>
      <c r="E317" s="1" t="s">
        <v>45</v>
      </c>
      <c r="F317" s="2">
        <v>2</v>
      </c>
      <c r="G317" s="5">
        <v>190</v>
      </c>
      <c r="H317" s="24">
        <f t="shared" si="20"/>
        <v>380</v>
      </c>
      <c r="I317" s="7">
        <v>0.15</v>
      </c>
      <c r="J317" s="5">
        <f t="shared" si="21"/>
        <v>57</v>
      </c>
      <c r="K317" s="5">
        <f t="shared" si="22"/>
        <v>323</v>
      </c>
      <c r="L317" s="5">
        <v>130</v>
      </c>
      <c r="M317" s="5">
        <f t="shared" si="23"/>
        <v>63</v>
      </c>
      <c r="N317" s="7">
        <f t="shared" si="24"/>
        <v>0.19504643962848298</v>
      </c>
      <c r="O317" s="1" t="s">
        <v>22</v>
      </c>
      <c r="P317" s="1" t="s">
        <v>31</v>
      </c>
      <c r="Q317" s="1" t="s">
        <v>32</v>
      </c>
      <c r="R317" s="1" t="s">
        <v>50</v>
      </c>
      <c r="S317" s="1" t="s">
        <v>250</v>
      </c>
      <c r="T317" s="15" t="s">
        <v>53</v>
      </c>
    </row>
    <row r="318" spans="1:20" x14ac:dyDescent="0.3">
      <c r="A318" s="14">
        <v>317</v>
      </c>
      <c r="B318" s="4">
        <v>44513</v>
      </c>
      <c r="C318" s="1" t="s">
        <v>533</v>
      </c>
      <c r="D318" s="1" t="s">
        <v>20</v>
      </c>
      <c r="E318" s="1" t="s">
        <v>45</v>
      </c>
      <c r="F318" s="2">
        <v>2</v>
      </c>
      <c r="G318" s="5">
        <v>190</v>
      </c>
      <c r="H318" s="24">
        <f t="shared" si="20"/>
        <v>380</v>
      </c>
      <c r="I318" s="7">
        <v>0</v>
      </c>
      <c r="J318" s="5">
        <f t="shared" si="21"/>
        <v>0</v>
      </c>
      <c r="K318" s="5">
        <f t="shared" si="22"/>
        <v>380</v>
      </c>
      <c r="L318" s="5">
        <v>150</v>
      </c>
      <c r="M318" s="5">
        <f t="shared" si="23"/>
        <v>80</v>
      </c>
      <c r="N318" s="7">
        <f t="shared" si="24"/>
        <v>0.21052631578947367</v>
      </c>
      <c r="O318" s="1" t="s">
        <v>59</v>
      </c>
      <c r="P318" s="1" t="s">
        <v>31</v>
      </c>
      <c r="Q318" s="1" t="s">
        <v>24</v>
      </c>
      <c r="R318" s="1" t="s">
        <v>46</v>
      </c>
      <c r="S318" s="1" t="s">
        <v>103</v>
      </c>
      <c r="T318" s="15" t="s">
        <v>35</v>
      </c>
    </row>
    <row r="319" spans="1:20" x14ac:dyDescent="0.3">
      <c r="A319" s="14">
        <v>318</v>
      </c>
      <c r="B319" s="4">
        <v>44514</v>
      </c>
      <c r="C319" s="1" t="s">
        <v>533</v>
      </c>
      <c r="D319" s="1" t="s">
        <v>28</v>
      </c>
      <c r="E319" s="1" t="s">
        <v>45</v>
      </c>
      <c r="F319" s="2">
        <v>3</v>
      </c>
      <c r="G319" s="5">
        <v>190</v>
      </c>
      <c r="H319" s="24">
        <f t="shared" si="20"/>
        <v>570</v>
      </c>
      <c r="I319" s="7">
        <v>0.02</v>
      </c>
      <c r="J319" s="5">
        <f t="shared" si="21"/>
        <v>11.4</v>
      </c>
      <c r="K319" s="5">
        <f t="shared" si="22"/>
        <v>558.6</v>
      </c>
      <c r="L319" s="5">
        <v>120</v>
      </c>
      <c r="M319" s="5">
        <f t="shared" si="23"/>
        <v>198.60000000000002</v>
      </c>
      <c r="N319" s="7">
        <f t="shared" si="24"/>
        <v>0.35553168635875404</v>
      </c>
      <c r="O319" s="1" t="s">
        <v>41</v>
      </c>
      <c r="P319" s="1" t="s">
        <v>31</v>
      </c>
      <c r="Q319" s="1" t="s">
        <v>32</v>
      </c>
      <c r="R319" s="1" t="s">
        <v>66</v>
      </c>
      <c r="S319" s="1" t="s">
        <v>121</v>
      </c>
      <c r="T319" s="15" t="s">
        <v>27</v>
      </c>
    </row>
    <row r="320" spans="1:20" x14ac:dyDescent="0.3">
      <c r="A320" s="14">
        <v>319</v>
      </c>
      <c r="B320" s="4">
        <v>44515</v>
      </c>
      <c r="C320" s="1" t="s">
        <v>533</v>
      </c>
      <c r="D320" s="1" t="s">
        <v>80</v>
      </c>
      <c r="E320" s="1" t="s">
        <v>21</v>
      </c>
      <c r="F320" s="2">
        <v>2</v>
      </c>
      <c r="G320" s="5">
        <v>210</v>
      </c>
      <c r="H320" s="24">
        <f t="shared" si="20"/>
        <v>420</v>
      </c>
      <c r="I320" s="7">
        <v>0</v>
      </c>
      <c r="J320" s="5">
        <f t="shared" si="21"/>
        <v>0</v>
      </c>
      <c r="K320" s="5">
        <f t="shared" si="22"/>
        <v>420</v>
      </c>
      <c r="L320" s="5">
        <v>130</v>
      </c>
      <c r="M320" s="5">
        <f t="shared" si="23"/>
        <v>160</v>
      </c>
      <c r="N320" s="7">
        <f t="shared" si="24"/>
        <v>0.38095238095238093</v>
      </c>
      <c r="O320" s="1" t="s">
        <v>59</v>
      </c>
      <c r="P320" s="1" t="s">
        <v>31</v>
      </c>
      <c r="Q320" s="1" t="s">
        <v>24</v>
      </c>
      <c r="R320" s="1" t="s">
        <v>46</v>
      </c>
      <c r="S320" s="1" t="s">
        <v>83</v>
      </c>
      <c r="T320" s="15" t="s">
        <v>35</v>
      </c>
    </row>
    <row r="321" spans="1:20" x14ac:dyDescent="0.3">
      <c r="A321" s="14">
        <v>320</v>
      </c>
      <c r="B321" s="4">
        <v>44516</v>
      </c>
      <c r="C321" s="1" t="s">
        <v>533</v>
      </c>
      <c r="D321" s="1" t="s">
        <v>82</v>
      </c>
      <c r="E321" s="1" t="s">
        <v>21</v>
      </c>
      <c r="F321" s="2">
        <v>2</v>
      </c>
      <c r="G321" s="5">
        <v>210</v>
      </c>
      <c r="H321" s="24">
        <f t="shared" si="20"/>
        <v>420</v>
      </c>
      <c r="I321" s="7">
        <v>0.15</v>
      </c>
      <c r="J321" s="5">
        <f t="shared" si="21"/>
        <v>63</v>
      </c>
      <c r="K321" s="5">
        <f t="shared" si="22"/>
        <v>357</v>
      </c>
      <c r="L321" s="5">
        <v>150</v>
      </c>
      <c r="M321" s="5">
        <f t="shared" si="23"/>
        <v>57</v>
      </c>
      <c r="N321" s="7">
        <f t="shared" si="24"/>
        <v>0.15966386554621848</v>
      </c>
      <c r="O321" s="1" t="s">
        <v>59</v>
      </c>
      <c r="P321" s="1" t="s">
        <v>31</v>
      </c>
      <c r="Q321" s="1" t="s">
        <v>48</v>
      </c>
      <c r="R321" s="1" t="s">
        <v>33</v>
      </c>
      <c r="S321" s="1" t="s">
        <v>77</v>
      </c>
      <c r="T321" s="15" t="s">
        <v>61</v>
      </c>
    </row>
    <row r="322" spans="1:20" x14ac:dyDescent="0.3">
      <c r="A322" s="14">
        <v>321</v>
      </c>
      <c r="B322" s="4">
        <v>44517</v>
      </c>
      <c r="C322" s="1" t="s">
        <v>533</v>
      </c>
      <c r="D322" s="1" t="s">
        <v>20</v>
      </c>
      <c r="E322" s="1" t="s">
        <v>21</v>
      </c>
      <c r="F322" s="2">
        <v>2</v>
      </c>
      <c r="G322" s="5">
        <v>210</v>
      </c>
      <c r="H322" s="24">
        <f t="shared" ref="H322:H385" si="25">F322*G322</f>
        <v>420</v>
      </c>
      <c r="I322" s="7">
        <v>0.1</v>
      </c>
      <c r="J322" s="5">
        <f t="shared" ref="J322:J385" si="26">H322*I322</f>
        <v>42</v>
      </c>
      <c r="K322" s="5">
        <f t="shared" ref="K322:K385" si="27">H322-J322</f>
        <v>378</v>
      </c>
      <c r="L322" s="5">
        <v>140</v>
      </c>
      <c r="M322" s="5">
        <f t="shared" ref="M322:M385" si="28">K322-(F322*L322)</f>
        <v>98</v>
      </c>
      <c r="N322" s="7">
        <f t="shared" ref="N322:N385" si="29">IFERROR(M322/K322,0)</f>
        <v>0.25925925925925924</v>
      </c>
      <c r="O322" s="1" t="s">
        <v>22</v>
      </c>
      <c r="P322" s="1" t="s">
        <v>31</v>
      </c>
      <c r="Q322" s="1" t="s">
        <v>48</v>
      </c>
      <c r="R322" s="1" t="s">
        <v>56</v>
      </c>
      <c r="S322" s="1" t="s">
        <v>194</v>
      </c>
      <c r="T322" s="15" t="s">
        <v>53</v>
      </c>
    </row>
    <row r="323" spans="1:20" x14ac:dyDescent="0.3">
      <c r="A323" s="14">
        <v>322</v>
      </c>
      <c r="B323" s="4">
        <v>44518</v>
      </c>
      <c r="C323" s="1" t="s">
        <v>533</v>
      </c>
      <c r="D323" s="1" t="s">
        <v>28</v>
      </c>
      <c r="E323" s="1" t="s">
        <v>21</v>
      </c>
      <c r="F323" s="2">
        <v>2</v>
      </c>
      <c r="G323" s="5">
        <v>210</v>
      </c>
      <c r="H323" s="24">
        <f t="shared" si="25"/>
        <v>420</v>
      </c>
      <c r="I323" s="7">
        <v>0</v>
      </c>
      <c r="J323" s="5">
        <f t="shared" si="26"/>
        <v>0</v>
      </c>
      <c r="K323" s="5">
        <f t="shared" si="27"/>
        <v>420</v>
      </c>
      <c r="L323" s="5">
        <v>130</v>
      </c>
      <c r="M323" s="5">
        <f t="shared" si="28"/>
        <v>160</v>
      </c>
      <c r="N323" s="7">
        <f t="shared" si="29"/>
        <v>0.38095238095238093</v>
      </c>
      <c r="O323" s="1" t="s">
        <v>22</v>
      </c>
      <c r="P323" s="1" t="s">
        <v>31</v>
      </c>
      <c r="Q323" s="1" t="s">
        <v>24</v>
      </c>
      <c r="R323" s="1" t="s">
        <v>63</v>
      </c>
      <c r="S323" s="1" t="s">
        <v>104</v>
      </c>
      <c r="T323" s="15" t="s">
        <v>27</v>
      </c>
    </row>
    <row r="324" spans="1:20" x14ac:dyDescent="0.3">
      <c r="A324" s="14">
        <v>323</v>
      </c>
      <c r="B324" s="4">
        <v>44519</v>
      </c>
      <c r="C324" s="1" t="s">
        <v>533</v>
      </c>
      <c r="D324" s="1" t="s">
        <v>80</v>
      </c>
      <c r="E324" s="1" t="s">
        <v>21</v>
      </c>
      <c r="F324" s="2">
        <v>2</v>
      </c>
      <c r="G324" s="5">
        <v>210</v>
      </c>
      <c r="H324" s="24">
        <f t="shared" si="25"/>
        <v>420</v>
      </c>
      <c r="I324" s="7">
        <v>0.02</v>
      </c>
      <c r="J324" s="5">
        <f t="shared" si="26"/>
        <v>8.4</v>
      </c>
      <c r="K324" s="5">
        <f t="shared" si="27"/>
        <v>411.6</v>
      </c>
      <c r="L324" s="5">
        <v>150</v>
      </c>
      <c r="M324" s="5">
        <f t="shared" si="28"/>
        <v>111.60000000000002</v>
      </c>
      <c r="N324" s="7">
        <f t="shared" si="29"/>
        <v>0.2711370262390671</v>
      </c>
      <c r="O324" s="1" t="s">
        <v>30</v>
      </c>
      <c r="P324" s="1" t="s">
        <v>31</v>
      </c>
      <c r="Q324" s="1" t="s">
        <v>32</v>
      </c>
      <c r="R324" s="1" t="s">
        <v>49</v>
      </c>
      <c r="S324" s="1" t="s">
        <v>160</v>
      </c>
      <c r="T324" s="15" t="s">
        <v>35</v>
      </c>
    </row>
    <row r="325" spans="1:20" x14ac:dyDescent="0.3">
      <c r="A325" s="14">
        <v>324</v>
      </c>
      <c r="B325" s="4">
        <v>44520</v>
      </c>
      <c r="C325" s="1" t="s">
        <v>533</v>
      </c>
      <c r="D325" s="1" t="s">
        <v>82</v>
      </c>
      <c r="E325" s="1" t="s">
        <v>21</v>
      </c>
      <c r="F325" s="2">
        <v>2</v>
      </c>
      <c r="G325" s="5">
        <v>210</v>
      </c>
      <c r="H325" s="24">
        <f t="shared" si="25"/>
        <v>420</v>
      </c>
      <c r="I325" s="7">
        <v>0</v>
      </c>
      <c r="J325" s="5">
        <f t="shared" si="26"/>
        <v>0</v>
      </c>
      <c r="K325" s="5">
        <f t="shared" si="27"/>
        <v>420</v>
      </c>
      <c r="L325" s="5">
        <v>160</v>
      </c>
      <c r="M325" s="5">
        <f t="shared" si="28"/>
        <v>100</v>
      </c>
      <c r="N325" s="7">
        <f t="shared" si="29"/>
        <v>0.23809523809523808</v>
      </c>
      <c r="O325" s="1" t="s">
        <v>41</v>
      </c>
      <c r="P325" s="1" t="s">
        <v>31</v>
      </c>
      <c r="Q325" s="1" t="s">
        <v>32</v>
      </c>
      <c r="R325" s="1" t="s">
        <v>66</v>
      </c>
      <c r="S325" s="1" t="s">
        <v>150</v>
      </c>
      <c r="T325" s="15" t="s">
        <v>35</v>
      </c>
    </row>
    <row r="326" spans="1:20" x14ac:dyDescent="0.3">
      <c r="A326" s="14">
        <v>325</v>
      </c>
      <c r="B326" s="4">
        <v>44521</v>
      </c>
      <c r="C326" s="1" t="s">
        <v>530</v>
      </c>
      <c r="D326" s="1" t="s">
        <v>20</v>
      </c>
      <c r="E326" s="1" t="s">
        <v>21</v>
      </c>
      <c r="F326" s="2">
        <v>2</v>
      </c>
      <c r="G326" s="5">
        <v>210</v>
      </c>
      <c r="H326" s="24">
        <f t="shared" si="25"/>
        <v>420</v>
      </c>
      <c r="I326" s="7">
        <v>0.05</v>
      </c>
      <c r="J326" s="5">
        <f t="shared" si="26"/>
        <v>21</v>
      </c>
      <c r="K326" s="5">
        <f t="shared" si="27"/>
        <v>399</v>
      </c>
      <c r="L326" s="5">
        <v>130</v>
      </c>
      <c r="M326" s="5">
        <f t="shared" si="28"/>
        <v>139</v>
      </c>
      <c r="N326" s="7">
        <f t="shared" si="29"/>
        <v>0.34837092731829572</v>
      </c>
      <c r="O326" s="1" t="s">
        <v>54</v>
      </c>
      <c r="P326" s="1" t="s">
        <v>31</v>
      </c>
      <c r="Q326" s="1" t="s">
        <v>48</v>
      </c>
      <c r="R326" s="1" t="s">
        <v>66</v>
      </c>
      <c r="S326" s="1" t="s">
        <v>132</v>
      </c>
      <c r="T326" s="15" t="s">
        <v>61</v>
      </c>
    </row>
    <row r="327" spans="1:20" x14ac:dyDescent="0.3">
      <c r="A327" s="14">
        <v>326</v>
      </c>
      <c r="B327" s="4">
        <v>44522</v>
      </c>
      <c r="C327" s="1" t="s">
        <v>529</v>
      </c>
      <c r="D327" s="1" t="s">
        <v>28</v>
      </c>
      <c r="E327" s="1" t="s">
        <v>21</v>
      </c>
      <c r="F327" s="2">
        <v>2</v>
      </c>
      <c r="G327" s="5">
        <v>210</v>
      </c>
      <c r="H327" s="24">
        <f t="shared" si="25"/>
        <v>420</v>
      </c>
      <c r="I327" s="7">
        <v>0</v>
      </c>
      <c r="J327" s="5">
        <f t="shared" si="26"/>
        <v>0</v>
      </c>
      <c r="K327" s="5">
        <f t="shared" si="27"/>
        <v>420</v>
      </c>
      <c r="L327" s="5">
        <v>170</v>
      </c>
      <c r="M327" s="5">
        <f t="shared" si="28"/>
        <v>80</v>
      </c>
      <c r="N327" s="7">
        <f t="shared" si="29"/>
        <v>0.19047619047619047</v>
      </c>
      <c r="O327" s="1" t="s">
        <v>41</v>
      </c>
      <c r="P327" s="1" t="s">
        <v>31</v>
      </c>
      <c r="Q327" s="1" t="s">
        <v>24</v>
      </c>
      <c r="R327" s="1" t="s">
        <v>46</v>
      </c>
      <c r="S327" s="1" t="s">
        <v>251</v>
      </c>
      <c r="T327" s="15" t="s">
        <v>27</v>
      </c>
    </row>
    <row r="328" spans="1:20" x14ac:dyDescent="0.3">
      <c r="A328" s="14">
        <v>327</v>
      </c>
      <c r="B328" s="4">
        <v>44523</v>
      </c>
      <c r="C328" s="1" t="s">
        <v>534</v>
      </c>
      <c r="D328" s="1" t="s">
        <v>20</v>
      </c>
      <c r="E328" s="1" t="s">
        <v>21</v>
      </c>
      <c r="F328" s="2">
        <v>2</v>
      </c>
      <c r="G328" s="5">
        <v>210</v>
      </c>
      <c r="H328" s="24">
        <f t="shared" si="25"/>
        <v>420</v>
      </c>
      <c r="I328" s="7">
        <v>0.05</v>
      </c>
      <c r="J328" s="5">
        <f t="shared" si="26"/>
        <v>21</v>
      </c>
      <c r="K328" s="5">
        <f t="shared" si="27"/>
        <v>399</v>
      </c>
      <c r="L328" s="5">
        <v>120</v>
      </c>
      <c r="M328" s="5">
        <f t="shared" si="28"/>
        <v>159</v>
      </c>
      <c r="N328" s="7">
        <f t="shared" si="29"/>
        <v>0.39849624060150374</v>
      </c>
      <c r="O328" s="1" t="s">
        <v>30</v>
      </c>
      <c r="P328" s="1" t="s">
        <v>31</v>
      </c>
      <c r="Q328" s="1" t="s">
        <v>48</v>
      </c>
      <c r="R328" s="1" t="s">
        <v>88</v>
      </c>
      <c r="S328" s="1" t="s">
        <v>252</v>
      </c>
      <c r="T328" s="15" t="s">
        <v>53</v>
      </c>
    </row>
    <row r="329" spans="1:20" x14ac:dyDescent="0.3">
      <c r="A329" s="14">
        <v>328</v>
      </c>
      <c r="B329" s="4">
        <v>44524</v>
      </c>
      <c r="C329" s="1" t="s">
        <v>531</v>
      </c>
      <c r="D329" s="1" t="s">
        <v>28</v>
      </c>
      <c r="E329" s="1" t="s">
        <v>21</v>
      </c>
      <c r="F329" s="2">
        <v>2</v>
      </c>
      <c r="G329" s="5">
        <v>210</v>
      </c>
      <c r="H329" s="24">
        <f t="shared" si="25"/>
        <v>420</v>
      </c>
      <c r="I329" s="7">
        <v>0.02</v>
      </c>
      <c r="J329" s="5">
        <f t="shared" si="26"/>
        <v>8.4</v>
      </c>
      <c r="K329" s="5">
        <f t="shared" si="27"/>
        <v>411.6</v>
      </c>
      <c r="L329" s="5">
        <v>170</v>
      </c>
      <c r="M329" s="5">
        <f t="shared" si="28"/>
        <v>71.600000000000023</v>
      </c>
      <c r="N329" s="7">
        <f t="shared" si="29"/>
        <v>0.17395529640427604</v>
      </c>
      <c r="O329" s="1" t="s">
        <v>54</v>
      </c>
      <c r="P329" s="1" t="s">
        <v>31</v>
      </c>
      <c r="Q329" s="1" t="s">
        <v>32</v>
      </c>
      <c r="R329" s="1" t="s">
        <v>25</v>
      </c>
      <c r="S329" s="1" t="s">
        <v>200</v>
      </c>
      <c r="T329" s="15" t="s">
        <v>27</v>
      </c>
    </row>
    <row r="330" spans="1:20" x14ac:dyDescent="0.3">
      <c r="A330" s="14">
        <v>329</v>
      </c>
      <c r="B330" s="4">
        <v>44525</v>
      </c>
      <c r="C330" s="1" t="s">
        <v>532</v>
      </c>
      <c r="D330" s="1" t="s">
        <v>20</v>
      </c>
      <c r="E330" s="1" t="s">
        <v>21</v>
      </c>
      <c r="F330" s="2">
        <v>2</v>
      </c>
      <c r="G330" s="5">
        <v>210</v>
      </c>
      <c r="H330" s="24">
        <f t="shared" si="25"/>
        <v>420</v>
      </c>
      <c r="I330" s="7">
        <v>0</v>
      </c>
      <c r="J330" s="5">
        <f t="shared" si="26"/>
        <v>0</v>
      </c>
      <c r="K330" s="5">
        <f t="shared" si="27"/>
        <v>420</v>
      </c>
      <c r="L330" s="5">
        <v>150</v>
      </c>
      <c r="M330" s="5">
        <f t="shared" si="28"/>
        <v>120</v>
      </c>
      <c r="N330" s="7">
        <f t="shared" si="29"/>
        <v>0.2857142857142857</v>
      </c>
      <c r="O330" s="1" t="s">
        <v>59</v>
      </c>
      <c r="P330" s="1" t="s">
        <v>31</v>
      </c>
      <c r="Q330" s="1" t="s">
        <v>32</v>
      </c>
      <c r="R330" s="1" t="s">
        <v>49</v>
      </c>
      <c r="S330" s="1" t="s">
        <v>81</v>
      </c>
      <c r="T330" s="15" t="s">
        <v>35</v>
      </c>
    </row>
    <row r="331" spans="1:20" x14ac:dyDescent="0.3">
      <c r="A331" s="14">
        <v>330</v>
      </c>
      <c r="B331" s="4">
        <v>44526</v>
      </c>
      <c r="C331" s="1" t="s">
        <v>533</v>
      </c>
      <c r="D331" s="1" t="s">
        <v>20</v>
      </c>
      <c r="E331" s="1" t="s">
        <v>21</v>
      </c>
      <c r="F331" s="2">
        <v>2</v>
      </c>
      <c r="G331" s="5">
        <v>210</v>
      </c>
      <c r="H331" s="24">
        <f t="shared" si="25"/>
        <v>420</v>
      </c>
      <c r="I331" s="7">
        <v>0</v>
      </c>
      <c r="J331" s="5">
        <f t="shared" si="26"/>
        <v>0</v>
      </c>
      <c r="K331" s="5">
        <f t="shared" si="27"/>
        <v>420</v>
      </c>
      <c r="L331" s="5">
        <v>160</v>
      </c>
      <c r="M331" s="5">
        <f t="shared" si="28"/>
        <v>100</v>
      </c>
      <c r="N331" s="7">
        <f t="shared" si="29"/>
        <v>0.23809523809523808</v>
      </c>
      <c r="O331" s="1" t="s">
        <v>30</v>
      </c>
      <c r="P331" s="1" t="s">
        <v>31</v>
      </c>
      <c r="Q331" s="1" t="s">
        <v>24</v>
      </c>
      <c r="R331" s="1" t="s">
        <v>25</v>
      </c>
      <c r="S331" s="1" t="s">
        <v>193</v>
      </c>
      <c r="T331" s="15" t="s">
        <v>35</v>
      </c>
    </row>
    <row r="332" spans="1:20" x14ac:dyDescent="0.3">
      <c r="A332" s="14">
        <v>331</v>
      </c>
      <c r="B332" s="4">
        <v>44527</v>
      </c>
      <c r="C332" s="1" t="s">
        <v>530</v>
      </c>
      <c r="D332" s="1" t="s">
        <v>20</v>
      </c>
      <c r="E332" s="1" t="s">
        <v>45</v>
      </c>
      <c r="F332" s="2">
        <v>2</v>
      </c>
      <c r="G332" s="5">
        <v>190</v>
      </c>
      <c r="H332" s="24">
        <f t="shared" si="25"/>
        <v>380</v>
      </c>
      <c r="I332" s="7">
        <v>0.05</v>
      </c>
      <c r="J332" s="5">
        <f t="shared" si="26"/>
        <v>19</v>
      </c>
      <c r="K332" s="5">
        <f t="shared" si="27"/>
        <v>361</v>
      </c>
      <c r="L332" s="5">
        <v>150</v>
      </c>
      <c r="M332" s="5">
        <f t="shared" si="28"/>
        <v>61</v>
      </c>
      <c r="N332" s="7">
        <f t="shared" si="29"/>
        <v>0.16897506925207756</v>
      </c>
      <c r="O332" s="1" t="s">
        <v>22</v>
      </c>
      <c r="P332" s="1" t="s">
        <v>31</v>
      </c>
      <c r="Q332" s="1" t="s">
        <v>48</v>
      </c>
      <c r="R332" s="1" t="s">
        <v>38</v>
      </c>
      <c r="S332" s="1" t="s">
        <v>162</v>
      </c>
      <c r="T332" s="15" t="s">
        <v>53</v>
      </c>
    </row>
    <row r="333" spans="1:20" x14ac:dyDescent="0.3">
      <c r="A333" s="14">
        <v>332</v>
      </c>
      <c r="B333" s="4">
        <v>44528</v>
      </c>
      <c r="C333" s="1" t="s">
        <v>529</v>
      </c>
      <c r="D333" s="1" t="s">
        <v>28</v>
      </c>
      <c r="E333" s="1" t="s">
        <v>21</v>
      </c>
      <c r="F333" s="2">
        <v>7</v>
      </c>
      <c r="G333" s="5">
        <v>210</v>
      </c>
      <c r="H333" s="24">
        <f t="shared" si="25"/>
        <v>1470</v>
      </c>
      <c r="I333" s="7">
        <v>0</v>
      </c>
      <c r="J333" s="5">
        <f t="shared" si="26"/>
        <v>0</v>
      </c>
      <c r="K333" s="5">
        <f t="shared" si="27"/>
        <v>1470</v>
      </c>
      <c r="L333" s="5">
        <v>140</v>
      </c>
      <c r="M333" s="5">
        <f t="shared" si="28"/>
        <v>490</v>
      </c>
      <c r="N333" s="7">
        <f t="shared" si="29"/>
        <v>0.33333333333333331</v>
      </c>
      <c r="O333" s="1" t="s">
        <v>22</v>
      </c>
      <c r="P333" s="1" t="s">
        <v>31</v>
      </c>
      <c r="Q333" s="1" t="s">
        <v>32</v>
      </c>
      <c r="R333" s="1" t="s">
        <v>63</v>
      </c>
      <c r="S333" s="1" t="s">
        <v>253</v>
      </c>
      <c r="T333" s="15" t="s">
        <v>35</v>
      </c>
    </row>
    <row r="334" spans="1:20" x14ac:dyDescent="0.3">
      <c r="A334" s="14">
        <v>333</v>
      </c>
      <c r="B334" s="4">
        <v>44529</v>
      </c>
      <c r="C334" s="1" t="s">
        <v>534</v>
      </c>
      <c r="D334" s="1" t="s">
        <v>28</v>
      </c>
      <c r="E334" s="1" t="s">
        <v>29</v>
      </c>
      <c r="F334" s="2">
        <v>6</v>
      </c>
      <c r="G334" s="5">
        <v>2100</v>
      </c>
      <c r="H334" s="24">
        <f t="shared" si="25"/>
        <v>12600</v>
      </c>
      <c r="I334" s="7">
        <v>0</v>
      </c>
      <c r="J334" s="5">
        <f t="shared" si="26"/>
        <v>0</v>
      </c>
      <c r="K334" s="5">
        <f t="shared" si="27"/>
        <v>12600</v>
      </c>
      <c r="L334" s="5">
        <v>1300</v>
      </c>
      <c r="M334" s="5">
        <f t="shared" si="28"/>
        <v>4800</v>
      </c>
      <c r="N334" s="7">
        <f t="shared" si="29"/>
        <v>0.38095238095238093</v>
      </c>
      <c r="O334" s="1" t="s">
        <v>30</v>
      </c>
      <c r="P334" s="1" t="s">
        <v>23</v>
      </c>
      <c r="Q334" s="1" t="s">
        <v>37</v>
      </c>
      <c r="R334" s="1" t="s">
        <v>50</v>
      </c>
      <c r="S334" s="1" t="s">
        <v>47</v>
      </c>
      <c r="T334" s="15" t="s">
        <v>53</v>
      </c>
    </row>
    <row r="335" spans="1:20" x14ac:dyDescent="0.3">
      <c r="A335" s="14">
        <v>334</v>
      </c>
      <c r="B335" s="4">
        <v>44530</v>
      </c>
      <c r="C335" s="1" t="s">
        <v>531</v>
      </c>
      <c r="D335" s="1" t="s">
        <v>20</v>
      </c>
      <c r="E335" s="1" t="s">
        <v>36</v>
      </c>
      <c r="F335" s="2">
        <v>5</v>
      </c>
      <c r="G335" s="5">
        <v>1200</v>
      </c>
      <c r="H335" s="24">
        <f t="shared" si="25"/>
        <v>6000</v>
      </c>
      <c r="I335" s="7">
        <v>0.05</v>
      </c>
      <c r="J335" s="5">
        <f t="shared" si="26"/>
        <v>300</v>
      </c>
      <c r="K335" s="5">
        <f t="shared" si="27"/>
        <v>5700</v>
      </c>
      <c r="L335" s="5">
        <v>960</v>
      </c>
      <c r="M335" s="5">
        <f t="shared" si="28"/>
        <v>900</v>
      </c>
      <c r="N335" s="7">
        <f t="shared" si="29"/>
        <v>0.15789473684210525</v>
      </c>
      <c r="O335" s="1" t="s">
        <v>22</v>
      </c>
      <c r="P335" s="1" t="s">
        <v>31</v>
      </c>
      <c r="Q335" s="1" t="s">
        <v>32</v>
      </c>
      <c r="R335" s="1" t="s">
        <v>56</v>
      </c>
      <c r="S335" s="1" t="s">
        <v>142</v>
      </c>
      <c r="T335" s="15" t="s">
        <v>27</v>
      </c>
    </row>
    <row r="336" spans="1:20" x14ac:dyDescent="0.3">
      <c r="A336" s="14">
        <v>335</v>
      </c>
      <c r="B336" s="4">
        <v>44531</v>
      </c>
      <c r="C336" s="1" t="s">
        <v>532</v>
      </c>
      <c r="D336" s="1" t="s">
        <v>20</v>
      </c>
      <c r="E336" s="1" t="s">
        <v>40</v>
      </c>
      <c r="F336" s="2">
        <v>4</v>
      </c>
      <c r="G336" s="5">
        <v>1500</v>
      </c>
      <c r="H336" s="24">
        <f t="shared" si="25"/>
        <v>6000</v>
      </c>
      <c r="I336" s="7">
        <v>0</v>
      </c>
      <c r="J336" s="5">
        <f t="shared" si="26"/>
        <v>0</v>
      </c>
      <c r="K336" s="5">
        <f t="shared" si="27"/>
        <v>6000</v>
      </c>
      <c r="L336" s="5">
        <v>1050</v>
      </c>
      <c r="M336" s="5">
        <f t="shared" si="28"/>
        <v>1800</v>
      </c>
      <c r="N336" s="7">
        <f t="shared" si="29"/>
        <v>0.3</v>
      </c>
      <c r="O336" s="1" t="s">
        <v>59</v>
      </c>
      <c r="P336" s="1" t="s">
        <v>31</v>
      </c>
      <c r="Q336" s="1" t="s">
        <v>37</v>
      </c>
      <c r="R336" s="1" t="s">
        <v>49</v>
      </c>
      <c r="S336" s="1" t="s">
        <v>232</v>
      </c>
      <c r="T336" s="15" t="s">
        <v>35</v>
      </c>
    </row>
    <row r="337" spans="1:20" x14ac:dyDescent="0.3">
      <c r="A337" s="14">
        <v>336</v>
      </c>
      <c r="B337" s="4">
        <v>44532</v>
      </c>
      <c r="C337" s="1" t="s">
        <v>533</v>
      </c>
      <c r="D337" s="1" t="s">
        <v>28</v>
      </c>
      <c r="E337" s="1" t="s">
        <v>40</v>
      </c>
      <c r="F337" s="2">
        <v>4</v>
      </c>
      <c r="G337" s="5">
        <v>1500</v>
      </c>
      <c r="H337" s="24">
        <f t="shared" si="25"/>
        <v>6000</v>
      </c>
      <c r="I337" s="7">
        <v>0</v>
      </c>
      <c r="J337" s="5">
        <f t="shared" si="26"/>
        <v>0</v>
      </c>
      <c r="K337" s="5">
        <f t="shared" si="27"/>
        <v>6000</v>
      </c>
      <c r="L337" s="5">
        <v>1080</v>
      </c>
      <c r="M337" s="5">
        <f t="shared" si="28"/>
        <v>1680</v>
      </c>
      <c r="N337" s="7">
        <f t="shared" si="29"/>
        <v>0.28000000000000003</v>
      </c>
      <c r="O337" s="1" t="s">
        <v>22</v>
      </c>
      <c r="P337" s="1" t="s">
        <v>31</v>
      </c>
      <c r="Q337" s="1" t="s">
        <v>48</v>
      </c>
      <c r="R337" s="1" t="s">
        <v>25</v>
      </c>
      <c r="S337" s="1" t="s">
        <v>254</v>
      </c>
      <c r="T337" s="15" t="s">
        <v>27</v>
      </c>
    </row>
    <row r="338" spans="1:20" x14ac:dyDescent="0.3">
      <c r="A338" s="14">
        <v>337</v>
      </c>
      <c r="B338" s="4">
        <v>44533</v>
      </c>
      <c r="C338" s="1" t="s">
        <v>533</v>
      </c>
      <c r="D338" s="1" t="s">
        <v>20</v>
      </c>
      <c r="E338" s="1" t="s">
        <v>40</v>
      </c>
      <c r="F338" s="2">
        <v>4</v>
      </c>
      <c r="G338" s="5">
        <v>1500</v>
      </c>
      <c r="H338" s="24">
        <f t="shared" si="25"/>
        <v>6000</v>
      </c>
      <c r="I338" s="7">
        <v>0</v>
      </c>
      <c r="J338" s="5">
        <f t="shared" si="26"/>
        <v>0</v>
      </c>
      <c r="K338" s="5">
        <f t="shared" si="27"/>
        <v>6000</v>
      </c>
      <c r="L338" s="5">
        <v>1070</v>
      </c>
      <c r="M338" s="5">
        <f t="shared" si="28"/>
        <v>1720</v>
      </c>
      <c r="N338" s="7">
        <f t="shared" si="29"/>
        <v>0.28666666666666668</v>
      </c>
      <c r="O338" s="1" t="s">
        <v>22</v>
      </c>
      <c r="P338" s="1" t="s">
        <v>31</v>
      </c>
      <c r="Q338" s="1" t="s">
        <v>48</v>
      </c>
      <c r="R338" s="1" t="s">
        <v>66</v>
      </c>
      <c r="S338" s="1" t="s">
        <v>230</v>
      </c>
      <c r="T338" s="15" t="s">
        <v>53</v>
      </c>
    </row>
    <row r="339" spans="1:20" x14ac:dyDescent="0.3">
      <c r="A339" s="14">
        <v>338</v>
      </c>
      <c r="B339" s="4">
        <v>44534</v>
      </c>
      <c r="C339" s="1" t="s">
        <v>530</v>
      </c>
      <c r="D339" s="1" t="s">
        <v>20</v>
      </c>
      <c r="E339" s="1" t="s">
        <v>40</v>
      </c>
      <c r="F339" s="2">
        <v>4</v>
      </c>
      <c r="G339" s="5">
        <v>1500</v>
      </c>
      <c r="H339" s="24">
        <f t="shared" si="25"/>
        <v>6000</v>
      </c>
      <c r="I339" s="7">
        <v>0</v>
      </c>
      <c r="J339" s="5">
        <f t="shared" si="26"/>
        <v>0</v>
      </c>
      <c r="K339" s="5">
        <f t="shared" si="27"/>
        <v>6000</v>
      </c>
      <c r="L339" s="5">
        <v>1030</v>
      </c>
      <c r="M339" s="5">
        <f t="shared" si="28"/>
        <v>1880</v>
      </c>
      <c r="N339" s="7">
        <f t="shared" si="29"/>
        <v>0.31333333333333335</v>
      </c>
      <c r="O339" s="1" t="s">
        <v>59</v>
      </c>
      <c r="P339" s="1" t="s">
        <v>31</v>
      </c>
      <c r="Q339" s="1" t="s">
        <v>48</v>
      </c>
      <c r="R339" s="1" t="s">
        <v>66</v>
      </c>
      <c r="S339" s="1" t="s">
        <v>89</v>
      </c>
      <c r="T339" s="15" t="s">
        <v>35</v>
      </c>
    </row>
    <row r="340" spans="1:20" x14ac:dyDescent="0.3">
      <c r="A340" s="14">
        <v>339</v>
      </c>
      <c r="B340" s="4">
        <v>44535</v>
      </c>
      <c r="C340" s="1" t="s">
        <v>529</v>
      </c>
      <c r="D340" s="1" t="s">
        <v>20</v>
      </c>
      <c r="E340" s="1" t="s">
        <v>40</v>
      </c>
      <c r="F340" s="2">
        <v>4</v>
      </c>
      <c r="G340" s="5">
        <v>1500</v>
      </c>
      <c r="H340" s="24">
        <f t="shared" si="25"/>
        <v>6000</v>
      </c>
      <c r="I340" s="7">
        <v>0.05</v>
      </c>
      <c r="J340" s="5">
        <f t="shared" si="26"/>
        <v>300</v>
      </c>
      <c r="K340" s="5">
        <f t="shared" si="27"/>
        <v>5700</v>
      </c>
      <c r="L340" s="5">
        <v>1200</v>
      </c>
      <c r="M340" s="5">
        <f t="shared" si="28"/>
        <v>900</v>
      </c>
      <c r="N340" s="7">
        <f t="shared" si="29"/>
        <v>0.15789473684210525</v>
      </c>
      <c r="O340" s="1" t="s">
        <v>59</v>
      </c>
      <c r="P340" s="1" t="s">
        <v>31</v>
      </c>
      <c r="Q340" s="1" t="s">
        <v>32</v>
      </c>
      <c r="R340" s="1" t="s">
        <v>38</v>
      </c>
      <c r="S340" s="1" t="s">
        <v>78</v>
      </c>
      <c r="T340" s="15" t="s">
        <v>27</v>
      </c>
    </row>
    <row r="341" spans="1:20" x14ac:dyDescent="0.3">
      <c r="A341" s="14">
        <v>340</v>
      </c>
      <c r="B341" s="4">
        <v>44536</v>
      </c>
      <c r="C341" s="1" t="s">
        <v>534</v>
      </c>
      <c r="D341" s="1" t="s">
        <v>20</v>
      </c>
      <c r="E341" s="1" t="s">
        <v>40</v>
      </c>
      <c r="F341" s="2">
        <v>4</v>
      </c>
      <c r="G341" s="5">
        <v>1500</v>
      </c>
      <c r="H341" s="24">
        <f t="shared" si="25"/>
        <v>6000</v>
      </c>
      <c r="I341" s="7">
        <v>0</v>
      </c>
      <c r="J341" s="5">
        <f t="shared" si="26"/>
        <v>0</v>
      </c>
      <c r="K341" s="5">
        <f t="shared" si="27"/>
        <v>6000</v>
      </c>
      <c r="L341" s="5">
        <v>1180</v>
      </c>
      <c r="M341" s="5">
        <f t="shared" si="28"/>
        <v>1280</v>
      </c>
      <c r="N341" s="7">
        <f t="shared" si="29"/>
        <v>0.21333333333333335</v>
      </c>
      <c r="O341" s="1" t="s">
        <v>30</v>
      </c>
      <c r="P341" s="1" t="s">
        <v>31</v>
      </c>
      <c r="Q341" s="1" t="s">
        <v>24</v>
      </c>
      <c r="R341" s="1" t="s">
        <v>38</v>
      </c>
      <c r="S341" s="1" t="s">
        <v>100</v>
      </c>
      <c r="T341" s="15" t="s">
        <v>61</v>
      </c>
    </row>
    <row r="342" spans="1:20" x14ac:dyDescent="0.3">
      <c r="A342" s="14">
        <v>341</v>
      </c>
      <c r="B342" s="4">
        <v>44537</v>
      </c>
      <c r="C342" s="1" t="s">
        <v>531</v>
      </c>
      <c r="D342" s="1" t="s">
        <v>20</v>
      </c>
      <c r="E342" s="1" t="s">
        <v>40</v>
      </c>
      <c r="F342" s="2">
        <v>4</v>
      </c>
      <c r="G342" s="5">
        <v>1500</v>
      </c>
      <c r="H342" s="24">
        <f t="shared" si="25"/>
        <v>6000</v>
      </c>
      <c r="I342" s="7">
        <v>0</v>
      </c>
      <c r="J342" s="5">
        <f t="shared" si="26"/>
        <v>0</v>
      </c>
      <c r="K342" s="5">
        <f t="shared" si="27"/>
        <v>6000</v>
      </c>
      <c r="L342" s="5">
        <v>1180</v>
      </c>
      <c r="M342" s="5">
        <f t="shared" si="28"/>
        <v>1280</v>
      </c>
      <c r="N342" s="7">
        <f t="shared" si="29"/>
        <v>0.21333333333333335</v>
      </c>
      <c r="O342" s="1" t="s">
        <v>30</v>
      </c>
      <c r="P342" s="1" t="s">
        <v>31</v>
      </c>
      <c r="Q342" s="1" t="s">
        <v>32</v>
      </c>
      <c r="R342" s="1" t="s">
        <v>33</v>
      </c>
      <c r="S342" s="1" t="s">
        <v>220</v>
      </c>
      <c r="T342" s="15" t="s">
        <v>53</v>
      </c>
    </row>
    <row r="343" spans="1:20" x14ac:dyDescent="0.3">
      <c r="A343" s="14">
        <v>342</v>
      </c>
      <c r="B343" s="4">
        <v>44538</v>
      </c>
      <c r="C343" s="1" t="s">
        <v>532</v>
      </c>
      <c r="D343" s="1" t="s">
        <v>20</v>
      </c>
      <c r="E343" s="1" t="s">
        <v>40</v>
      </c>
      <c r="F343" s="2">
        <v>4</v>
      </c>
      <c r="G343" s="5">
        <v>1500</v>
      </c>
      <c r="H343" s="24">
        <f t="shared" si="25"/>
        <v>6000</v>
      </c>
      <c r="I343" s="7">
        <v>0.15</v>
      </c>
      <c r="J343" s="5">
        <f t="shared" si="26"/>
        <v>900</v>
      </c>
      <c r="K343" s="5">
        <f t="shared" si="27"/>
        <v>5100</v>
      </c>
      <c r="L343" s="5">
        <v>960</v>
      </c>
      <c r="M343" s="5">
        <f t="shared" si="28"/>
        <v>1260</v>
      </c>
      <c r="N343" s="7">
        <f t="shared" si="29"/>
        <v>0.24705882352941178</v>
      </c>
      <c r="O343" s="1" t="s">
        <v>54</v>
      </c>
      <c r="P343" s="1" t="s">
        <v>31</v>
      </c>
      <c r="Q343" s="1" t="s">
        <v>24</v>
      </c>
      <c r="R343" s="1" t="s">
        <v>66</v>
      </c>
      <c r="S343" s="1" t="s">
        <v>189</v>
      </c>
      <c r="T343" s="15" t="s">
        <v>27</v>
      </c>
    </row>
    <row r="344" spans="1:20" x14ac:dyDescent="0.3">
      <c r="A344" s="14">
        <v>343</v>
      </c>
      <c r="B344" s="4">
        <v>44539</v>
      </c>
      <c r="C344" s="1" t="s">
        <v>533</v>
      </c>
      <c r="D344" s="1" t="s">
        <v>20</v>
      </c>
      <c r="E344" s="1" t="s">
        <v>40</v>
      </c>
      <c r="F344" s="2">
        <v>4</v>
      </c>
      <c r="G344" s="5">
        <v>1500</v>
      </c>
      <c r="H344" s="24">
        <f t="shared" si="25"/>
        <v>6000</v>
      </c>
      <c r="I344" s="7">
        <v>0.05</v>
      </c>
      <c r="J344" s="5">
        <f t="shared" si="26"/>
        <v>300</v>
      </c>
      <c r="K344" s="5">
        <f t="shared" si="27"/>
        <v>5700</v>
      </c>
      <c r="L344" s="5">
        <v>960</v>
      </c>
      <c r="M344" s="5">
        <f t="shared" si="28"/>
        <v>1860</v>
      </c>
      <c r="N344" s="7">
        <f t="shared" si="29"/>
        <v>0.32631578947368423</v>
      </c>
      <c r="O344" s="1" t="s">
        <v>30</v>
      </c>
      <c r="P344" s="1" t="s">
        <v>31</v>
      </c>
      <c r="Q344" s="1" t="s">
        <v>32</v>
      </c>
      <c r="R344" s="1" t="s">
        <v>50</v>
      </c>
      <c r="S344" s="1" t="s">
        <v>204</v>
      </c>
      <c r="T344" s="15" t="s">
        <v>61</v>
      </c>
    </row>
    <row r="345" spans="1:20" x14ac:dyDescent="0.3">
      <c r="A345" s="14">
        <v>344</v>
      </c>
      <c r="B345" s="4">
        <v>44540</v>
      </c>
      <c r="C345" s="1" t="s">
        <v>530</v>
      </c>
      <c r="D345" s="1" t="s">
        <v>20</v>
      </c>
      <c r="E345" s="1" t="s">
        <v>21</v>
      </c>
      <c r="F345" s="2">
        <v>2</v>
      </c>
      <c r="G345" s="5">
        <v>210</v>
      </c>
      <c r="H345" s="24">
        <f t="shared" si="25"/>
        <v>420</v>
      </c>
      <c r="I345" s="7">
        <v>0.05</v>
      </c>
      <c r="J345" s="5">
        <f t="shared" si="26"/>
        <v>21</v>
      </c>
      <c r="K345" s="5">
        <f t="shared" si="27"/>
        <v>399</v>
      </c>
      <c r="L345" s="5">
        <v>140</v>
      </c>
      <c r="M345" s="5">
        <f t="shared" si="28"/>
        <v>119</v>
      </c>
      <c r="N345" s="7">
        <f t="shared" si="29"/>
        <v>0.2982456140350877</v>
      </c>
      <c r="O345" s="1" t="s">
        <v>22</v>
      </c>
      <c r="P345" s="1" t="s">
        <v>31</v>
      </c>
      <c r="Q345" s="1" t="s">
        <v>37</v>
      </c>
      <c r="R345" s="1" t="s">
        <v>46</v>
      </c>
      <c r="S345" s="1" t="s">
        <v>212</v>
      </c>
      <c r="T345" s="15" t="s">
        <v>61</v>
      </c>
    </row>
    <row r="346" spans="1:20" x14ac:dyDescent="0.3">
      <c r="A346" s="14">
        <v>345</v>
      </c>
      <c r="B346" s="4">
        <v>44541</v>
      </c>
      <c r="C346" s="1" t="s">
        <v>529</v>
      </c>
      <c r="D346" s="1" t="s">
        <v>28</v>
      </c>
      <c r="E346" s="1" t="s">
        <v>36</v>
      </c>
      <c r="F346" s="2">
        <v>7</v>
      </c>
      <c r="G346" s="5">
        <v>2100</v>
      </c>
      <c r="H346" s="24">
        <f t="shared" si="25"/>
        <v>14700</v>
      </c>
      <c r="I346" s="7">
        <v>0</v>
      </c>
      <c r="J346" s="5">
        <f t="shared" si="26"/>
        <v>0</v>
      </c>
      <c r="K346" s="5">
        <f t="shared" si="27"/>
        <v>14700</v>
      </c>
      <c r="L346" s="5">
        <v>1320</v>
      </c>
      <c r="M346" s="5">
        <f t="shared" si="28"/>
        <v>5460</v>
      </c>
      <c r="N346" s="7">
        <f t="shared" si="29"/>
        <v>0.37142857142857144</v>
      </c>
      <c r="O346" s="1" t="s">
        <v>59</v>
      </c>
      <c r="P346" s="1" t="s">
        <v>31</v>
      </c>
      <c r="Q346" s="1" t="s">
        <v>37</v>
      </c>
      <c r="R346" s="1" t="s">
        <v>25</v>
      </c>
      <c r="S346" s="1" t="s">
        <v>148</v>
      </c>
      <c r="T346" s="15" t="s">
        <v>35</v>
      </c>
    </row>
    <row r="347" spans="1:20" x14ac:dyDescent="0.3">
      <c r="A347" s="14">
        <v>346</v>
      </c>
      <c r="B347" s="4">
        <v>44542</v>
      </c>
      <c r="C347" s="1" t="s">
        <v>534</v>
      </c>
      <c r="D347" s="1" t="s">
        <v>20</v>
      </c>
      <c r="E347" s="1" t="s">
        <v>40</v>
      </c>
      <c r="F347" s="2">
        <v>6</v>
      </c>
      <c r="G347" s="5">
        <v>1200</v>
      </c>
      <c r="H347" s="24">
        <f t="shared" si="25"/>
        <v>7200</v>
      </c>
      <c r="I347" s="7">
        <v>0.15</v>
      </c>
      <c r="J347" s="5">
        <f t="shared" si="26"/>
        <v>1080</v>
      </c>
      <c r="K347" s="5">
        <f t="shared" si="27"/>
        <v>6120</v>
      </c>
      <c r="L347" s="5">
        <v>800</v>
      </c>
      <c r="M347" s="5">
        <f t="shared" si="28"/>
        <v>1320</v>
      </c>
      <c r="N347" s="7">
        <f t="shared" si="29"/>
        <v>0.21568627450980393</v>
      </c>
      <c r="O347" s="1" t="s">
        <v>59</v>
      </c>
      <c r="P347" s="1" t="s">
        <v>31</v>
      </c>
      <c r="Q347" s="1" t="s">
        <v>37</v>
      </c>
      <c r="R347" s="1" t="s">
        <v>50</v>
      </c>
      <c r="S347" s="1" t="s">
        <v>81</v>
      </c>
      <c r="T347" s="15" t="s">
        <v>27</v>
      </c>
    </row>
    <row r="348" spans="1:20" x14ac:dyDescent="0.3">
      <c r="A348" s="14">
        <v>347</v>
      </c>
      <c r="B348" s="4">
        <v>44543</v>
      </c>
      <c r="C348" s="1" t="s">
        <v>531</v>
      </c>
      <c r="D348" s="1" t="s">
        <v>28</v>
      </c>
      <c r="E348" s="1" t="s">
        <v>43</v>
      </c>
      <c r="F348" s="2">
        <v>5</v>
      </c>
      <c r="G348" s="5">
        <v>300</v>
      </c>
      <c r="H348" s="24">
        <f t="shared" si="25"/>
        <v>1500</v>
      </c>
      <c r="I348" s="7">
        <v>0.15</v>
      </c>
      <c r="J348" s="5">
        <f t="shared" si="26"/>
        <v>225</v>
      </c>
      <c r="K348" s="5">
        <f t="shared" si="27"/>
        <v>1275</v>
      </c>
      <c r="L348" s="5">
        <v>200</v>
      </c>
      <c r="M348" s="5">
        <f t="shared" si="28"/>
        <v>275</v>
      </c>
      <c r="N348" s="7">
        <f t="shared" si="29"/>
        <v>0.21568627450980393</v>
      </c>
      <c r="O348" s="1" t="s">
        <v>41</v>
      </c>
      <c r="P348" s="1" t="s">
        <v>31</v>
      </c>
      <c r="Q348" s="1" t="s">
        <v>37</v>
      </c>
      <c r="R348" s="1" t="s">
        <v>63</v>
      </c>
      <c r="S348" s="1" t="s">
        <v>140</v>
      </c>
      <c r="T348" s="15" t="s">
        <v>27</v>
      </c>
    </row>
    <row r="349" spans="1:20" x14ac:dyDescent="0.3">
      <c r="A349" s="14">
        <v>348</v>
      </c>
      <c r="B349" s="4">
        <v>44544</v>
      </c>
      <c r="C349" s="1" t="s">
        <v>532</v>
      </c>
      <c r="D349" s="1" t="s">
        <v>20</v>
      </c>
      <c r="E349" s="1" t="s">
        <v>45</v>
      </c>
      <c r="F349" s="2">
        <v>4</v>
      </c>
      <c r="G349" s="5">
        <v>200</v>
      </c>
      <c r="H349" s="24">
        <f t="shared" si="25"/>
        <v>800</v>
      </c>
      <c r="I349" s="7">
        <v>0</v>
      </c>
      <c r="J349" s="5">
        <f t="shared" si="26"/>
        <v>0</v>
      </c>
      <c r="K349" s="5">
        <f t="shared" si="27"/>
        <v>800</v>
      </c>
      <c r="L349" s="5">
        <v>120</v>
      </c>
      <c r="M349" s="5">
        <f t="shared" si="28"/>
        <v>320</v>
      </c>
      <c r="N349" s="7">
        <f t="shared" si="29"/>
        <v>0.4</v>
      </c>
      <c r="O349" s="1" t="s">
        <v>59</v>
      </c>
      <c r="P349" s="1" t="s">
        <v>31</v>
      </c>
      <c r="Q349" s="1" t="s">
        <v>48</v>
      </c>
      <c r="R349" s="1" t="s">
        <v>88</v>
      </c>
      <c r="S349" s="1" t="s">
        <v>255</v>
      </c>
      <c r="T349" s="15" t="s">
        <v>53</v>
      </c>
    </row>
    <row r="350" spans="1:20" x14ac:dyDescent="0.3">
      <c r="A350" s="14">
        <v>349</v>
      </c>
      <c r="B350" s="4">
        <v>44545</v>
      </c>
      <c r="C350" s="1" t="s">
        <v>533</v>
      </c>
      <c r="D350" s="1" t="s">
        <v>20</v>
      </c>
      <c r="E350" s="1" t="s">
        <v>21</v>
      </c>
      <c r="F350" s="2">
        <v>3</v>
      </c>
      <c r="G350" s="5">
        <v>190</v>
      </c>
      <c r="H350" s="24">
        <f t="shared" si="25"/>
        <v>570</v>
      </c>
      <c r="I350" s="7">
        <v>0</v>
      </c>
      <c r="J350" s="5">
        <f t="shared" si="26"/>
        <v>0</v>
      </c>
      <c r="K350" s="5">
        <f t="shared" si="27"/>
        <v>570</v>
      </c>
      <c r="L350" s="5">
        <v>150</v>
      </c>
      <c r="M350" s="5">
        <f t="shared" si="28"/>
        <v>120</v>
      </c>
      <c r="N350" s="7">
        <f t="shared" si="29"/>
        <v>0.21052631578947367</v>
      </c>
      <c r="O350" s="1" t="s">
        <v>59</v>
      </c>
      <c r="P350" s="1" t="s">
        <v>31</v>
      </c>
      <c r="Q350" s="1" t="s">
        <v>24</v>
      </c>
      <c r="R350" s="1" t="s">
        <v>56</v>
      </c>
      <c r="S350" s="1" t="s">
        <v>182</v>
      </c>
      <c r="T350" s="15" t="s">
        <v>53</v>
      </c>
    </row>
    <row r="351" spans="1:20" x14ac:dyDescent="0.3">
      <c r="A351" s="14">
        <v>350</v>
      </c>
      <c r="B351" s="4">
        <v>44546</v>
      </c>
      <c r="C351" s="1" t="s">
        <v>533</v>
      </c>
      <c r="D351" s="1" t="s">
        <v>20</v>
      </c>
      <c r="E351" s="1" t="s">
        <v>29</v>
      </c>
      <c r="F351" s="2">
        <v>2</v>
      </c>
      <c r="G351" s="5">
        <v>2100</v>
      </c>
      <c r="H351" s="24">
        <f t="shared" si="25"/>
        <v>4200</v>
      </c>
      <c r="I351" s="7">
        <v>0</v>
      </c>
      <c r="J351" s="5">
        <f t="shared" si="26"/>
        <v>0</v>
      </c>
      <c r="K351" s="5">
        <f t="shared" si="27"/>
        <v>4200</v>
      </c>
      <c r="L351" s="5">
        <v>1310</v>
      </c>
      <c r="M351" s="5">
        <f t="shared" si="28"/>
        <v>1580</v>
      </c>
      <c r="N351" s="7">
        <f t="shared" si="29"/>
        <v>0.37619047619047619</v>
      </c>
      <c r="O351" s="1" t="s">
        <v>54</v>
      </c>
      <c r="P351" s="1" t="s">
        <v>31</v>
      </c>
      <c r="Q351" s="1" t="s">
        <v>48</v>
      </c>
      <c r="R351" s="1" t="s">
        <v>50</v>
      </c>
      <c r="S351" s="1" t="s">
        <v>256</v>
      </c>
      <c r="T351" s="15" t="s">
        <v>35</v>
      </c>
    </row>
    <row r="352" spans="1:20" x14ac:dyDescent="0.3">
      <c r="A352" s="14">
        <v>351</v>
      </c>
      <c r="B352" s="4">
        <v>44547</v>
      </c>
      <c r="C352" s="1" t="s">
        <v>530</v>
      </c>
      <c r="D352" s="1" t="s">
        <v>20</v>
      </c>
      <c r="E352" s="1" t="s">
        <v>21</v>
      </c>
      <c r="F352" s="2">
        <v>7</v>
      </c>
      <c r="G352" s="5">
        <v>210</v>
      </c>
      <c r="H352" s="24">
        <f t="shared" si="25"/>
        <v>1470</v>
      </c>
      <c r="I352" s="7">
        <v>0.15</v>
      </c>
      <c r="J352" s="5">
        <f t="shared" si="26"/>
        <v>220.5</v>
      </c>
      <c r="K352" s="5">
        <f t="shared" si="27"/>
        <v>1249.5</v>
      </c>
      <c r="L352" s="5">
        <v>150</v>
      </c>
      <c r="M352" s="5">
        <f t="shared" si="28"/>
        <v>199.5</v>
      </c>
      <c r="N352" s="7">
        <f t="shared" si="29"/>
        <v>0.15966386554621848</v>
      </c>
      <c r="O352" s="1" t="s">
        <v>30</v>
      </c>
      <c r="P352" s="1" t="s">
        <v>31</v>
      </c>
      <c r="Q352" s="1" t="s">
        <v>48</v>
      </c>
      <c r="R352" s="1" t="s">
        <v>38</v>
      </c>
      <c r="S352" s="1" t="s">
        <v>208</v>
      </c>
      <c r="T352" s="15" t="s">
        <v>53</v>
      </c>
    </row>
    <row r="353" spans="1:20" x14ac:dyDescent="0.3">
      <c r="A353" s="14">
        <v>352</v>
      </c>
      <c r="B353" s="4">
        <v>44548</v>
      </c>
      <c r="C353" s="1" t="s">
        <v>530</v>
      </c>
      <c r="D353" s="1" t="s">
        <v>28</v>
      </c>
      <c r="E353" s="1" t="s">
        <v>29</v>
      </c>
      <c r="F353" s="2">
        <v>6</v>
      </c>
      <c r="G353" s="5">
        <v>2100</v>
      </c>
      <c r="H353" s="24">
        <f t="shared" si="25"/>
        <v>12600</v>
      </c>
      <c r="I353" s="7">
        <v>0.02</v>
      </c>
      <c r="J353" s="5">
        <f t="shared" si="26"/>
        <v>252</v>
      </c>
      <c r="K353" s="5">
        <f t="shared" si="27"/>
        <v>12348</v>
      </c>
      <c r="L353" s="5">
        <v>1400</v>
      </c>
      <c r="M353" s="5">
        <f t="shared" si="28"/>
        <v>3948</v>
      </c>
      <c r="N353" s="7">
        <f t="shared" si="29"/>
        <v>0.31972789115646261</v>
      </c>
      <c r="O353" s="1" t="s">
        <v>54</v>
      </c>
      <c r="P353" s="1" t="s">
        <v>31</v>
      </c>
      <c r="Q353" s="1" t="s">
        <v>32</v>
      </c>
      <c r="R353" s="1" t="s">
        <v>63</v>
      </c>
      <c r="S353" s="1" t="s">
        <v>159</v>
      </c>
      <c r="T353" s="15" t="s">
        <v>35</v>
      </c>
    </row>
    <row r="354" spans="1:20" x14ac:dyDescent="0.3">
      <c r="A354" s="14">
        <v>353</v>
      </c>
      <c r="B354" s="4">
        <v>44549</v>
      </c>
      <c r="C354" s="1" t="s">
        <v>530</v>
      </c>
      <c r="D354" s="1" t="s">
        <v>80</v>
      </c>
      <c r="E354" s="1" t="s">
        <v>36</v>
      </c>
      <c r="F354" s="2">
        <v>5</v>
      </c>
      <c r="G354" s="5">
        <v>1200</v>
      </c>
      <c r="H354" s="24">
        <f t="shared" si="25"/>
        <v>6000</v>
      </c>
      <c r="I354" s="7">
        <v>0.05</v>
      </c>
      <c r="J354" s="5">
        <f t="shared" si="26"/>
        <v>300</v>
      </c>
      <c r="K354" s="5">
        <f t="shared" si="27"/>
        <v>5700</v>
      </c>
      <c r="L354" s="5">
        <v>700</v>
      </c>
      <c r="M354" s="5">
        <f t="shared" si="28"/>
        <v>2200</v>
      </c>
      <c r="N354" s="7">
        <f t="shared" si="29"/>
        <v>0.38596491228070173</v>
      </c>
      <c r="O354" s="1" t="s">
        <v>41</v>
      </c>
      <c r="P354" s="1" t="s">
        <v>76</v>
      </c>
      <c r="Q354" s="1" t="s">
        <v>24</v>
      </c>
      <c r="R354" s="1" t="s">
        <v>66</v>
      </c>
      <c r="S354" s="1" t="s">
        <v>120</v>
      </c>
      <c r="T354" s="15" t="s">
        <v>53</v>
      </c>
    </row>
    <row r="355" spans="1:20" x14ac:dyDescent="0.3">
      <c r="A355" s="14">
        <v>354</v>
      </c>
      <c r="B355" s="4">
        <v>44550</v>
      </c>
      <c r="C355" s="1" t="s">
        <v>530</v>
      </c>
      <c r="D355" s="1" t="s">
        <v>82</v>
      </c>
      <c r="E355" s="1" t="s">
        <v>40</v>
      </c>
      <c r="F355" s="2">
        <v>4</v>
      </c>
      <c r="G355" s="5">
        <v>1500</v>
      </c>
      <c r="H355" s="24">
        <f t="shared" si="25"/>
        <v>6000</v>
      </c>
      <c r="I355" s="7">
        <v>0</v>
      </c>
      <c r="J355" s="5">
        <f t="shared" si="26"/>
        <v>0</v>
      </c>
      <c r="K355" s="5">
        <f t="shared" si="27"/>
        <v>6000</v>
      </c>
      <c r="L355" s="5">
        <v>1070</v>
      </c>
      <c r="M355" s="5">
        <f t="shared" si="28"/>
        <v>1720</v>
      </c>
      <c r="N355" s="7">
        <f t="shared" si="29"/>
        <v>0.28666666666666668</v>
      </c>
      <c r="O355" s="1" t="s">
        <v>30</v>
      </c>
      <c r="P355" s="1" t="s">
        <v>31</v>
      </c>
      <c r="Q355" s="1" t="s">
        <v>48</v>
      </c>
      <c r="R355" s="1" t="s">
        <v>46</v>
      </c>
      <c r="S355" s="1" t="s">
        <v>176</v>
      </c>
      <c r="T355" s="15" t="s">
        <v>27</v>
      </c>
    </row>
    <row r="356" spans="1:20" x14ac:dyDescent="0.3">
      <c r="A356" s="14">
        <v>355</v>
      </c>
      <c r="B356" s="4">
        <v>44551</v>
      </c>
      <c r="C356" s="1" t="s">
        <v>530</v>
      </c>
      <c r="D356" s="1" t="s">
        <v>20</v>
      </c>
      <c r="E356" s="1" t="s">
        <v>43</v>
      </c>
      <c r="F356" s="2">
        <v>3</v>
      </c>
      <c r="G356" s="5">
        <v>300</v>
      </c>
      <c r="H356" s="24">
        <f t="shared" si="25"/>
        <v>900</v>
      </c>
      <c r="I356" s="7">
        <v>0</v>
      </c>
      <c r="J356" s="5">
        <f t="shared" si="26"/>
        <v>0</v>
      </c>
      <c r="K356" s="5">
        <f t="shared" si="27"/>
        <v>900</v>
      </c>
      <c r="L356" s="5">
        <v>190</v>
      </c>
      <c r="M356" s="5">
        <f t="shared" si="28"/>
        <v>330</v>
      </c>
      <c r="N356" s="7">
        <f t="shared" si="29"/>
        <v>0.36666666666666664</v>
      </c>
      <c r="O356" s="1" t="s">
        <v>41</v>
      </c>
      <c r="P356" s="1" t="s">
        <v>31</v>
      </c>
      <c r="Q356" s="1" t="s">
        <v>24</v>
      </c>
      <c r="R356" s="1" t="s">
        <v>50</v>
      </c>
      <c r="S356" s="1" t="s">
        <v>95</v>
      </c>
      <c r="T356" s="15" t="s">
        <v>53</v>
      </c>
    </row>
    <row r="357" spans="1:20" x14ac:dyDescent="0.3">
      <c r="A357" s="14">
        <v>356</v>
      </c>
      <c r="B357" s="4">
        <v>44552</v>
      </c>
      <c r="C357" s="1" t="s">
        <v>530</v>
      </c>
      <c r="D357" s="1" t="s">
        <v>28</v>
      </c>
      <c r="E357" s="1" t="s">
        <v>45</v>
      </c>
      <c r="F357" s="2">
        <v>2</v>
      </c>
      <c r="G357" s="5">
        <v>190</v>
      </c>
      <c r="H357" s="24">
        <f t="shared" si="25"/>
        <v>380</v>
      </c>
      <c r="I357" s="7">
        <v>0</v>
      </c>
      <c r="J357" s="5">
        <f t="shared" si="26"/>
        <v>0</v>
      </c>
      <c r="K357" s="5">
        <f t="shared" si="27"/>
        <v>380</v>
      </c>
      <c r="L357" s="5">
        <v>150</v>
      </c>
      <c r="M357" s="5">
        <f t="shared" si="28"/>
        <v>80</v>
      </c>
      <c r="N357" s="7">
        <f t="shared" si="29"/>
        <v>0.21052631578947367</v>
      </c>
      <c r="O357" s="1" t="s">
        <v>30</v>
      </c>
      <c r="P357" s="1" t="s">
        <v>31</v>
      </c>
      <c r="Q357" s="1" t="s">
        <v>32</v>
      </c>
      <c r="R357" s="1" t="s">
        <v>49</v>
      </c>
      <c r="S357" s="1" t="s">
        <v>42</v>
      </c>
      <c r="T357" s="15" t="s">
        <v>35</v>
      </c>
    </row>
    <row r="358" spans="1:20" x14ac:dyDescent="0.3">
      <c r="A358" s="14">
        <v>357</v>
      </c>
      <c r="B358" s="4">
        <v>44553</v>
      </c>
      <c r="C358" s="1" t="s">
        <v>530</v>
      </c>
      <c r="D358" s="1" t="s">
        <v>80</v>
      </c>
      <c r="E358" s="1" t="s">
        <v>21</v>
      </c>
      <c r="F358" s="2">
        <v>7</v>
      </c>
      <c r="G358" s="5">
        <v>210</v>
      </c>
      <c r="H358" s="24">
        <f t="shared" si="25"/>
        <v>1470</v>
      </c>
      <c r="I358" s="7">
        <v>0</v>
      </c>
      <c r="J358" s="5">
        <f t="shared" si="26"/>
        <v>0</v>
      </c>
      <c r="K358" s="5">
        <f t="shared" si="27"/>
        <v>1470</v>
      </c>
      <c r="L358" s="5">
        <v>170</v>
      </c>
      <c r="M358" s="5">
        <f t="shared" si="28"/>
        <v>280</v>
      </c>
      <c r="N358" s="7">
        <f t="shared" si="29"/>
        <v>0.19047619047619047</v>
      </c>
      <c r="O358" s="1" t="s">
        <v>30</v>
      </c>
      <c r="P358" s="1" t="s">
        <v>31</v>
      </c>
      <c r="Q358" s="1" t="s">
        <v>37</v>
      </c>
      <c r="R358" s="1" t="s">
        <v>38</v>
      </c>
      <c r="S358" s="1" t="s">
        <v>257</v>
      </c>
      <c r="T358" s="15" t="s">
        <v>61</v>
      </c>
    </row>
    <row r="359" spans="1:20" x14ac:dyDescent="0.3">
      <c r="A359" s="14">
        <v>358</v>
      </c>
      <c r="B359" s="4">
        <v>44554</v>
      </c>
      <c r="C359" s="1" t="s">
        <v>530</v>
      </c>
      <c r="D359" s="1" t="s">
        <v>82</v>
      </c>
      <c r="E359" s="1" t="s">
        <v>29</v>
      </c>
      <c r="F359" s="2">
        <v>6</v>
      </c>
      <c r="G359" s="5">
        <v>2100</v>
      </c>
      <c r="H359" s="24">
        <f t="shared" si="25"/>
        <v>12600</v>
      </c>
      <c r="I359" s="7">
        <v>0</v>
      </c>
      <c r="J359" s="5">
        <f t="shared" si="26"/>
        <v>0</v>
      </c>
      <c r="K359" s="5">
        <f t="shared" si="27"/>
        <v>12600</v>
      </c>
      <c r="L359" s="5">
        <v>1430</v>
      </c>
      <c r="M359" s="5">
        <f t="shared" si="28"/>
        <v>4020</v>
      </c>
      <c r="N359" s="7">
        <f t="shared" si="29"/>
        <v>0.31904761904761902</v>
      </c>
      <c r="O359" s="1" t="s">
        <v>59</v>
      </c>
      <c r="P359" s="1" t="s">
        <v>31</v>
      </c>
      <c r="Q359" s="1" t="s">
        <v>24</v>
      </c>
      <c r="R359" s="1" t="s">
        <v>33</v>
      </c>
      <c r="S359" s="1" t="s">
        <v>236</v>
      </c>
      <c r="T359" s="15" t="s">
        <v>35</v>
      </c>
    </row>
    <row r="360" spans="1:20" x14ac:dyDescent="0.3">
      <c r="A360" s="14">
        <v>359</v>
      </c>
      <c r="B360" s="4">
        <v>44555</v>
      </c>
      <c r="C360" s="1" t="s">
        <v>529</v>
      </c>
      <c r="D360" s="1" t="s">
        <v>28</v>
      </c>
      <c r="E360" s="1" t="s">
        <v>29</v>
      </c>
      <c r="F360" s="2">
        <v>6</v>
      </c>
      <c r="G360" s="5">
        <v>2100</v>
      </c>
      <c r="H360" s="24">
        <f t="shared" si="25"/>
        <v>12600</v>
      </c>
      <c r="I360" s="7">
        <v>0</v>
      </c>
      <c r="J360" s="5">
        <f t="shared" si="26"/>
        <v>0</v>
      </c>
      <c r="K360" s="5">
        <f t="shared" si="27"/>
        <v>12600</v>
      </c>
      <c r="L360" s="5">
        <v>1630</v>
      </c>
      <c r="M360" s="5">
        <f t="shared" si="28"/>
        <v>2820</v>
      </c>
      <c r="N360" s="7">
        <f t="shared" si="29"/>
        <v>0.22380952380952382</v>
      </c>
      <c r="O360" s="1" t="s">
        <v>59</v>
      </c>
      <c r="P360" s="1" t="s">
        <v>31</v>
      </c>
      <c r="Q360" s="1" t="s">
        <v>24</v>
      </c>
      <c r="R360" s="1" t="s">
        <v>50</v>
      </c>
      <c r="S360" s="1" t="s">
        <v>100</v>
      </c>
      <c r="T360" s="15" t="s">
        <v>61</v>
      </c>
    </row>
    <row r="361" spans="1:20" x14ac:dyDescent="0.3">
      <c r="A361" s="14">
        <v>360</v>
      </c>
      <c r="B361" s="4">
        <v>44556</v>
      </c>
      <c r="C361" s="1" t="s">
        <v>529</v>
      </c>
      <c r="D361" s="1" t="s">
        <v>20</v>
      </c>
      <c r="E361" s="1" t="s">
        <v>29</v>
      </c>
      <c r="F361" s="2">
        <v>6</v>
      </c>
      <c r="G361" s="5">
        <v>2100</v>
      </c>
      <c r="H361" s="24">
        <f t="shared" si="25"/>
        <v>12600</v>
      </c>
      <c r="I361" s="7">
        <v>0.02</v>
      </c>
      <c r="J361" s="5">
        <f t="shared" si="26"/>
        <v>252</v>
      </c>
      <c r="K361" s="5">
        <f t="shared" si="27"/>
        <v>12348</v>
      </c>
      <c r="L361" s="5">
        <v>1480</v>
      </c>
      <c r="M361" s="5">
        <f t="shared" si="28"/>
        <v>3468</v>
      </c>
      <c r="N361" s="7">
        <f t="shared" si="29"/>
        <v>0.28085519922254615</v>
      </c>
      <c r="O361" s="1" t="s">
        <v>59</v>
      </c>
      <c r="P361" s="1" t="s">
        <v>31</v>
      </c>
      <c r="Q361" s="1" t="s">
        <v>48</v>
      </c>
      <c r="R361" s="1" t="s">
        <v>25</v>
      </c>
      <c r="S361" s="1" t="s">
        <v>140</v>
      </c>
      <c r="T361" s="15" t="s">
        <v>61</v>
      </c>
    </row>
    <row r="362" spans="1:20" x14ac:dyDescent="0.3">
      <c r="A362" s="14">
        <v>361</v>
      </c>
      <c r="B362" s="4">
        <v>44557</v>
      </c>
      <c r="C362" s="1" t="s">
        <v>529</v>
      </c>
      <c r="D362" s="1" t="s">
        <v>80</v>
      </c>
      <c r="E362" s="1" t="s">
        <v>29</v>
      </c>
      <c r="F362" s="2">
        <v>6</v>
      </c>
      <c r="G362" s="5">
        <v>2100</v>
      </c>
      <c r="H362" s="24">
        <f t="shared" si="25"/>
        <v>12600</v>
      </c>
      <c r="I362" s="7">
        <v>0</v>
      </c>
      <c r="J362" s="5">
        <f t="shared" si="26"/>
        <v>0</v>
      </c>
      <c r="K362" s="5">
        <f t="shared" si="27"/>
        <v>12600</v>
      </c>
      <c r="L362" s="5">
        <v>1650</v>
      </c>
      <c r="M362" s="5">
        <f t="shared" si="28"/>
        <v>2700</v>
      </c>
      <c r="N362" s="7">
        <f t="shared" si="29"/>
        <v>0.21428571428571427</v>
      </c>
      <c r="O362" s="1" t="s">
        <v>41</v>
      </c>
      <c r="P362" s="1" t="s">
        <v>62</v>
      </c>
      <c r="Q362" s="1" t="s">
        <v>48</v>
      </c>
      <c r="R362" s="1" t="s">
        <v>38</v>
      </c>
      <c r="S362" s="1" t="s">
        <v>86</v>
      </c>
      <c r="T362" s="15" t="s">
        <v>35</v>
      </c>
    </row>
    <row r="363" spans="1:20" x14ac:dyDescent="0.3">
      <c r="A363" s="14">
        <v>362</v>
      </c>
      <c r="B363" s="4">
        <v>44558</v>
      </c>
      <c r="C363" s="1" t="s">
        <v>529</v>
      </c>
      <c r="D363" s="1" t="s">
        <v>82</v>
      </c>
      <c r="E363" s="1" t="s">
        <v>29</v>
      </c>
      <c r="F363" s="2">
        <v>6</v>
      </c>
      <c r="G363" s="5">
        <v>2100</v>
      </c>
      <c r="H363" s="24">
        <f t="shared" si="25"/>
        <v>12600</v>
      </c>
      <c r="I363" s="7">
        <v>0.1</v>
      </c>
      <c r="J363" s="5">
        <f t="shared" si="26"/>
        <v>1260</v>
      </c>
      <c r="K363" s="5">
        <f t="shared" si="27"/>
        <v>11340</v>
      </c>
      <c r="L363" s="5">
        <v>1490</v>
      </c>
      <c r="M363" s="5">
        <f t="shared" si="28"/>
        <v>2400</v>
      </c>
      <c r="N363" s="7">
        <f t="shared" si="29"/>
        <v>0.21164021164021163</v>
      </c>
      <c r="O363" s="1" t="s">
        <v>54</v>
      </c>
      <c r="P363" s="1" t="s">
        <v>31</v>
      </c>
      <c r="Q363" s="1" t="s">
        <v>48</v>
      </c>
      <c r="R363" s="1" t="s">
        <v>56</v>
      </c>
      <c r="S363" s="1" t="s">
        <v>139</v>
      </c>
      <c r="T363" s="15" t="s">
        <v>35</v>
      </c>
    </row>
    <row r="364" spans="1:20" x14ac:dyDescent="0.3">
      <c r="A364" s="14">
        <v>363</v>
      </c>
      <c r="B364" s="4">
        <v>44559</v>
      </c>
      <c r="C364" s="1" t="s">
        <v>529</v>
      </c>
      <c r="D364" s="1" t="s">
        <v>28</v>
      </c>
      <c r="E364" s="1" t="s">
        <v>29</v>
      </c>
      <c r="F364" s="2">
        <v>6</v>
      </c>
      <c r="G364" s="5">
        <v>2100</v>
      </c>
      <c r="H364" s="24">
        <f t="shared" si="25"/>
        <v>12600</v>
      </c>
      <c r="I364" s="7">
        <v>0</v>
      </c>
      <c r="J364" s="5">
        <f t="shared" si="26"/>
        <v>0</v>
      </c>
      <c r="K364" s="5">
        <f t="shared" si="27"/>
        <v>12600</v>
      </c>
      <c r="L364" s="5">
        <v>1470</v>
      </c>
      <c r="M364" s="5">
        <f t="shared" si="28"/>
        <v>3780</v>
      </c>
      <c r="N364" s="7">
        <f t="shared" si="29"/>
        <v>0.3</v>
      </c>
      <c r="O364" s="1" t="s">
        <v>59</v>
      </c>
      <c r="P364" s="1" t="s">
        <v>31</v>
      </c>
      <c r="Q364" s="1" t="s">
        <v>48</v>
      </c>
      <c r="R364" s="1" t="s">
        <v>38</v>
      </c>
      <c r="S364" s="1" t="s">
        <v>172</v>
      </c>
      <c r="T364" s="15" t="s">
        <v>35</v>
      </c>
    </row>
    <row r="365" spans="1:20" x14ac:dyDescent="0.3">
      <c r="A365" s="14">
        <v>364</v>
      </c>
      <c r="B365" s="4">
        <v>44560</v>
      </c>
      <c r="C365" s="1" t="s">
        <v>529</v>
      </c>
      <c r="D365" s="1" t="s">
        <v>20</v>
      </c>
      <c r="E365" s="1" t="s">
        <v>29</v>
      </c>
      <c r="F365" s="2">
        <v>6</v>
      </c>
      <c r="G365" s="5">
        <v>2100</v>
      </c>
      <c r="H365" s="24">
        <f t="shared" si="25"/>
        <v>12600</v>
      </c>
      <c r="I365" s="7">
        <v>0.05</v>
      </c>
      <c r="J365" s="5">
        <f t="shared" si="26"/>
        <v>630</v>
      </c>
      <c r="K365" s="5">
        <f t="shared" si="27"/>
        <v>11970</v>
      </c>
      <c r="L365" s="5">
        <v>1660</v>
      </c>
      <c r="M365" s="5">
        <f t="shared" si="28"/>
        <v>2010</v>
      </c>
      <c r="N365" s="7">
        <f t="shared" si="29"/>
        <v>0.16791979949874686</v>
      </c>
      <c r="O365" s="1" t="s">
        <v>41</v>
      </c>
      <c r="P365" s="1" t="s">
        <v>31</v>
      </c>
      <c r="Q365" s="1" t="s">
        <v>48</v>
      </c>
      <c r="R365" s="1" t="s">
        <v>38</v>
      </c>
      <c r="S365" s="1" t="s">
        <v>214</v>
      </c>
      <c r="T365" s="15" t="s">
        <v>53</v>
      </c>
    </row>
    <row r="366" spans="1:20" x14ac:dyDescent="0.3">
      <c r="A366" s="14">
        <v>365</v>
      </c>
      <c r="B366" s="4">
        <v>44561</v>
      </c>
      <c r="C366" s="1" t="s">
        <v>529</v>
      </c>
      <c r="D366" s="1" t="s">
        <v>80</v>
      </c>
      <c r="E366" s="1" t="s">
        <v>36</v>
      </c>
      <c r="F366" s="2">
        <v>6</v>
      </c>
      <c r="G366" s="5">
        <v>1200</v>
      </c>
      <c r="H366" s="24">
        <f t="shared" si="25"/>
        <v>7200</v>
      </c>
      <c r="I366" s="7">
        <v>0.05</v>
      </c>
      <c r="J366" s="5">
        <f t="shared" si="26"/>
        <v>360</v>
      </c>
      <c r="K366" s="5">
        <f t="shared" si="27"/>
        <v>6840</v>
      </c>
      <c r="L366" s="5">
        <v>890</v>
      </c>
      <c r="M366" s="5">
        <f t="shared" si="28"/>
        <v>1500</v>
      </c>
      <c r="N366" s="7">
        <f t="shared" si="29"/>
        <v>0.21929824561403508</v>
      </c>
      <c r="O366" s="1" t="s">
        <v>41</v>
      </c>
      <c r="P366" s="1" t="s">
        <v>31</v>
      </c>
      <c r="Q366" s="1" t="s">
        <v>32</v>
      </c>
      <c r="R366" s="1" t="s">
        <v>66</v>
      </c>
      <c r="S366" s="1" t="s">
        <v>257</v>
      </c>
      <c r="T366" s="15" t="s">
        <v>61</v>
      </c>
    </row>
    <row r="367" spans="1:20" x14ac:dyDescent="0.3">
      <c r="A367" s="14">
        <v>366</v>
      </c>
      <c r="B367" s="4">
        <v>44562</v>
      </c>
      <c r="C367" s="1" t="s">
        <v>529</v>
      </c>
      <c r="D367" s="1" t="s">
        <v>82</v>
      </c>
      <c r="E367" s="1" t="s">
        <v>40</v>
      </c>
      <c r="F367" s="2">
        <v>5</v>
      </c>
      <c r="G367" s="5">
        <v>1500</v>
      </c>
      <c r="H367" s="24">
        <f t="shared" si="25"/>
        <v>7500</v>
      </c>
      <c r="I367" s="7">
        <v>0.15</v>
      </c>
      <c r="J367" s="5">
        <f t="shared" si="26"/>
        <v>1125</v>
      </c>
      <c r="K367" s="5">
        <f t="shared" si="27"/>
        <v>6375</v>
      </c>
      <c r="L367" s="5">
        <v>1030</v>
      </c>
      <c r="M367" s="5">
        <f t="shared" si="28"/>
        <v>1225</v>
      </c>
      <c r="N367" s="7">
        <f t="shared" si="29"/>
        <v>0.19215686274509805</v>
      </c>
      <c r="O367" s="1" t="s">
        <v>41</v>
      </c>
      <c r="P367" s="1" t="s">
        <v>31</v>
      </c>
      <c r="Q367" s="1" t="s">
        <v>32</v>
      </c>
      <c r="R367" s="1" t="s">
        <v>63</v>
      </c>
      <c r="S367" s="1" t="s">
        <v>94</v>
      </c>
      <c r="T367" s="15" t="s">
        <v>61</v>
      </c>
    </row>
    <row r="368" spans="1:20" x14ac:dyDescent="0.3">
      <c r="A368" s="14">
        <v>367</v>
      </c>
      <c r="B368" s="4">
        <v>44213</v>
      </c>
      <c r="C368" s="1" t="s">
        <v>531</v>
      </c>
      <c r="D368" s="1" t="s">
        <v>20</v>
      </c>
      <c r="E368" s="1" t="s">
        <v>21</v>
      </c>
      <c r="F368" s="2">
        <v>7</v>
      </c>
      <c r="G368" s="5">
        <v>220</v>
      </c>
      <c r="H368" s="24">
        <f t="shared" si="25"/>
        <v>1540</v>
      </c>
      <c r="I368" s="7">
        <v>0.15</v>
      </c>
      <c r="J368" s="5">
        <f t="shared" si="26"/>
        <v>231</v>
      </c>
      <c r="K368" s="5">
        <f t="shared" si="27"/>
        <v>1309</v>
      </c>
      <c r="L368" s="5">
        <v>130</v>
      </c>
      <c r="M368" s="5">
        <f t="shared" si="28"/>
        <v>399</v>
      </c>
      <c r="N368" s="7">
        <f t="shared" si="29"/>
        <v>0.30481283422459893</v>
      </c>
      <c r="O368" s="1" t="s">
        <v>54</v>
      </c>
      <c r="P368" s="1" t="s">
        <v>31</v>
      </c>
      <c r="Q368" s="1" t="s">
        <v>24</v>
      </c>
      <c r="R368" s="1" t="s">
        <v>56</v>
      </c>
      <c r="S368" s="1" t="s">
        <v>42</v>
      </c>
      <c r="T368" s="15" t="s">
        <v>35</v>
      </c>
    </row>
    <row r="369" spans="1:20" x14ac:dyDescent="0.3">
      <c r="A369" s="14">
        <v>368</v>
      </c>
      <c r="B369" s="4">
        <v>44367</v>
      </c>
      <c r="C369" s="1" t="s">
        <v>534</v>
      </c>
      <c r="D369" s="1" t="s">
        <v>82</v>
      </c>
      <c r="E369" s="1" t="s">
        <v>29</v>
      </c>
      <c r="F369" s="2">
        <v>2</v>
      </c>
      <c r="G369" s="5">
        <v>2150</v>
      </c>
      <c r="H369" s="24">
        <f t="shared" si="25"/>
        <v>4300</v>
      </c>
      <c r="I369" s="7">
        <v>0.05</v>
      </c>
      <c r="J369" s="5">
        <f t="shared" si="26"/>
        <v>215</v>
      </c>
      <c r="K369" s="5">
        <f t="shared" si="27"/>
        <v>4085</v>
      </c>
      <c r="L369" s="5">
        <v>1350</v>
      </c>
      <c r="M369" s="5">
        <f t="shared" si="28"/>
        <v>1385</v>
      </c>
      <c r="N369" s="7">
        <f t="shared" si="29"/>
        <v>0.33904528763769892</v>
      </c>
      <c r="O369" s="1" t="s">
        <v>59</v>
      </c>
      <c r="P369" s="1" t="s">
        <v>31</v>
      </c>
      <c r="Q369" s="1" t="s">
        <v>32</v>
      </c>
      <c r="R369" s="1" t="s">
        <v>56</v>
      </c>
      <c r="S369" s="1" t="s">
        <v>213</v>
      </c>
      <c r="T369" s="15" t="s">
        <v>61</v>
      </c>
    </row>
    <row r="370" spans="1:20" x14ac:dyDescent="0.3">
      <c r="A370" s="14">
        <v>369</v>
      </c>
      <c r="B370" s="4">
        <v>44441</v>
      </c>
      <c r="C370" s="1" t="s">
        <v>530</v>
      </c>
      <c r="D370" s="1" t="s">
        <v>20</v>
      </c>
      <c r="E370" s="1" t="s">
        <v>36</v>
      </c>
      <c r="F370" s="2">
        <v>12</v>
      </c>
      <c r="G370" s="5">
        <v>1250</v>
      </c>
      <c r="H370" s="24">
        <f t="shared" si="25"/>
        <v>15000</v>
      </c>
      <c r="I370" s="7">
        <v>0.02</v>
      </c>
      <c r="J370" s="5">
        <f t="shared" si="26"/>
        <v>300</v>
      </c>
      <c r="K370" s="5">
        <f t="shared" si="27"/>
        <v>14700</v>
      </c>
      <c r="L370" s="5">
        <v>760</v>
      </c>
      <c r="M370" s="5">
        <f t="shared" si="28"/>
        <v>5580</v>
      </c>
      <c r="N370" s="7">
        <f t="shared" si="29"/>
        <v>0.37959183673469388</v>
      </c>
      <c r="O370" s="1" t="s">
        <v>54</v>
      </c>
      <c r="P370" s="1" t="s">
        <v>31</v>
      </c>
      <c r="Q370" s="1" t="s">
        <v>32</v>
      </c>
      <c r="R370" s="1" t="s">
        <v>49</v>
      </c>
      <c r="S370" s="1" t="s">
        <v>258</v>
      </c>
      <c r="T370" s="15" t="s">
        <v>27</v>
      </c>
    </row>
    <row r="371" spans="1:20" x14ac:dyDescent="0.3">
      <c r="A371" s="14">
        <v>370</v>
      </c>
      <c r="B371" s="4">
        <v>44521</v>
      </c>
      <c r="C371" s="1" t="s">
        <v>533</v>
      </c>
      <c r="D371" s="1" t="s">
        <v>80</v>
      </c>
      <c r="E371" s="1" t="s">
        <v>45</v>
      </c>
      <c r="F371" s="2">
        <v>2</v>
      </c>
      <c r="G371" s="5">
        <v>210</v>
      </c>
      <c r="H371" s="24">
        <f t="shared" si="25"/>
        <v>420</v>
      </c>
      <c r="I371" s="7">
        <v>0.05</v>
      </c>
      <c r="J371" s="5">
        <f t="shared" si="26"/>
        <v>21</v>
      </c>
      <c r="K371" s="5">
        <f t="shared" si="27"/>
        <v>399</v>
      </c>
      <c r="L371" s="5">
        <v>150</v>
      </c>
      <c r="M371" s="5">
        <f t="shared" si="28"/>
        <v>99</v>
      </c>
      <c r="N371" s="7">
        <f t="shared" si="29"/>
        <v>0.24812030075187969</v>
      </c>
      <c r="O371" s="1" t="s">
        <v>22</v>
      </c>
      <c r="P371" s="1" t="s">
        <v>31</v>
      </c>
      <c r="Q371" s="1" t="s">
        <v>32</v>
      </c>
      <c r="R371" s="1" t="s">
        <v>38</v>
      </c>
      <c r="S371" s="1" t="s">
        <v>259</v>
      </c>
      <c r="T371" s="15" t="s">
        <v>53</v>
      </c>
    </row>
    <row r="372" spans="1:20" x14ac:dyDescent="0.3">
      <c r="A372" s="14">
        <v>371</v>
      </c>
      <c r="B372" s="4">
        <v>44409</v>
      </c>
      <c r="C372" s="1" t="s">
        <v>533</v>
      </c>
      <c r="D372" s="1" t="s">
        <v>20</v>
      </c>
      <c r="E372" s="1" t="s">
        <v>21</v>
      </c>
      <c r="F372" s="2">
        <v>12</v>
      </c>
      <c r="G372" s="5">
        <v>200</v>
      </c>
      <c r="H372" s="24">
        <f t="shared" si="25"/>
        <v>2400</v>
      </c>
      <c r="I372" s="7">
        <v>0.15</v>
      </c>
      <c r="J372" s="5">
        <f t="shared" si="26"/>
        <v>360</v>
      </c>
      <c r="K372" s="5">
        <f t="shared" si="27"/>
        <v>2040</v>
      </c>
      <c r="L372" s="5">
        <v>140</v>
      </c>
      <c r="M372" s="5">
        <f t="shared" si="28"/>
        <v>360</v>
      </c>
      <c r="N372" s="7">
        <f t="shared" si="29"/>
        <v>0.17647058823529413</v>
      </c>
      <c r="O372" s="1" t="s">
        <v>22</v>
      </c>
      <c r="P372" s="1" t="s">
        <v>31</v>
      </c>
      <c r="Q372" s="1" t="s">
        <v>32</v>
      </c>
      <c r="R372" s="1" t="s">
        <v>33</v>
      </c>
      <c r="S372" s="1" t="s">
        <v>205</v>
      </c>
      <c r="T372" s="15" t="s">
        <v>61</v>
      </c>
    </row>
    <row r="373" spans="1:20" x14ac:dyDescent="0.3">
      <c r="A373" s="14">
        <v>372</v>
      </c>
      <c r="B373" s="4">
        <v>44432</v>
      </c>
      <c r="C373" s="1" t="s">
        <v>529</v>
      </c>
      <c r="D373" s="1" t="s">
        <v>82</v>
      </c>
      <c r="E373" s="1" t="s">
        <v>21</v>
      </c>
      <c r="F373" s="2">
        <v>5</v>
      </c>
      <c r="G373" s="5">
        <v>210</v>
      </c>
      <c r="H373" s="24">
        <f t="shared" si="25"/>
        <v>1050</v>
      </c>
      <c r="I373" s="7">
        <v>0</v>
      </c>
      <c r="J373" s="5">
        <f t="shared" si="26"/>
        <v>0</v>
      </c>
      <c r="K373" s="5">
        <f t="shared" si="27"/>
        <v>1050</v>
      </c>
      <c r="L373" s="5">
        <v>150</v>
      </c>
      <c r="M373" s="5">
        <f t="shared" si="28"/>
        <v>300</v>
      </c>
      <c r="N373" s="7">
        <f t="shared" si="29"/>
        <v>0.2857142857142857</v>
      </c>
      <c r="O373" s="1" t="s">
        <v>30</v>
      </c>
      <c r="P373" s="1" t="s">
        <v>31</v>
      </c>
      <c r="Q373" s="1" t="s">
        <v>32</v>
      </c>
      <c r="R373" s="1" t="s">
        <v>25</v>
      </c>
      <c r="S373" s="1" t="s">
        <v>94</v>
      </c>
      <c r="T373" s="15" t="s">
        <v>35</v>
      </c>
    </row>
    <row r="374" spans="1:20" x14ac:dyDescent="0.3">
      <c r="A374" s="14">
        <v>373</v>
      </c>
      <c r="B374" s="4">
        <v>44488</v>
      </c>
      <c r="C374" s="1" t="s">
        <v>533</v>
      </c>
      <c r="D374" s="1" t="s">
        <v>20</v>
      </c>
      <c r="E374" s="1" t="s">
        <v>43</v>
      </c>
      <c r="F374" s="2">
        <v>12</v>
      </c>
      <c r="G374" s="5">
        <v>320</v>
      </c>
      <c r="H374" s="24">
        <f t="shared" si="25"/>
        <v>3840</v>
      </c>
      <c r="I374" s="7">
        <v>0.15</v>
      </c>
      <c r="J374" s="5">
        <f t="shared" si="26"/>
        <v>576</v>
      </c>
      <c r="K374" s="5">
        <f t="shared" si="27"/>
        <v>3264</v>
      </c>
      <c r="L374" s="5">
        <v>250</v>
      </c>
      <c r="M374" s="5">
        <f t="shared" si="28"/>
        <v>264</v>
      </c>
      <c r="N374" s="7">
        <f t="shared" si="29"/>
        <v>8.0882352941176475E-2</v>
      </c>
      <c r="O374" s="1" t="s">
        <v>30</v>
      </c>
      <c r="P374" s="1" t="s">
        <v>31</v>
      </c>
      <c r="Q374" s="1" t="s">
        <v>37</v>
      </c>
      <c r="R374" s="1" t="s">
        <v>25</v>
      </c>
      <c r="S374" s="1" t="s">
        <v>260</v>
      </c>
      <c r="T374" s="15" t="s">
        <v>61</v>
      </c>
    </row>
    <row r="375" spans="1:20" x14ac:dyDescent="0.3">
      <c r="A375" s="14">
        <v>374</v>
      </c>
      <c r="B375" s="4">
        <v>44477</v>
      </c>
      <c r="C375" s="1" t="s">
        <v>530</v>
      </c>
      <c r="D375" s="1" t="s">
        <v>28</v>
      </c>
      <c r="E375" s="1" t="s">
        <v>40</v>
      </c>
      <c r="F375" s="2">
        <v>9</v>
      </c>
      <c r="G375" s="5">
        <v>1400</v>
      </c>
      <c r="H375" s="24">
        <f t="shared" si="25"/>
        <v>12600</v>
      </c>
      <c r="I375" s="7">
        <v>0.1</v>
      </c>
      <c r="J375" s="5">
        <f t="shared" si="26"/>
        <v>1260</v>
      </c>
      <c r="K375" s="5">
        <f t="shared" si="27"/>
        <v>11340</v>
      </c>
      <c r="L375" s="5">
        <v>1070</v>
      </c>
      <c r="M375" s="5">
        <f t="shared" si="28"/>
        <v>1710</v>
      </c>
      <c r="N375" s="7">
        <f t="shared" si="29"/>
        <v>0.15079365079365079</v>
      </c>
      <c r="O375" s="1" t="s">
        <v>41</v>
      </c>
      <c r="P375" s="1" t="s">
        <v>31</v>
      </c>
      <c r="Q375" s="1" t="s">
        <v>24</v>
      </c>
      <c r="R375" s="1" t="s">
        <v>56</v>
      </c>
      <c r="S375" s="1" t="s">
        <v>152</v>
      </c>
      <c r="T375" s="15" t="s">
        <v>27</v>
      </c>
    </row>
    <row r="376" spans="1:20" x14ac:dyDescent="0.3">
      <c r="A376" s="14">
        <v>375</v>
      </c>
      <c r="B376" s="4">
        <v>44409</v>
      </c>
      <c r="C376" s="1" t="s">
        <v>533</v>
      </c>
      <c r="D376" s="1" t="s">
        <v>28</v>
      </c>
      <c r="E376" s="1" t="s">
        <v>36</v>
      </c>
      <c r="F376" s="2">
        <v>6</v>
      </c>
      <c r="G376" s="5">
        <v>1170</v>
      </c>
      <c r="H376" s="24">
        <f t="shared" si="25"/>
        <v>7020</v>
      </c>
      <c r="I376" s="7">
        <v>0</v>
      </c>
      <c r="J376" s="5">
        <f t="shared" si="26"/>
        <v>0</v>
      </c>
      <c r="K376" s="5">
        <f t="shared" si="27"/>
        <v>7020</v>
      </c>
      <c r="L376" s="5">
        <v>700</v>
      </c>
      <c r="M376" s="5">
        <f t="shared" si="28"/>
        <v>2820</v>
      </c>
      <c r="N376" s="7">
        <f t="shared" si="29"/>
        <v>0.40170940170940173</v>
      </c>
      <c r="O376" s="1" t="s">
        <v>54</v>
      </c>
      <c r="P376" s="1" t="s">
        <v>31</v>
      </c>
      <c r="Q376" s="1" t="s">
        <v>32</v>
      </c>
      <c r="R376" s="1" t="s">
        <v>25</v>
      </c>
      <c r="S376" s="1" t="s">
        <v>261</v>
      </c>
      <c r="T376" s="15" t="s">
        <v>27</v>
      </c>
    </row>
    <row r="377" spans="1:20" x14ac:dyDescent="0.3">
      <c r="A377" s="14">
        <v>376</v>
      </c>
      <c r="B377" s="4">
        <v>44443</v>
      </c>
      <c r="C377" s="1" t="s">
        <v>533</v>
      </c>
      <c r="D377" s="1" t="s">
        <v>20</v>
      </c>
      <c r="E377" s="1" t="s">
        <v>29</v>
      </c>
      <c r="F377" s="2">
        <v>9</v>
      </c>
      <c r="G377" s="5">
        <v>2090</v>
      </c>
      <c r="H377" s="24">
        <f t="shared" si="25"/>
        <v>18810</v>
      </c>
      <c r="I377" s="7">
        <v>0</v>
      </c>
      <c r="J377" s="5">
        <f t="shared" si="26"/>
        <v>0</v>
      </c>
      <c r="K377" s="5">
        <f t="shared" si="27"/>
        <v>18810</v>
      </c>
      <c r="L377" s="5">
        <v>1630</v>
      </c>
      <c r="M377" s="5">
        <f t="shared" si="28"/>
        <v>4140</v>
      </c>
      <c r="N377" s="7">
        <f t="shared" si="29"/>
        <v>0.22009569377990432</v>
      </c>
      <c r="O377" s="1" t="s">
        <v>54</v>
      </c>
      <c r="P377" s="1" t="s">
        <v>62</v>
      </c>
      <c r="Q377" s="1" t="s">
        <v>32</v>
      </c>
      <c r="R377" s="1" t="s">
        <v>66</v>
      </c>
      <c r="S377" s="1" t="s">
        <v>262</v>
      </c>
      <c r="T377" s="15" t="s">
        <v>35</v>
      </c>
    </row>
    <row r="378" spans="1:20" x14ac:dyDescent="0.3">
      <c r="A378" s="14">
        <v>377</v>
      </c>
      <c r="B378" s="4">
        <v>44489</v>
      </c>
      <c r="C378" s="1" t="s">
        <v>531</v>
      </c>
      <c r="D378" s="1" t="s">
        <v>20</v>
      </c>
      <c r="E378" s="1" t="s">
        <v>43</v>
      </c>
      <c r="F378" s="2">
        <v>5</v>
      </c>
      <c r="G378" s="5">
        <v>330</v>
      </c>
      <c r="H378" s="24">
        <f t="shared" si="25"/>
        <v>1650</v>
      </c>
      <c r="I378" s="7">
        <v>0</v>
      </c>
      <c r="J378" s="5">
        <f t="shared" si="26"/>
        <v>0</v>
      </c>
      <c r="K378" s="5">
        <f t="shared" si="27"/>
        <v>1650</v>
      </c>
      <c r="L378" s="5">
        <v>200</v>
      </c>
      <c r="M378" s="5">
        <f t="shared" si="28"/>
        <v>650</v>
      </c>
      <c r="N378" s="7">
        <f t="shared" si="29"/>
        <v>0.39393939393939392</v>
      </c>
      <c r="O378" s="1" t="s">
        <v>41</v>
      </c>
      <c r="P378" s="1" t="s">
        <v>31</v>
      </c>
      <c r="Q378" s="1" t="s">
        <v>24</v>
      </c>
      <c r="R378" s="1" t="s">
        <v>33</v>
      </c>
      <c r="S378" s="1" t="s">
        <v>93</v>
      </c>
      <c r="T378" s="15" t="s">
        <v>61</v>
      </c>
    </row>
    <row r="379" spans="1:20" x14ac:dyDescent="0.3">
      <c r="A379" s="14">
        <v>378</v>
      </c>
      <c r="B379" s="4">
        <v>44520</v>
      </c>
      <c r="C379" s="1" t="s">
        <v>530</v>
      </c>
      <c r="D379" s="1" t="s">
        <v>82</v>
      </c>
      <c r="E379" s="1" t="s">
        <v>36</v>
      </c>
      <c r="F379" s="2">
        <v>8</v>
      </c>
      <c r="G379" s="5">
        <v>1350</v>
      </c>
      <c r="H379" s="24">
        <f t="shared" si="25"/>
        <v>10800</v>
      </c>
      <c r="I379" s="7">
        <v>0.05</v>
      </c>
      <c r="J379" s="5">
        <f t="shared" si="26"/>
        <v>540</v>
      </c>
      <c r="K379" s="5">
        <f t="shared" si="27"/>
        <v>10260</v>
      </c>
      <c r="L379" s="5">
        <v>820</v>
      </c>
      <c r="M379" s="5">
        <f t="shared" si="28"/>
        <v>3700</v>
      </c>
      <c r="N379" s="7">
        <f t="shared" si="29"/>
        <v>0.36062378167641324</v>
      </c>
      <c r="O379" s="1" t="s">
        <v>59</v>
      </c>
      <c r="P379" s="1" t="s">
        <v>31</v>
      </c>
      <c r="Q379" s="1" t="s">
        <v>48</v>
      </c>
      <c r="R379" s="1" t="s">
        <v>46</v>
      </c>
      <c r="S379" s="1" t="s">
        <v>263</v>
      </c>
      <c r="T379" s="15" t="s">
        <v>35</v>
      </c>
    </row>
    <row r="380" spans="1:20" x14ac:dyDescent="0.3">
      <c r="A380" s="14">
        <v>379</v>
      </c>
      <c r="B380" s="4">
        <v>44555</v>
      </c>
      <c r="C380" s="1" t="s">
        <v>533</v>
      </c>
      <c r="D380" s="1" t="s">
        <v>82</v>
      </c>
      <c r="E380" s="1" t="s">
        <v>21</v>
      </c>
      <c r="F380" s="2">
        <v>1</v>
      </c>
      <c r="G380" s="5">
        <v>200</v>
      </c>
      <c r="H380" s="24">
        <f t="shared" si="25"/>
        <v>200</v>
      </c>
      <c r="I380" s="7">
        <v>0.1</v>
      </c>
      <c r="J380" s="5">
        <f t="shared" si="26"/>
        <v>20</v>
      </c>
      <c r="K380" s="5">
        <f t="shared" si="27"/>
        <v>180</v>
      </c>
      <c r="L380" s="5">
        <v>120</v>
      </c>
      <c r="M380" s="5">
        <f t="shared" si="28"/>
        <v>60</v>
      </c>
      <c r="N380" s="7">
        <f t="shared" si="29"/>
        <v>0.33333333333333331</v>
      </c>
      <c r="O380" s="1" t="s">
        <v>30</v>
      </c>
      <c r="P380" s="1" t="s">
        <v>31</v>
      </c>
      <c r="Q380" s="1" t="s">
        <v>24</v>
      </c>
      <c r="R380" s="1" t="s">
        <v>63</v>
      </c>
      <c r="S380" s="1" t="s">
        <v>121</v>
      </c>
      <c r="T380" s="15" t="s">
        <v>27</v>
      </c>
    </row>
    <row r="381" spans="1:20" x14ac:dyDescent="0.3">
      <c r="A381" s="14">
        <v>380</v>
      </c>
      <c r="B381" s="4">
        <v>44335</v>
      </c>
      <c r="C381" s="1" t="s">
        <v>532</v>
      </c>
      <c r="D381" s="1" t="s">
        <v>28</v>
      </c>
      <c r="E381" s="1" t="s">
        <v>21</v>
      </c>
      <c r="F381" s="2">
        <v>3</v>
      </c>
      <c r="G381" s="5">
        <v>200</v>
      </c>
      <c r="H381" s="24">
        <f t="shared" si="25"/>
        <v>600</v>
      </c>
      <c r="I381" s="7">
        <v>0</v>
      </c>
      <c r="J381" s="5">
        <f t="shared" si="26"/>
        <v>0</v>
      </c>
      <c r="K381" s="5">
        <f t="shared" si="27"/>
        <v>600</v>
      </c>
      <c r="L381" s="5">
        <v>140</v>
      </c>
      <c r="M381" s="5">
        <f t="shared" si="28"/>
        <v>180</v>
      </c>
      <c r="N381" s="7">
        <f t="shared" si="29"/>
        <v>0.3</v>
      </c>
      <c r="O381" s="1" t="s">
        <v>59</v>
      </c>
      <c r="P381" s="1" t="s">
        <v>31</v>
      </c>
      <c r="Q381" s="1" t="s">
        <v>48</v>
      </c>
      <c r="R381" s="1" t="s">
        <v>46</v>
      </c>
      <c r="S381" s="1" t="s">
        <v>95</v>
      </c>
      <c r="T381" s="15" t="s">
        <v>27</v>
      </c>
    </row>
    <row r="382" spans="1:20" x14ac:dyDescent="0.3">
      <c r="A382" s="14">
        <v>381</v>
      </c>
      <c r="B382" s="4">
        <v>44488</v>
      </c>
      <c r="C382" s="1" t="s">
        <v>529</v>
      </c>
      <c r="D382" s="1" t="s">
        <v>82</v>
      </c>
      <c r="E382" s="1" t="s">
        <v>36</v>
      </c>
      <c r="F382" s="2">
        <v>9</v>
      </c>
      <c r="G382" s="5">
        <v>1110</v>
      </c>
      <c r="H382" s="24">
        <f t="shared" si="25"/>
        <v>9990</v>
      </c>
      <c r="I382" s="7">
        <v>0</v>
      </c>
      <c r="J382" s="5">
        <f t="shared" si="26"/>
        <v>0</v>
      </c>
      <c r="K382" s="5">
        <f t="shared" si="27"/>
        <v>9990</v>
      </c>
      <c r="L382" s="5">
        <v>670</v>
      </c>
      <c r="M382" s="5">
        <f t="shared" si="28"/>
        <v>3960</v>
      </c>
      <c r="N382" s="7">
        <f t="shared" si="29"/>
        <v>0.3963963963963964</v>
      </c>
      <c r="O382" s="1" t="s">
        <v>54</v>
      </c>
      <c r="P382" s="1" t="s">
        <v>62</v>
      </c>
      <c r="Q382" s="1" t="s">
        <v>24</v>
      </c>
      <c r="R382" s="1" t="s">
        <v>66</v>
      </c>
      <c r="S382" s="1" t="s">
        <v>264</v>
      </c>
      <c r="T382" s="15" t="s">
        <v>53</v>
      </c>
    </row>
    <row r="383" spans="1:20" x14ac:dyDescent="0.3">
      <c r="A383" s="14">
        <v>382</v>
      </c>
      <c r="B383" s="4">
        <v>44222</v>
      </c>
      <c r="C383" s="1" t="s">
        <v>533</v>
      </c>
      <c r="D383" s="1" t="s">
        <v>20</v>
      </c>
      <c r="E383" s="1" t="s">
        <v>21</v>
      </c>
      <c r="F383" s="2">
        <v>9</v>
      </c>
      <c r="G383" s="5">
        <v>180</v>
      </c>
      <c r="H383" s="24">
        <f t="shared" si="25"/>
        <v>1620</v>
      </c>
      <c r="I383" s="7">
        <v>0.15</v>
      </c>
      <c r="J383" s="5">
        <f t="shared" si="26"/>
        <v>243</v>
      </c>
      <c r="K383" s="5">
        <f t="shared" si="27"/>
        <v>1377</v>
      </c>
      <c r="L383" s="5">
        <v>140</v>
      </c>
      <c r="M383" s="5">
        <f t="shared" si="28"/>
        <v>117</v>
      </c>
      <c r="N383" s="7">
        <f t="shared" si="29"/>
        <v>8.4967320261437912E-2</v>
      </c>
      <c r="O383" s="1" t="s">
        <v>22</v>
      </c>
      <c r="P383" s="1" t="s">
        <v>31</v>
      </c>
      <c r="Q383" s="1" t="s">
        <v>37</v>
      </c>
      <c r="R383" s="1" t="s">
        <v>25</v>
      </c>
      <c r="S383" s="1" t="s">
        <v>265</v>
      </c>
      <c r="T383" s="15" t="s">
        <v>53</v>
      </c>
    </row>
    <row r="384" spans="1:20" x14ac:dyDescent="0.3">
      <c r="A384" s="14">
        <v>383</v>
      </c>
      <c r="B384" s="4">
        <v>44526</v>
      </c>
      <c r="C384" s="1" t="s">
        <v>530</v>
      </c>
      <c r="D384" s="1" t="s">
        <v>28</v>
      </c>
      <c r="E384" s="1" t="s">
        <v>45</v>
      </c>
      <c r="F384" s="2">
        <v>11</v>
      </c>
      <c r="G384" s="5">
        <v>210</v>
      </c>
      <c r="H384" s="24">
        <f t="shared" si="25"/>
        <v>2310</v>
      </c>
      <c r="I384" s="7">
        <v>0</v>
      </c>
      <c r="J384" s="5">
        <f t="shared" si="26"/>
        <v>0</v>
      </c>
      <c r="K384" s="5">
        <f t="shared" si="27"/>
        <v>2310</v>
      </c>
      <c r="L384" s="5">
        <v>160</v>
      </c>
      <c r="M384" s="5">
        <f t="shared" si="28"/>
        <v>550</v>
      </c>
      <c r="N384" s="7">
        <f t="shared" si="29"/>
        <v>0.23809523809523808</v>
      </c>
      <c r="O384" s="1" t="s">
        <v>22</v>
      </c>
      <c r="P384" s="1" t="s">
        <v>31</v>
      </c>
      <c r="Q384" s="1" t="s">
        <v>48</v>
      </c>
      <c r="R384" s="1" t="s">
        <v>25</v>
      </c>
      <c r="S384" s="1" t="s">
        <v>266</v>
      </c>
      <c r="T384" s="15" t="s">
        <v>61</v>
      </c>
    </row>
    <row r="385" spans="1:20" x14ac:dyDescent="0.3">
      <c r="A385" s="14">
        <v>384</v>
      </c>
      <c r="B385" s="4">
        <v>44366</v>
      </c>
      <c r="C385" s="1" t="s">
        <v>533</v>
      </c>
      <c r="D385" s="1" t="s">
        <v>82</v>
      </c>
      <c r="E385" s="1" t="s">
        <v>43</v>
      </c>
      <c r="F385" s="2">
        <v>9</v>
      </c>
      <c r="G385" s="5">
        <v>280</v>
      </c>
      <c r="H385" s="24">
        <f t="shared" si="25"/>
        <v>2520</v>
      </c>
      <c r="I385" s="7">
        <v>0.05</v>
      </c>
      <c r="J385" s="5">
        <f t="shared" si="26"/>
        <v>126</v>
      </c>
      <c r="K385" s="5">
        <f t="shared" si="27"/>
        <v>2394</v>
      </c>
      <c r="L385" s="5">
        <v>180</v>
      </c>
      <c r="M385" s="5">
        <f t="shared" si="28"/>
        <v>774</v>
      </c>
      <c r="N385" s="7">
        <f t="shared" si="29"/>
        <v>0.32330827067669171</v>
      </c>
      <c r="O385" s="1" t="s">
        <v>41</v>
      </c>
      <c r="P385" s="1" t="s">
        <v>31</v>
      </c>
      <c r="Q385" s="1" t="s">
        <v>37</v>
      </c>
      <c r="R385" s="1" t="s">
        <v>25</v>
      </c>
      <c r="S385" s="1" t="s">
        <v>267</v>
      </c>
      <c r="T385" s="15" t="s">
        <v>35</v>
      </c>
    </row>
    <row r="386" spans="1:20" x14ac:dyDescent="0.3">
      <c r="A386" s="14">
        <v>385</v>
      </c>
      <c r="B386" s="4">
        <v>44486</v>
      </c>
      <c r="C386" s="1" t="s">
        <v>529</v>
      </c>
      <c r="D386" s="1" t="s">
        <v>28</v>
      </c>
      <c r="E386" s="1" t="s">
        <v>40</v>
      </c>
      <c r="F386" s="2">
        <v>5</v>
      </c>
      <c r="G386" s="5">
        <v>1690</v>
      </c>
      <c r="H386" s="24">
        <f t="shared" ref="H386:H449" si="30">F386*G386</f>
        <v>8450</v>
      </c>
      <c r="I386" s="7">
        <v>0</v>
      </c>
      <c r="J386" s="5">
        <f t="shared" ref="J386:J449" si="31">H386*I386</f>
        <v>0</v>
      </c>
      <c r="K386" s="5">
        <f t="shared" ref="K386:K449" si="32">H386-J386</f>
        <v>8450</v>
      </c>
      <c r="L386" s="5">
        <v>1290</v>
      </c>
      <c r="M386" s="5">
        <f t="shared" ref="M386:M449" si="33">K386-(F386*L386)</f>
        <v>2000</v>
      </c>
      <c r="N386" s="7">
        <f t="shared" ref="N386:N449" si="34">IFERROR(M386/K386,0)</f>
        <v>0.23668639053254437</v>
      </c>
      <c r="O386" s="1" t="s">
        <v>54</v>
      </c>
      <c r="P386" s="1" t="s">
        <v>31</v>
      </c>
      <c r="Q386" s="1" t="s">
        <v>48</v>
      </c>
      <c r="R386" s="1" t="s">
        <v>88</v>
      </c>
      <c r="S386" s="1" t="s">
        <v>220</v>
      </c>
      <c r="T386" s="15" t="s">
        <v>35</v>
      </c>
    </row>
    <row r="387" spans="1:20" x14ac:dyDescent="0.3">
      <c r="A387" s="14">
        <v>386</v>
      </c>
      <c r="B387" s="4">
        <v>44471</v>
      </c>
      <c r="C387" s="1" t="s">
        <v>529</v>
      </c>
      <c r="D387" s="1" t="s">
        <v>82</v>
      </c>
      <c r="E387" s="1" t="s">
        <v>43</v>
      </c>
      <c r="F387" s="2">
        <v>4</v>
      </c>
      <c r="G387" s="5">
        <v>330</v>
      </c>
      <c r="H387" s="24">
        <f t="shared" si="30"/>
        <v>1320</v>
      </c>
      <c r="I387" s="7">
        <v>0.05</v>
      </c>
      <c r="J387" s="5">
        <f t="shared" si="31"/>
        <v>66</v>
      </c>
      <c r="K387" s="5">
        <f t="shared" si="32"/>
        <v>1254</v>
      </c>
      <c r="L387" s="5">
        <v>230</v>
      </c>
      <c r="M387" s="5">
        <f t="shared" si="33"/>
        <v>334</v>
      </c>
      <c r="N387" s="7">
        <f t="shared" si="34"/>
        <v>0.266347687400319</v>
      </c>
      <c r="O387" s="1" t="s">
        <v>30</v>
      </c>
      <c r="P387" s="1" t="s">
        <v>31</v>
      </c>
      <c r="Q387" s="1" t="s">
        <v>48</v>
      </c>
      <c r="R387" s="1" t="s">
        <v>25</v>
      </c>
      <c r="S387" s="1" t="s">
        <v>268</v>
      </c>
      <c r="T387" s="15" t="s">
        <v>53</v>
      </c>
    </row>
    <row r="388" spans="1:20" x14ac:dyDescent="0.3">
      <c r="A388" s="14">
        <v>387</v>
      </c>
      <c r="B388" s="4">
        <v>44527</v>
      </c>
      <c r="C388" s="1" t="s">
        <v>533</v>
      </c>
      <c r="D388" s="1" t="s">
        <v>20</v>
      </c>
      <c r="E388" s="1" t="s">
        <v>40</v>
      </c>
      <c r="F388" s="2">
        <v>12</v>
      </c>
      <c r="G388" s="5">
        <v>1450</v>
      </c>
      <c r="H388" s="24">
        <f t="shared" si="30"/>
        <v>17400</v>
      </c>
      <c r="I388" s="7">
        <v>0</v>
      </c>
      <c r="J388" s="5">
        <f t="shared" si="31"/>
        <v>0</v>
      </c>
      <c r="K388" s="5">
        <f t="shared" si="32"/>
        <v>17400</v>
      </c>
      <c r="L388" s="5">
        <v>1190</v>
      </c>
      <c r="M388" s="5">
        <f t="shared" si="33"/>
        <v>3120</v>
      </c>
      <c r="N388" s="7">
        <f t="shared" si="34"/>
        <v>0.1793103448275862</v>
      </c>
      <c r="O388" s="1" t="s">
        <v>22</v>
      </c>
      <c r="P388" s="1" t="s">
        <v>31</v>
      </c>
      <c r="Q388" s="1" t="s">
        <v>37</v>
      </c>
      <c r="R388" s="1" t="s">
        <v>38</v>
      </c>
      <c r="S388" s="1" t="s">
        <v>142</v>
      </c>
      <c r="T388" s="15" t="s">
        <v>35</v>
      </c>
    </row>
    <row r="389" spans="1:20" x14ac:dyDescent="0.3">
      <c r="A389" s="14">
        <v>388</v>
      </c>
      <c r="B389" s="4">
        <v>44521</v>
      </c>
      <c r="C389" s="1" t="s">
        <v>533</v>
      </c>
      <c r="D389" s="1" t="s">
        <v>20</v>
      </c>
      <c r="E389" s="1" t="s">
        <v>43</v>
      </c>
      <c r="F389" s="2">
        <v>11</v>
      </c>
      <c r="G389" s="5">
        <v>310</v>
      </c>
      <c r="H389" s="24">
        <f t="shared" si="30"/>
        <v>3410</v>
      </c>
      <c r="I389" s="7">
        <v>0</v>
      </c>
      <c r="J389" s="5">
        <f t="shared" si="31"/>
        <v>0</v>
      </c>
      <c r="K389" s="5">
        <f t="shared" si="32"/>
        <v>3410</v>
      </c>
      <c r="L389" s="5">
        <v>250</v>
      </c>
      <c r="M389" s="5">
        <f t="shared" si="33"/>
        <v>660</v>
      </c>
      <c r="N389" s="7">
        <f t="shared" si="34"/>
        <v>0.19354838709677419</v>
      </c>
      <c r="O389" s="1" t="s">
        <v>30</v>
      </c>
      <c r="P389" s="1" t="s">
        <v>31</v>
      </c>
      <c r="Q389" s="1" t="s">
        <v>48</v>
      </c>
      <c r="R389" s="1" t="s">
        <v>25</v>
      </c>
      <c r="S389" s="1" t="s">
        <v>269</v>
      </c>
      <c r="T389" s="15" t="s">
        <v>35</v>
      </c>
    </row>
    <row r="390" spans="1:20" x14ac:dyDescent="0.3">
      <c r="A390" s="14">
        <v>389</v>
      </c>
      <c r="B390" s="4">
        <v>44270</v>
      </c>
      <c r="C390" s="1" t="s">
        <v>532</v>
      </c>
      <c r="D390" s="1" t="s">
        <v>82</v>
      </c>
      <c r="E390" s="1" t="s">
        <v>40</v>
      </c>
      <c r="F390" s="2">
        <v>5</v>
      </c>
      <c r="G390" s="5">
        <v>1640</v>
      </c>
      <c r="H390" s="24">
        <f t="shared" si="30"/>
        <v>8200</v>
      </c>
      <c r="I390" s="7">
        <v>0.05</v>
      </c>
      <c r="J390" s="5">
        <f t="shared" si="31"/>
        <v>410</v>
      </c>
      <c r="K390" s="5">
        <f t="shared" si="32"/>
        <v>7790</v>
      </c>
      <c r="L390" s="5">
        <v>1050</v>
      </c>
      <c r="M390" s="5">
        <f t="shared" si="33"/>
        <v>2540</v>
      </c>
      <c r="N390" s="7">
        <f t="shared" si="34"/>
        <v>0.32605905006418484</v>
      </c>
      <c r="O390" s="1" t="s">
        <v>41</v>
      </c>
      <c r="P390" s="1" t="s">
        <v>31</v>
      </c>
      <c r="Q390" s="1" t="s">
        <v>37</v>
      </c>
      <c r="R390" s="1" t="s">
        <v>56</v>
      </c>
      <c r="S390" s="1" t="s">
        <v>71</v>
      </c>
      <c r="T390" s="15" t="s">
        <v>53</v>
      </c>
    </row>
    <row r="391" spans="1:20" x14ac:dyDescent="0.3">
      <c r="A391" s="14">
        <v>390</v>
      </c>
      <c r="B391" s="4">
        <v>44302</v>
      </c>
      <c r="C391" s="1" t="s">
        <v>534</v>
      </c>
      <c r="D391" s="1" t="s">
        <v>20</v>
      </c>
      <c r="E391" s="1" t="s">
        <v>43</v>
      </c>
      <c r="F391" s="2">
        <v>10</v>
      </c>
      <c r="G391" s="5">
        <v>330</v>
      </c>
      <c r="H391" s="24">
        <f t="shared" si="30"/>
        <v>3300</v>
      </c>
      <c r="I391" s="7">
        <v>0.05</v>
      </c>
      <c r="J391" s="5">
        <f t="shared" si="31"/>
        <v>165</v>
      </c>
      <c r="K391" s="5">
        <f t="shared" si="32"/>
        <v>3135</v>
      </c>
      <c r="L391" s="5">
        <v>220</v>
      </c>
      <c r="M391" s="5">
        <f t="shared" si="33"/>
        <v>935</v>
      </c>
      <c r="N391" s="7">
        <f t="shared" si="34"/>
        <v>0.2982456140350877</v>
      </c>
      <c r="O391" s="1" t="s">
        <v>22</v>
      </c>
      <c r="P391" s="1" t="s">
        <v>31</v>
      </c>
      <c r="Q391" s="1" t="s">
        <v>32</v>
      </c>
      <c r="R391" s="1" t="s">
        <v>33</v>
      </c>
      <c r="S391" s="1" t="s">
        <v>270</v>
      </c>
      <c r="T391" s="15" t="s">
        <v>53</v>
      </c>
    </row>
    <row r="392" spans="1:20" x14ac:dyDescent="0.3">
      <c r="A392" s="14">
        <v>391</v>
      </c>
      <c r="B392" s="4">
        <v>44490</v>
      </c>
      <c r="C392" s="1" t="s">
        <v>532</v>
      </c>
      <c r="D392" s="1" t="s">
        <v>82</v>
      </c>
      <c r="E392" s="1" t="s">
        <v>45</v>
      </c>
      <c r="F392" s="2">
        <v>9</v>
      </c>
      <c r="G392" s="5">
        <v>180</v>
      </c>
      <c r="H392" s="24">
        <f t="shared" si="30"/>
        <v>1620</v>
      </c>
      <c r="I392" s="7">
        <v>0.15</v>
      </c>
      <c r="J392" s="5">
        <f t="shared" si="31"/>
        <v>243</v>
      </c>
      <c r="K392" s="5">
        <f t="shared" si="32"/>
        <v>1377</v>
      </c>
      <c r="L392" s="5">
        <v>130</v>
      </c>
      <c r="M392" s="5">
        <f t="shared" si="33"/>
        <v>207</v>
      </c>
      <c r="N392" s="7">
        <f t="shared" si="34"/>
        <v>0.15032679738562091</v>
      </c>
      <c r="O392" s="1" t="s">
        <v>41</v>
      </c>
      <c r="P392" s="1" t="s">
        <v>31</v>
      </c>
      <c r="Q392" s="1" t="s">
        <v>37</v>
      </c>
      <c r="R392" s="1" t="s">
        <v>63</v>
      </c>
      <c r="S392" s="1" t="s">
        <v>271</v>
      </c>
      <c r="T392" s="15" t="s">
        <v>53</v>
      </c>
    </row>
    <row r="393" spans="1:20" x14ac:dyDescent="0.3">
      <c r="A393" s="14">
        <v>392</v>
      </c>
      <c r="B393" s="4">
        <v>44512</v>
      </c>
      <c r="C393" s="1" t="s">
        <v>530</v>
      </c>
      <c r="D393" s="1" t="s">
        <v>82</v>
      </c>
      <c r="E393" s="1" t="s">
        <v>21</v>
      </c>
      <c r="F393" s="2">
        <v>5</v>
      </c>
      <c r="G393" s="5">
        <v>190</v>
      </c>
      <c r="H393" s="24">
        <f t="shared" si="30"/>
        <v>950</v>
      </c>
      <c r="I393" s="7">
        <v>0.15</v>
      </c>
      <c r="J393" s="5">
        <f t="shared" si="31"/>
        <v>142.5</v>
      </c>
      <c r="K393" s="5">
        <f t="shared" si="32"/>
        <v>807.5</v>
      </c>
      <c r="L393" s="5">
        <v>150</v>
      </c>
      <c r="M393" s="5">
        <f t="shared" si="33"/>
        <v>57.5</v>
      </c>
      <c r="N393" s="7">
        <f t="shared" si="34"/>
        <v>7.1207430340557279E-2</v>
      </c>
      <c r="O393" s="1" t="s">
        <v>59</v>
      </c>
      <c r="P393" s="1" t="s">
        <v>31</v>
      </c>
      <c r="Q393" s="1" t="s">
        <v>32</v>
      </c>
      <c r="R393" s="1" t="s">
        <v>63</v>
      </c>
      <c r="S393" s="1" t="s">
        <v>272</v>
      </c>
      <c r="T393" s="15" t="s">
        <v>27</v>
      </c>
    </row>
    <row r="394" spans="1:20" x14ac:dyDescent="0.3">
      <c r="A394" s="14">
        <v>393</v>
      </c>
      <c r="B394" s="4">
        <v>44537</v>
      </c>
      <c r="C394" s="1" t="s">
        <v>532</v>
      </c>
      <c r="D394" s="1" t="s">
        <v>28</v>
      </c>
      <c r="E394" s="1" t="s">
        <v>45</v>
      </c>
      <c r="F394" s="2">
        <v>4</v>
      </c>
      <c r="G394" s="5">
        <v>190</v>
      </c>
      <c r="H394" s="24">
        <f t="shared" si="30"/>
        <v>760</v>
      </c>
      <c r="I394" s="7">
        <v>0</v>
      </c>
      <c r="J394" s="5">
        <f t="shared" si="31"/>
        <v>0</v>
      </c>
      <c r="K394" s="5">
        <f t="shared" si="32"/>
        <v>760</v>
      </c>
      <c r="L394" s="5">
        <v>150</v>
      </c>
      <c r="M394" s="5">
        <f t="shared" si="33"/>
        <v>160</v>
      </c>
      <c r="N394" s="7">
        <f t="shared" si="34"/>
        <v>0.21052631578947367</v>
      </c>
      <c r="O394" s="1" t="s">
        <v>59</v>
      </c>
      <c r="P394" s="1" t="s">
        <v>31</v>
      </c>
      <c r="Q394" s="1" t="s">
        <v>32</v>
      </c>
      <c r="R394" s="1" t="s">
        <v>38</v>
      </c>
      <c r="S394" s="1" t="s">
        <v>273</v>
      </c>
      <c r="T394" s="15" t="s">
        <v>53</v>
      </c>
    </row>
    <row r="395" spans="1:20" x14ac:dyDescent="0.3">
      <c r="A395" s="14">
        <v>394</v>
      </c>
      <c r="B395" s="4">
        <v>44353</v>
      </c>
      <c r="C395" s="1" t="s">
        <v>530</v>
      </c>
      <c r="D395" s="1" t="s">
        <v>20</v>
      </c>
      <c r="E395" s="1" t="s">
        <v>29</v>
      </c>
      <c r="F395" s="2">
        <v>4</v>
      </c>
      <c r="G395" s="5">
        <v>2400</v>
      </c>
      <c r="H395" s="24">
        <f t="shared" si="30"/>
        <v>9600</v>
      </c>
      <c r="I395" s="7">
        <v>0</v>
      </c>
      <c r="J395" s="5">
        <f t="shared" si="31"/>
        <v>0</v>
      </c>
      <c r="K395" s="5">
        <f t="shared" si="32"/>
        <v>9600</v>
      </c>
      <c r="L395" s="5">
        <v>1410</v>
      </c>
      <c r="M395" s="5">
        <f t="shared" si="33"/>
        <v>3960</v>
      </c>
      <c r="N395" s="7">
        <f t="shared" si="34"/>
        <v>0.41249999999999998</v>
      </c>
      <c r="O395" s="1" t="s">
        <v>59</v>
      </c>
      <c r="P395" s="1" t="s">
        <v>31</v>
      </c>
      <c r="Q395" s="1" t="s">
        <v>24</v>
      </c>
      <c r="R395" s="1" t="s">
        <v>46</v>
      </c>
      <c r="S395" s="1" t="s">
        <v>274</v>
      </c>
      <c r="T395" s="15" t="s">
        <v>35</v>
      </c>
    </row>
    <row r="396" spans="1:20" x14ac:dyDescent="0.3">
      <c r="A396" s="14">
        <v>395</v>
      </c>
      <c r="B396" s="4">
        <v>44350</v>
      </c>
      <c r="C396" s="1" t="s">
        <v>530</v>
      </c>
      <c r="D396" s="1" t="s">
        <v>20</v>
      </c>
      <c r="E396" s="1" t="s">
        <v>21</v>
      </c>
      <c r="F396" s="2">
        <v>2</v>
      </c>
      <c r="G396" s="5">
        <v>230</v>
      </c>
      <c r="H396" s="24">
        <f t="shared" si="30"/>
        <v>460</v>
      </c>
      <c r="I396" s="7">
        <v>0.1</v>
      </c>
      <c r="J396" s="5">
        <f t="shared" si="31"/>
        <v>46</v>
      </c>
      <c r="K396" s="5">
        <f t="shared" si="32"/>
        <v>414</v>
      </c>
      <c r="L396" s="5">
        <v>180</v>
      </c>
      <c r="M396" s="5">
        <f t="shared" si="33"/>
        <v>54</v>
      </c>
      <c r="N396" s="7">
        <f t="shared" si="34"/>
        <v>0.13043478260869565</v>
      </c>
      <c r="O396" s="1" t="s">
        <v>30</v>
      </c>
      <c r="P396" s="1" t="s">
        <v>31</v>
      </c>
      <c r="Q396" s="1" t="s">
        <v>37</v>
      </c>
      <c r="R396" s="1" t="s">
        <v>46</v>
      </c>
      <c r="S396" s="1" t="s">
        <v>275</v>
      </c>
      <c r="T396" s="15" t="s">
        <v>27</v>
      </c>
    </row>
    <row r="397" spans="1:20" x14ac:dyDescent="0.3">
      <c r="A397" s="14">
        <v>396</v>
      </c>
      <c r="B397" s="4">
        <v>44290</v>
      </c>
      <c r="C397" s="1" t="s">
        <v>529</v>
      </c>
      <c r="D397" s="1" t="s">
        <v>20</v>
      </c>
      <c r="E397" s="1" t="s">
        <v>29</v>
      </c>
      <c r="F397" s="2">
        <v>2</v>
      </c>
      <c r="G397" s="5">
        <v>2190</v>
      </c>
      <c r="H397" s="24">
        <f t="shared" si="30"/>
        <v>4380</v>
      </c>
      <c r="I397" s="7">
        <v>0.1</v>
      </c>
      <c r="J397" s="5">
        <f t="shared" si="31"/>
        <v>438</v>
      </c>
      <c r="K397" s="5">
        <f t="shared" si="32"/>
        <v>3942</v>
      </c>
      <c r="L397" s="5">
        <v>1780</v>
      </c>
      <c r="M397" s="5">
        <f t="shared" si="33"/>
        <v>382</v>
      </c>
      <c r="N397" s="7">
        <f t="shared" si="34"/>
        <v>9.6905124302384571E-2</v>
      </c>
      <c r="O397" s="1" t="s">
        <v>59</v>
      </c>
      <c r="P397" s="1" t="s">
        <v>31</v>
      </c>
      <c r="Q397" s="1" t="s">
        <v>48</v>
      </c>
      <c r="R397" s="1" t="s">
        <v>88</v>
      </c>
      <c r="S397" s="1" t="s">
        <v>276</v>
      </c>
      <c r="T397" s="15" t="s">
        <v>27</v>
      </c>
    </row>
    <row r="398" spans="1:20" x14ac:dyDescent="0.3">
      <c r="A398" s="14">
        <v>397</v>
      </c>
      <c r="B398" s="4">
        <v>44412</v>
      </c>
      <c r="C398" s="1" t="s">
        <v>530</v>
      </c>
      <c r="D398" s="1" t="s">
        <v>20</v>
      </c>
      <c r="E398" s="1" t="s">
        <v>21</v>
      </c>
      <c r="F398" s="2">
        <v>3</v>
      </c>
      <c r="G398" s="5">
        <v>210</v>
      </c>
      <c r="H398" s="24">
        <f t="shared" si="30"/>
        <v>630</v>
      </c>
      <c r="I398" s="7">
        <v>0.02</v>
      </c>
      <c r="J398" s="5">
        <f t="shared" si="31"/>
        <v>12.6</v>
      </c>
      <c r="K398" s="5">
        <f t="shared" si="32"/>
        <v>617.4</v>
      </c>
      <c r="L398" s="5">
        <v>160</v>
      </c>
      <c r="M398" s="5">
        <f t="shared" si="33"/>
        <v>137.39999999999998</v>
      </c>
      <c r="N398" s="7">
        <f t="shared" si="34"/>
        <v>0.22254616132167149</v>
      </c>
      <c r="O398" s="1" t="s">
        <v>30</v>
      </c>
      <c r="P398" s="1" t="s">
        <v>31</v>
      </c>
      <c r="Q398" s="1" t="s">
        <v>32</v>
      </c>
      <c r="R398" s="1" t="s">
        <v>88</v>
      </c>
      <c r="S398" s="1" t="s">
        <v>277</v>
      </c>
      <c r="T398" s="15" t="s">
        <v>61</v>
      </c>
    </row>
    <row r="399" spans="1:20" x14ac:dyDescent="0.3">
      <c r="A399" s="14">
        <v>398</v>
      </c>
      <c r="B399" s="4">
        <v>44257</v>
      </c>
      <c r="C399" s="1" t="s">
        <v>530</v>
      </c>
      <c r="D399" s="1" t="s">
        <v>82</v>
      </c>
      <c r="E399" s="1" t="s">
        <v>21</v>
      </c>
      <c r="F399" s="2">
        <v>8</v>
      </c>
      <c r="G399" s="5">
        <v>220</v>
      </c>
      <c r="H399" s="24">
        <f t="shared" si="30"/>
        <v>1760</v>
      </c>
      <c r="I399" s="7">
        <v>0</v>
      </c>
      <c r="J399" s="5">
        <f t="shared" si="31"/>
        <v>0</v>
      </c>
      <c r="K399" s="5">
        <f t="shared" si="32"/>
        <v>1760</v>
      </c>
      <c r="L399" s="5">
        <v>140</v>
      </c>
      <c r="M399" s="5">
        <f t="shared" si="33"/>
        <v>640</v>
      </c>
      <c r="N399" s="7">
        <f t="shared" si="34"/>
        <v>0.36363636363636365</v>
      </c>
      <c r="O399" s="1" t="s">
        <v>54</v>
      </c>
      <c r="P399" s="1" t="s">
        <v>31</v>
      </c>
      <c r="Q399" s="1" t="s">
        <v>24</v>
      </c>
      <c r="R399" s="1" t="s">
        <v>49</v>
      </c>
      <c r="S399" s="1" t="s">
        <v>123</v>
      </c>
      <c r="T399" s="15" t="s">
        <v>53</v>
      </c>
    </row>
    <row r="400" spans="1:20" x14ac:dyDescent="0.3">
      <c r="A400" s="14">
        <v>399</v>
      </c>
      <c r="B400" s="4">
        <v>44271</v>
      </c>
      <c r="C400" s="1" t="s">
        <v>531</v>
      </c>
      <c r="D400" s="1" t="s">
        <v>20</v>
      </c>
      <c r="E400" s="1" t="s">
        <v>21</v>
      </c>
      <c r="F400" s="2">
        <v>11</v>
      </c>
      <c r="G400" s="5">
        <v>200</v>
      </c>
      <c r="H400" s="24">
        <f t="shared" si="30"/>
        <v>2200</v>
      </c>
      <c r="I400" s="7">
        <v>0</v>
      </c>
      <c r="J400" s="5">
        <f t="shared" si="31"/>
        <v>0</v>
      </c>
      <c r="K400" s="5">
        <f t="shared" si="32"/>
        <v>2200</v>
      </c>
      <c r="L400" s="5">
        <v>140</v>
      </c>
      <c r="M400" s="5">
        <f t="shared" si="33"/>
        <v>660</v>
      </c>
      <c r="N400" s="7">
        <f t="shared" si="34"/>
        <v>0.3</v>
      </c>
      <c r="O400" s="1" t="s">
        <v>54</v>
      </c>
      <c r="P400" s="1" t="s">
        <v>31</v>
      </c>
      <c r="Q400" s="1" t="s">
        <v>37</v>
      </c>
      <c r="R400" s="1" t="s">
        <v>38</v>
      </c>
      <c r="S400" s="1" t="s">
        <v>278</v>
      </c>
      <c r="T400" s="15" t="s">
        <v>53</v>
      </c>
    </row>
    <row r="401" spans="1:20" x14ac:dyDescent="0.3">
      <c r="A401" s="14">
        <v>400</v>
      </c>
      <c r="B401" s="4">
        <v>44528</v>
      </c>
      <c r="C401" s="1" t="s">
        <v>530</v>
      </c>
      <c r="D401" s="1" t="s">
        <v>20</v>
      </c>
      <c r="E401" s="1" t="s">
        <v>36</v>
      </c>
      <c r="F401" s="2">
        <v>3</v>
      </c>
      <c r="G401" s="5">
        <v>1110</v>
      </c>
      <c r="H401" s="24">
        <f t="shared" si="30"/>
        <v>3330</v>
      </c>
      <c r="I401" s="7">
        <v>0</v>
      </c>
      <c r="J401" s="5">
        <f t="shared" si="31"/>
        <v>0</v>
      </c>
      <c r="K401" s="5">
        <f t="shared" si="32"/>
        <v>3330</v>
      </c>
      <c r="L401" s="5">
        <v>810</v>
      </c>
      <c r="M401" s="5">
        <f t="shared" si="33"/>
        <v>900</v>
      </c>
      <c r="N401" s="7">
        <f t="shared" si="34"/>
        <v>0.27027027027027029</v>
      </c>
      <c r="O401" s="1" t="s">
        <v>30</v>
      </c>
      <c r="P401" s="1" t="s">
        <v>31</v>
      </c>
      <c r="Q401" s="1" t="s">
        <v>24</v>
      </c>
      <c r="R401" s="1" t="s">
        <v>46</v>
      </c>
      <c r="S401" s="1" t="s">
        <v>279</v>
      </c>
      <c r="T401" s="15" t="s">
        <v>35</v>
      </c>
    </row>
    <row r="402" spans="1:20" x14ac:dyDescent="0.3">
      <c r="A402" s="14">
        <v>401</v>
      </c>
      <c r="B402" s="4">
        <v>44335</v>
      </c>
      <c r="C402" s="1" t="s">
        <v>529</v>
      </c>
      <c r="D402" s="1" t="s">
        <v>20</v>
      </c>
      <c r="E402" s="1" t="s">
        <v>36</v>
      </c>
      <c r="F402" s="2">
        <v>7</v>
      </c>
      <c r="G402" s="5">
        <v>1290</v>
      </c>
      <c r="H402" s="24">
        <f t="shared" si="30"/>
        <v>9030</v>
      </c>
      <c r="I402" s="7">
        <v>0</v>
      </c>
      <c r="J402" s="5">
        <f t="shared" si="31"/>
        <v>0</v>
      </c>
      <c r="K402" s="5">
        <f t="shared" si="32"/>
        <v>9030</v>
      </c>
      <c r="L402" s="5">
        <v>940</v>
      </c>
      <c r="M402" s="5">
        <f t="shared" si="33"/>
        <v>2450</v>
      </c>
      <c r="N402" s="7">
        <f t="shared" si="34"/>
        <v>0.27131782945736432</v>
      </c>
      <c r="O402" s="1" t="s">
        <v>54</v>
      </c>
      <c r="P402" s="1" t="s">
        <v>31</v>
      </c>
      <c r="Q402" s="1" t="s">
        <v>24</v>
      </c>
      <c r="R402" s="1" t="s">
        <v>66</v>
      </c>
      <c r="S402" s="1" t="s">
        <v>280</v>
      </c>
      <c r="T402" s="15" t="s">
        <v>35</v>
      </c>
    </row>
    <row r="403" spans="1:20" x14ac:dyDescent="0.3">
      <c r="A403" s="14">
        <v>402</v>
      </c>
      <c r="B403" s="4">
        <v>44413</v>
      </c>
      <c r="C403" s="1" t="s">
        <v>533</v>
      </c>
      <c r="D403" s="1" t="s">
        <v>82</v>
      </c>
      <c r="E403" s="1" t="s">
        <v>40</v>
      </c>
      <c r="F403" s="2">
        <v>2</v>
      </c>
      <c r="G403" s="5">
        <v>1680</v>
      </c>
      <c r="H403" s="24">
        <f t="shared" si="30"/>
        <v>3360</v>
      </c>
      <c r="I403" s="7">
        <v>0.05</v>
      </c>
      <c r="J403" s="5">
        <f t="shared" si="31"/>
        <v>168</v>
      </c>
      <c r="K403" s="5">
        <f t="shared" si="32"/>
        <v>3192</v>
      </c>
      <c r="L403" s="5">
        <v>1060</v>
      </c>
      <c r="M403" s="5">
        <f t="shared" si="33"/>
        <v>1072</v>
      </c>
      <c r="N403" s="7">
        <f t="shared" si="34"/>
        <v>0.33583959899749372</v>
      </c>
      <c r="O403" s="1" t="s">
        <v>41</v>
      </c>
      <c r="P403" s="1" t="s">
        <v>31</v>
      </c>
      <c r="Q403" s="1" t="s">
        <v>37</v>
      </c>
      <c r="R403" s="1" t="s">
        <v>63</v>
      </c>
      <c r="S403" s="1" t="s">
        <v>281</v>
      </c>
      <c r="T403" s="15" t="s">
        <v>27</v>
      </c>
    </row>
    <row r="404" spans="1:20" x14ac:dyDescent="0.3">
      <c r="A404" s="14">
        <v>403</v>
      </c>
      <c r="B404" s="4">
        <v>44462</v>
      </c>
      <c r="C404" s="1" t="s">
        <v>533</v>
      </c>
      <c r="D404" s="1" t="s">
        <v>20</v>
      </c>
      <c r="E404" s="1" t="s">
        <v>29</v>
      </c>
      <c r="F404" s="2">
        <v>10</v>
      </c>
      <c r="G404" s="5">
        <v>2080</v>
      </c>
      <c r="H404" s="24">
        <f t="shared" si="30"/>
        <v>20800</v>
      </c>
      <c r="I404" s="7">
        <v>0.1</v>
      </c>
      <c r="J404" s="5">
        <f t="shared" si="31"/>
        <v>2080</v>
      </c>
      <c r="K404" s="5">
        <f t="shared" si="32"/>
        <v>18720</v>
      </c>
      <c r="L404" s="5">
        <v>1510</v>
      </c>
      <c r="M404" s="5">
        <f t="shared" si="33"/>
        <v>3620</v>
      </c>
      <c r="N404" s="7">
        <f t="shared" si="34"/>
        <v>0.19337606837606838</v>
      </c>
      <c r="O404" s="1" t="s">
        <v>41</v>
      </c>
      <c r="P404" s="1" t="s">
        <v>31</v>
      </c>
      <c r="Q404" s="1" t="s">
        <v>24</v>
      </c>
      <c r="R404" s="1" t="s">
        <v>63</v>
      </c>
      <c r="S404" s="1" t="s">
        <v>162</v>
      </c>
      <c r="T404" s="15" t="s">
        <v>35</v>
      </c>
    </row>
    <row r="405" spans="1:20" x14ac:dyDescent="0.3">
      <c r="A405" s="14">
        <v>404</v>
      </c>
      <c r="B405" s="4">
        <v>44359</v>
      </c>
      <c r="C405" s="1" t="s">
        <v>531</v>
      </c>
      <c r="D405" s="1" t="s">
        <v>82</v>
      </c>
      <c r="E405" s="1" t="s">
        <v>40</v>
      </c>
      <c r="F405" s="2">
        <v>1</v>
      </c>
      <c r="G405" s="5">
        <v>1630</v>
      </c>
      <c r="H405" s="24">
        <f t="shared" si="30"/>
        <v>1630</v>
      </c>
      <c r="I405" s="7">
        <v>0.05</v>
      </c>
      <c r="J405" s="5">
        <f t="shared" si="31"/>
        <v>81.5</v>
      </c>
      <c r="K405" s="5">
        <f t="shared" si="32"/>
        <v>1548.5</v>
      </c>
      <c r="L405" s="5">
        <v>1060</v>
      </c>
      <c r="M405" s="5">
        <f t="shared" si="33"/>
        <v>488.5</v>
      </c>
      <c r="N405" s="7">
        <f t="shared" si="34"/>
        <v>0.31546658056183402</v>
      </c>
      <c r="O405" s="1" t="s">
        <v>30</v>
      </c>
      <c r="P405" s="1" t="s">
        <v>31</v>
      </c>
      <c r="Q405" s="1" t="s">
        <v>24</v>
      </c>
      <c r="R405" s="1" t="s">
        <v>33</v>
      </c>
      <c r="S405" s="1" t="s">
        <v>282</v>
      </c>
      <c r="T405" s="15" t="s">
        <v>27</v>
      </c>
    </row>
    <row r="406" spans="1:20" x14ac:dyDescent="0.3">
      <c r="A406" s="14">
        <v>405</v>
      </c>
      <c r="B406" s="4">
        <v>44393</v>
      </c>
      <c r="C406" s="1" t="s">
        <v>530</v>
      </c>
      <c r="D406" s="1" t="s">
        <v>82</v>
      </c>
      <c r="E406" s="1" t="s">
        <v>21</v>
      </c>
      <c r="F406" s="2">
        <v>2</v>
      </c>
      <c r="G406" s="5">
        <v>220</v>
      </c>
      <c r="H406" s="24">
        <f t="shared" si="30"/>
        <v>440</v>
      </c>
      <c r="I406" s="7">
        <v>0.1</v>
      </c>
      <c r="J406" s="5">
        <f t="shared" si="31"/>
        <v>44</v>
      </c>
      <c r="K406" s="5">
        <f t="shared" si="32"/>
        <v>396</v>
      </c>
      <c r="L406" s="5">
        <v>150</v>
      </c>
      <c r="M406" s="5">
        <f t="shared" si="33"/>
        <v>96</v>
      </c>
      <c r="N406" s="7">
        <f t="shared" si="34"/>
        <v>0.24242424242424243</v>
      </c>
      <c r="O406" s="1" t="s">
        <v>59</v>
      </c>
      <c r="P406" s="1" t="s">
        <v>31</v>
      </c>
      <c r="Q406" s="1" t="s">
        <v>37</v>
      </c>
      <c r="R406" s="1" t="s">
        <v>25</v>
      </c>
      <c r="S406" s="1" t="s">
        <v>283</v>
      </c>
      <c r="T406" s="15" t="s">
        <v>27</v>
      </c>
    </row>
    <row r="407" spans="1:20" x14ac:dyDescent="0.3">
      <c r="A407" s="14">
        <v>406</v>
      </c>
      <c r="B407" s="4">
        <v>44408</v>
      </c>
      <c r="C407" s="1" t="s">
        <v>532</v>
      </c>
      <c r="D407" s="1" t="s">
        <v>20</v>
      </c>
      <c r="E407" s="1" t="s">
        <v>43</v>
      </c>
      <c r="F407" s="2">
        <v>12</v>
      </c>
      <c r="G407" s="5">
        <v>310</v>
      </c>
      <c r="H407" s="24">
        <f t="shared" si="30"/>
        <v>3720</v>
      </c>
      <c r="I407" s="7">
        <v>0.1</v>
      </c>
      <c r="J407" s="5">
        <f t="shared" si="31"/>
        <v>372</v>
      </c>
      <c r="K407" s="5">
        <f t="shared" si="32"/>
        <v>3348</v>
      </c>
      <c r="L407" s="5">
        <v>210</v>
      </c>
      <c r="M407" s="5">
        <f t="shared" si="33"/>
        <v>828</v>
      </c>
      <c r="N407" s="7">
        <f t="shared" si="34"/>
        <v>0.24731182795698925</v>
      </c>
      <c r="O407" s="1" t="s">
        <v>59</v>
      </c>
      <c r="P407" s="1" t="s">
        <v>31</v>
      </c>
      <c r="Q407" s="1" t="s">
        <v>37</v>
      </c>
      <c r="R407" s="1" t="s">
        <v>25</v>
      </c>
      <c r="S407" s="1" t="s">
        <v>284</v>
      </c>
      <c r="T407" s="15" t="s">
        <v>53</v>
      </c>
    </row>
    <row r="408" spans="1:20" x14ac:dyDescent="0.3">
      <c r="A408" s="14">
        <v>407</v>
      </c>
      <c r="B408" s="4">
        <v>44225</v>
      </c>
      <c r="C408" s="1" t="s">
        <v>530</v>
      </c>
      <c r="D408" s="1" t="s">
        <v>20</v>
      </c>
      <c r="E408" s="1" t="s">
        <v>40</v>
      </c>
      <c r="F408" s="2">
        <v>8</v>
      </c>
      <c r="G408" s="5">
        <v>1400</v>
      </c>
      <c r="H408" s="24">
        <f t="shared" si="30"/>
        <v>11200</v>
      </c>
      <c r="I408" s="7">
        <v>0</v>
      </c>
      <c r="J408" s="5">
        <f t="shared" si="31"/>
        <v>0</v>
      </c>
      <c r="K408" s="5">
        <f t="shared" si="32"/>
        <v>11200</v>
      </c>
      <c r="L408" s="5">
        <v>930</v>
      </c>
      <c r="M408" s="5">
        <f t="shared" si="33"/>
        <v>3760</v>
      </c>
      <c r="N408" s="7">
        <f t="shared" si="34"/>
        <v>0.33571428571428569</v>
      </c>
      <c r="O408" s="1" t="s">
        <v>41</v>
      </c>
      <c r="P408" s="1" t="s">
        <v>23</v>
      </c>
      <c r="Q408" s="1" t="s">
        <v>37</v>
      </c>
      <c r="R408" s="1" t="s">
        <v>33</v>
      </c>
      <c r="S408" s="1" t="s">
        <v>285</v>
      </c>
      <c r="T408" s="15" t="s">
        <v>27</v>
      </c>
    </row>
    <row r="409" spans="1:20" x14ac:dyDescent="0.3">
      <c r="A409" s="14">
        <v>408</v>
      </c>
      <c r="B409" s="4">
        <v>44559</v>
      </c>
      <c r="C409" s="1" t="s">
        <v>529</v>
      </c>
      <c r="D409" s="1" t="s">
        <v>28</v>
      </c>
      <c r="E409" s="1" t="s">
        <v>21</v>
      </c>
      <c r="F409" s="2">
        <v>8</v>
      </c>
      <c r="G409" s="5">
        <v>230</v>
      </c>
      <c r="H409" s="24">
        <f t="shared" si="30"/>
        <v>1840</v>
      </c>
      <c r="I409" s="7">
        <v>0</v>
      </c>
      <c r="J409" s="5">
        <f t="shared" si="31"/>
        <v>0</v>
      </c>
      <c r="K409" s="5">
        <f t="shared" si="32"/>
        <v>1840</v>
      </c>
      <c r="L409" s="5">
        <v>180</v>
      </c>
      <c r="M409" s="5">
        <f t="shared" si="33"/>
        <v>400</v>
      </c>
      <c r="N409" s="7">
        <f t="shared" si="34"/>
        <v>0.21739130434782608</v>
      </c>
      <c r="O409" s="1" t="s">
        <v>59</v>
      </c>
      <c r="P409" s="1" t="s">
        <v>23</v>
      </c>
      <c r="Q409" s="1" t="s">
        <v>24</v>
      </c>
      <c r="R409" s="1" t="s">
        <v>46</v>
      </c>
      <c r="S409" s="1" t="s">
        <v>286</v>
      </c>
      <c r="T409" s="15" t="s">
        <v>61</v>
      </c>
    </row>
    <row r="410" spans="1:20" x14ac:dyDescent="0.3">
      <c r="A410" s="14">
        <v>409</v>
      </c>
      <c r="B410" s="4">
        <v>44494</v>
      </c>
      <c r="C410" s="1" t="s">
        <v>534</v>
      </c>
      <c r="D410" s="1" t="s">
        <v>28</v>
      </c>
      <c r="E410" s="1" t="s">
        <v>29</v>
      </c>
      <c r="F410" s="2">
        <v>2</v>
      </c>
      <c r="G410" s="5">
        <v>2010</v>
      </c>
      <c r="H410" s="24">
        <f t="shared" si="30"/>
        <v>4020</v>
      </c>
      <c r="I410" s="7">
        <v>0.1</v>
      </c>
      <c r="J410" s="5">
        <f t="shared" si="31"/>
        <v>402</v>
      </c>
      <c r="K410" s="5">
        <f t="shared" si="32"/>
        <v>3618</v>
      </c>
      <c r="L410" s="5">
        <v>1570</v>
      </c>
      <c r="M410" s="5">
        <f t="shared" si="33"/>
        <v>478</v>
      </c>
      <c r="N410" s="7">
        <f t="shared" si="34"/>
        <v>0.13211719181868437</v>
      </c>
      <c r="O410" s="1" t="s">
        <v>59</v>
      </c>
      <c r="P410" s="1" t="s">
        <v>23</v>
      </c>
      <c r="Q410" s="1" t="s">
        <v>48</v>
      </c>
      <c r="R410" s="1" t="s">
        <v>33</v>
      </c>
      <c r="S410" s="1" t="s">
        <v>228</v>
      </c>
      <c r="T410" s="15" t="s">
        <v>27</v>
      </c>
    </row>
    <row r="411" spans="1:20" x14ac:dyDescent="0.3">
      <c r="A411" s="14">
        <v>410</v>
      </c>
      <c r="B411" s="4">
        <v>44490</v>
      </c>
      <c r="C411" s="1" t="s">
        <v>530</v>
      </c>
      <c r="D411" s="1" t="s">
        <v>80</v>
      </c>
      <c r="E411" s="1" t="s">
        <v>21</v>
      </c>
      <c r="F411" s="2">
        <v>6</v>
      </c>
      <c r="G411" s="5">
        <v>220</v>
      </c>
      <c r="H411" s="24">
        <f t="shared" si="30"/>
        <v>1320</v>
      </c>
      <c r="I411" s="7">
        <v>0</v>
      </c>
      <c r="J411" s="5">
        <f t="shared" si="31"/>
        <v>0</v>
      </c>
      <c r="K411" s="5">
        <f t="shared" si="32"/>
        <v>1320</v>
      </c>
      <c r="L411" s="5">
        <v>170</v>
      </c>
      <c r="M411" s="5">
        <f t="shared" si="33"/>
        <v>300</v>
      </c>
      <c r="N411" s="7">
        <f t="shared" si="34"/>
        <v>0.22727272727272727</v>
      </c>
      <c r="O411" s="1" t="s">
        <v>22</v>
      </c>
      <c r="P411" s="1" t="s">
        <v>62</v>
      </c>
      <c r="Q411" s="1" t="s">
        <v>24</v>
      </c>
      <c r="R411" s="1" t="s">
        <v>25</v>
      </c>
      <c r="S411" s="1" t="s">
        <v>287</v>
      </c>
      <c r="T411" s="15" t="s">
        <v>53</v>
      </c>
    </row>
    <row r="412" spans="1:20" x14ac:dyDescent="0.3">
      <c r="A412" s="14">
        <v>411</v>
      </c>
      <c r="B412" s="4">
        <v>44261</v>
      </c>
      <c r="C412" s="1" t="s">
        <v>529</v>
      </c>
      <c r="D412" s="1" t="s">
        <v>82</v>
      </c>
      <c r="E412" s="1" t="s">
        <v>29</v>
      </c>
      <c r="F412" s="2">
        <v>10</v>
      </c>
      <c r="G412" s="5">
        <v>2310</v>
      </c>
      <c r="H412" s="24">
        <f t="shared" si="30"/>
        <v>23100</v>
      </c>
      <c r="I412" s="7">
        <v>0</v>
      </c>
      <c r="J412" s="5">
        <f t="shared" si="31"/>
        <v>0</v>
      </c>
      <c r="K412" s="5">
        <f t="shared" si="32"/>
        <v>23100</v>
      </c>
      <c r="L412" s="5">
        <v>1450</v>
      </c>
      <c r="M412" s="5">
        <f t="shared" si="33"/>
        <v>8600</v>
      </c>
      <c r="N412" s="7">
        <f t="shared" si="34"/>
        <v>0.37229437229437229</v>
      </c>
      <c r="O412" s="1" t="s">
        <v>30</v>
      </c>
      <c r="P412" s="1" t="s">
        <v>31</v>
      </c>
      <c r="Q412" s="1" t="s">
        <v>48</v>
      </c>
      <c r="R412" s="1" t="s">
        <v>66</v>
      </c>
      <c r="S412" s="1" t="s">
        <v>241</v>
      </c>
      <c r="T412" s="15" t="s">
        <v>27</v>
      </c>
    </row>
    <row r="413" spans="1:20" x14ac:dyDescent="0.3">
      <c r="A413" s="14">
        <v>412</v>
      </c>
      <c r="B413" s="4">
        <v>44319</v>
      </c>
      <c r="C413" s="1" t="s">
        <v>533</v>
      </c>
      <c r="D413" s="1" t="s">
        <v>80</v>
      </c>
      <c r="E413" s="1" t="s">
        <v>45</v>
      </c>
      <c r="F413" s="2">
        <v>7</v>
      </c>
      <c r="G413" s="5">
        <v>190</v>
      </c>
      <c r="H413" s="24">
        <f t="shared" si="30"/>
        <v>1330</v>
      </c>
      <c r="I413" s="7">
        <v>0</v>
      </c>
      <c r="J413" s="5">
        <f t="shared" si="31"/>
        <v>0</v>
      </c>
      <c r="K413" s="5">
        <f t="shared" si="32"/>
        <v>1330</v>
      </c>
      <c r="L413" s="5">
        <v>120</v>
      </c>
      <c r="M413" s="5">
        <f t="shared" si="33"/>
        <v>490</v>
      </c>
      <c r="N413" s="7">
        <f t="shared" si="34"/>
        <v>0.36842105263157893</v>
      </c>
      <c r="O413" s="1" t="s">
        <v>54</v>
      </c>
      <c r="P413" s="1" t="s">
        <v>31</v>
      </c>
      <c r="Q413" s="1" t="s">
        <v>32</v>
      </c>
      <c r="R413" s="1" t="s">
        <v>63</v>
      </c>
      <c r="S413" s="1" t="s">
        <v>288</v>
      </c>
      <c r="T413" s="15" t="s">
        <v>27</v>
      </c>
    </row>
    <row r="414" spans="1:20" x14ac:dyDescent="0.3">
      <c r="A414" s="14">
        <v>413</v>
      </c>
      <c r="B414" s="4">
        <v>44527</v>
      </c>
      <c r="C414" s="1" t="s">
        <v>533</v>
      </c>
      <c r="D414" s="1" t="s">
        <v>28</v>
      </c>
      <c r="E414" s="1" t="s">
        <v>43</v>
      </c>
      <c r="F414" s="2">
        <v>4</v>
      </c>
      <c r="G414" s="5">
        <v>290</v>
      </c>
      <c r="H414" s="24">
        <f t="shared" si="30"/>
        <v>1160</v>
      </c>
      <c r="I414" s="7">
        <v>0</v>
      </c>
      <c r="J414" s="5">
        <f t="shared" si="31"/>
        <v>0</v>
      </c>
      <c r="K414" s="5">
        <f t="shared" si="32"/>
        <v>1160</v>
      </c>
      <c r="L414" s="5">
        <v>230</v>
      </c>
      <c r="M414" s="5">
        <f t="shared" si="33"/>
        <v>240</v>
      </c>
      <c r="N414" s="7">
        <f t="shared" si="34"/>
        <v>0.20689655172413793</v>
      </c>
      <c r="O414" s="1" t="s">
        <v>59</v>
      </c>
      <c r="P414" s="1" t="s">
        <v>31</v>
      </c>
      <c r="Q414" s="1" t="s">
        <v>48</v>
      </c>
      <c r="R414" s="1" t="s">
        <v>25</v>
      </c>
      <c r="S414" s="1" t="s">
        <v>273</v>
      </c>
      <c r="T414" s="15" t="s">
        <v>61</v>
      </c>
    </row>
    <row r="415" spans="1:20" x14ac:dyDescent="0.3">
      <c r="A415" s="14">
        <v>414</v>
      </c>
      <c r="B415" s="4">
        <v>44374</v>
      </c>
      <c r="C415" s="1" t="s">
        <v>530</v>
      </c>
      <c r="D415" s="1" t="s">
        <v>82</v>
      </c>
      <c r="E415" s="1" t="s">
        <v>45</v>
      </c>
      <c r="F415" s="2">
        <v>8</v>
      </c>
      <c r="G415" s="5">
        <v>180</v>
      </c>
      <c r="H415" s="24">
        <f t="shared" si="30"/>
        <v>1440</v>
      </c>
      <c r="I415" s="7">
        <v>0.1</v>
      </c>
      <c r="J415" s="5">
        <f t="shared" si="31"/>
        <v>144</v>
      </c>
      <c r="K415" s="5">
        <f t="shared" si="32"/>
        <v>1296</v>
      </c>
      <c r="L415" s="5">
        <v>110</v>
      </c>
      <c r="M415" s="5">
        <f t="shared" si="33"/>
        <v>416</v>
      </c>
      <c r="N415" s="7">
        <f t="shared" si="34"/>
        <v>0.32098765432098764</v>
      </c>
      <c r="O415" s="1" t="s">
        <v>22</v>
      </c>
      <c r="P415" s="1" t="s">
        <v>31</v>
      </c>
      <c r="Q415" s="1" t="s">
        <v>24</v>
      </c>
      <c r="R415" s="1" t="s">
        <v>50</v>
      </c>
      <c r="S415" s="1" t="s">
        <v>167</v>
      </c>
      <c r="T415" s="15" t="s">
        <v>27</v>
      </c>
    </row>
    <row r="416" spans="1:20" x14ac:dyDescent="0.3">
      <c r="A416" s="14">
        <v>415</v>
      </c>
      <c r="B416" s="4">
        <v>44203</v>
      </c>
      <c r="C416" s="1" t="s">
        <v>529</v>
      </c>
      <c r="D416" s="1" t="s">
        <v>20</v>
      </c>
      <c r="E416" s="1" t="s">
        <v>45</v>
      </c>
      <c r="F416" s="2">
        <v>1</v>
      </c>
      <c r="G416" s="5">
        <v>200</v>
      </c>
      <c r="H416" s="24">
        <f t="shared" si="30"/>
        <v>200</v>
      </c>
      <c r="I416" s="7">
        <v>0</v>
      </c>
      <c r="J416" s="5">
        <f t="shared" si="31"/>
        <v>0</v>
      </c>
      <c r="K416" s="5">
        <f t="shared" si="32"/>
        <v>200</v>
      </c>
      <c r="L416" s="5">
        <v>160</v>
      </c>
      <c r="M416" s="5">
        <f t="shared" si="33"/>
        <v>40</v>
      </c>
      <c r="N416" s="7">
        <f t="shared" si="34"/>
        <v>0.2</v>
      </c>
      <c r="O416" s="1" t="s">
        <v>59</v>
      </c>
      <c r="P416" s="1" t="s">
        <v>31</v>
      </c>
      <c r="Q416" s="1" t="s">
        <v>37</v>
      </c>
      <c r="R416" s="1" t="s">
        <v>63</v>
      </c>
      <c r="S416" s="1" t="s">
        <v>154</v>
      </c>
      <c r="T416" s="15" t="s">
        <v>61</v>
      </c>
    </row>
    <row r="417" spans="1:20" x14ac:dyDescent="0.3">
      <c r="A417" s="14">
        <v>416</v>
      </c>
      <c r="B417" s="4">
        <v>44441</v>
      </c>
      <c r="C417" s="1" t="s">
        <v>531</v>
      </c>
      <c r="D417" s="1" t="s">
        <v>20</v>
      </c>
      <c r="E417" s="1" t="s">
        <v>43</v>
      </c>
      <c r="F417" s="2">
        <v>6</v>
      </c>
      <c r="G417" s="5">
        <v>340</v>
      </c>
      <c r="H417" s="24">
        <f t="shared" si="30"/>
        <v>2040</v>
      </c>
      <c r="I417" s="7">
        <v>0.02</v>
      </c>
      <c r="J417" s="5">
        <f t="shared" si="31"/>
        <v>40.800000000000004</v>
      </c>
      <c r="K417" s="5">
        <f t="shared" si="32"/>
        <v>1999.2</v>
      </c>
      <c r="L417" s="5">
        <v>230</v>
      </c>
      <c r="M417" s="5">
        <f t="shared" si="33"/>
        <v>619.20000000000005</v>
      </c>
      <c r="N417" s="7">
        <f t="shared" si="34"/>
        <v>0.30972388955582236</v>
      </c>
      <c r="O417" s="1" t="s">
        <v>30</v>
      </c>
      <c r="P417" s="1" t="s">
        <v>31</v>
      </c>
      <c r="Q417" s="1" t="s">
        <v>32</v>
      </c>
      <c r="R417" s="1" t="s">
        <v>25</v>
      </c>
      <c r="S417" s="1" t="s">
        <v>178</v>
      </c>
      <c r="T417" s="15" t="s">
        <v>35</v>
      </c>
    </row>
    <row r="418" spans="1:20" x14ac:dyDescent="0.3">
      <c r="A418" s="14">
        <v>417</v>
      </c>
      <c r="B418" s="4">
        <v>44228</v>
      </c>
      <c r="C418" s="1" t="s">
        <v>533</v>
      </c>
      <c r="D418" s="1" t="s">
        <v>20</v>
      </c>
      <c r="E418" s="1" t="s">
        <v>29</v>
      </c>
      <c r="F418" s="2">
        <v>2</v>
      </c>
      <c r="G418" s="5">
        <v>2190</v>
      </c>
      <c r="H418" s="24">
        <f t="shared" si="30"/>
        <v>4380</v>
      </c>
      <c r="I418" s="7">
        <v>0.02</v>
      </c>
      <c r="J418" s="5">
        <f t="shared" si="31"/>
        <v>87.600000000000009</v>
      </c>
      <c r="K418" s="5">
        <f t="shared" si="32"/>
        <v>4292.3999999999996</v>
      </c>
      <c r="L418" s="5">
        <v>1420</v>
      </c>
      <c r="M418" s="5">
        <f t="shared" si="33"/>
        <v>1452.3999999999996</v>
      </c>
      <c r="N418" s="7">
        <f t="shared" si="34"/>
        <v>0.33836548317957316</v>
      </c>
      <c r="O418" s="1" t="s">
        <v>59</v>
      </c>
      <c r="P418" s="1" t="s">
        <v>31</v>
      </c>
      <c r="Q418" s="1" t="s">
        <v>32</v>
      </c>
      <c r="R418" s="1" t="s">
        <v>49</v>
      </c>
      <c r="S418" s="1" t="s">
        <v>252</v>
      </c>
      <c r="T418" s="15" t="s">
        <v>53</v>
      </c>
    </row>
    <row r="419" spans="1:20" x14ac:dyDescent="0.3">
      <c r="A419" s="14">
        <v>418</v>
      </c>
      <c r="B419" s="4">
        <v>44443</v>
      </c>
      <c r="C419" s="1" t="s">
        <v>531</v>
      </c>
      <c r="D419" s="1" t="s">
        <v>20</v>
      </c>
      <c r="E419" s="1" t="s">
        <v>36</v>
      </c>
      <c r="F419" s="2">
        <v>3</v>
      </c>
      <c r="G419" s="5">
        <v>1930</v>
      </c>
      <c r="H419" s="24">
        <f t="shared" si="30"/>
        <v>5790</v>
      </c>
      <c r="I419" s="7">
        <v>0</v>
      </c>
      <c r="J419" s="5">
        <f t="shared" si="31"/>
        <v>0</v>
      </c>
      <c r="K419" s="5">
        <f t="shared" si="32"/>
        <v>5790</v>
      </c>
      <c r="L419" s="5">
        <v>1290</v>
      </c>
      <c r="M419" s="5">
        <f t="shared" si="33"/>
        <v>1920</v>
      </c>
      <c r="N419" s="7">
        <f t="shared" si="34"/>
        <v>0.33160621761658032</v>
      </c>
      <c r="O419" s="1" t="s">
        <v>41</v>
      </c>
      <c r="P419" s="1" t="s">
        <v>31</v>
      </c>
      <c r="Q419" s="1" t="s">
        <v>48</v>
      </c>
      <c r="R419" s="1" t="s">
        <v>33</v>
      </c>
      <c r="S419" s="1" t="s">
        <v>289</v>
      </c>
      <c r="T419" s="15" t="s">
        <v>27</v>
      </c>
    </row>
    <row r="420" spans="1:20" x14ac:dyDescent="0.3">
      <c r="A420" s="14">
        <v>419</v>
      </c>
      <c r="B420" s="4">
        <v>44278</v>
      </c>
      <c r="C420" s="1" t="s">
        <v>529</v>
      </c>
      <c r="D420" s="1" t="s">
        <v>82</v>
      </c>
      <c r="E420" s="1" t="s">
        <v>40</v>
      </c>
      <c r="F420" s="2">
        <v>1</v>
      </c>
      <c r="G420" s="5">
        <v>1130</v>
      </c>
      <c r="H420" s="24">
        <f t="shared" si="30"/>
        <v>1130</v>
      </c>
      <c r="I420" s="7">
        <v>0</v>
      </c>
      <c r="J420" s="5">
        <f t="shared" si="31"/>
        <v>0</v>
      </c>
      <c r="K420" s="5">
        <f t="shared" si="32"/>
        <v>1130</v>
      </c>
      <c r="L420" s="5">
        <v>860</v>
      </c>
      <c r="M420" s="5">
        <f t="shared" si="33"/>
        <v>270</v>
      </c>
      <c r="N420" s="7">
        <f t="shared" si="34"/>
        <v>0.23893805309734514</v>
      </c>
      <c r="O420" s="1" t="s">
        <v>41</v>
      </c>
      <c r="P420" s="1" t="s">
        <v>31</v>
      </c>
      <c r="Q420" s="1" t="s">
        <v>24</v>
      </c>
      <c r="R420" s="1" t="s">
        <v>25</v>
      </c>
      <c r="S420" s="1" t="s">
        <v>290</v>
      </c>
      <c r="T420" s="15" t="s">
        <v>61</v>
      </c>
    </row>
    <row r="421" spans="1:20" x14ac:dyDescent="0.3">
      <c r="A421" s="14">
        <v>420</v>
      </c>
      <c r="B421" s="4">
        <v>44228</v>
      </c>
      <c r="C421" s="1" t="s">
        <v>531</v>
      </c>
      <c r="D421" s="1" t="s">
        <v>20</v>
      </c>
      <c r="E421" s="1" t="s">
        <v>29</v>
      </c>
      <c r="F421" s="2">
        <v>1</v>
      </c>
      <c r="G421" s="5">
        <v>2020</v>
      </c>
      <c r="H421" s="24">
        <f t="shared" si="30"/>
        <v>2020</v>
      </c>
      <c r="I421" s="7">
        <v>0.05</v>
      </c>
      <c r="J421" s="5">
        <f t="shared" si="31"/>
        <v>101</v>
      </c>
      <c r="K421" s="5">
        <f t="shared" si="32"/>
        <v>1919</v>
      </c>
      <c r="L421" s="5">
        <v>1240</v>
      </c>
      <c r="M421" s="5">
        <f t="shared" si="33"/>
        <v>679</v>
      </c>
      <c r="N421" s="7">
        <f t="shared" si="34"/>
        <v>0.35383011985409069</v>
      </c>
      <c r="O421" s="1" t="s">
        <v>54</v>
      </c>
      <c r="P421" s="1" t="s">
        <v>31</v>
      </c>
      <c r="Q421" s="1" t="s">
        <v>24</v>
      </c>
      <c r="R421" s="1" t="s">
        <v>50</v>
      </c>
      <c r="S421" s="1" t="s">
        <v>271</v>
      </c>
      <c r="T421" s="15" t="s">
        <v>53</v>
      </c>
    </row>
    <row r="422" spans="1:20" x14ac:dyDescent="0.3">
      <c r="A422" s="14">
        <v>421</v>
      </c>
      <c r="B422" s="4">
        <v>44370</v>
      </c>
      <c r="C422" s="1" t="s">
        <v>529</v>
      </c>
      <c r="D422" s="1" t="s">
        <v>28</v>
      </c>
      <c r="E422" s="1" t="s">
        <v>43</v>
      </c>
      <c r="F422" s="2">
        <v>2</v>
      </c>
      <c r="G422" s="5">
        <v>320</v>
      </c>
      <c r="H422" s="24">
        <f t="shared" si="30"/>
        <v>640</v>
      </c>
      <c r="I422" s="7">
        <v>0</v>
      </c>
      <c r="J422" s="5">
        <f t="shared" si="31"/>
        <v>0</v>
      </c>
      <c r="K422" s="5">
        <f t="shared" si="32"/>
        <v>640</v>
      </c>
      <c r="L422" s="5">
        <v>200</v>
      </c>
      <c r="M422" s="5">
        <f t="shared" si="33"/>
        <v>240</v>
      </c>
      <c r="N422" s="7">
        <f t="shared" si="34"/>
        <v>0.375</v>
      </c>
      <c r="O422" s="1" t="s">
        <v>22</v>
      </c>
      <c r="P422" s="1" t="s">
        <v>31</v>
      </c>
      <c r="Q422" s="1" t="s">
        <v>37</v>
      </c>
      <c r="R422" s="1" t="s">
        <v>33</v>
      </c>
      <c r="S422" s="1" t="s">
        <v>291</v>
      </c>
      <c r="T422" s="15" t="s">
        <v>27</v>
      </c>
    </row>
    <row r="423" spans="1:20" x14ac:dyDescent="0.3">
      <c r="A423" s="14">
        <v>422</v>
      </c>
      <c r="B423" s="4">
        <v>44426</v>
      </c>
      <c r="C423" s="1" t="s">
        <v>533</v>
      </c>
      <c r="D423" s="1" t="s">
        <v>20</v>
      </c>
      <c r="E423" s="1" t="s">
        <v>36</v>
      </c>
      <c r="F423" s="2">
        <v>10</v>
      </c>
      <c r="G423" s="5">
        <v>1100</v>
      </c>
      <c r="H423" s="24">
        <f t="shared" si="30"/>
        <v>11000</v>
      </c>
      <c r="I423" s="7">
        <v>0</v>
      </c>
      <c r="J423" s="5">
        <f t="shared" si="31"/>
        <v>0</v>
      </c>
      <c r="K423" s="5">
        <f t="shared" si="32"/>
        <v>11000</v>
      </c>
      <c r="L423" s="5">
        <v>670</v>
      </c>
      <c r="M423" s="5">
        <f t="shared" si="33"/>
        <v>4300</v>
      </c>
      <c r="N423" s="7">
        <f t="shared" si="34"/>
        <v>0.39090909090909093</v>
      </c>
      <c r="O423" s="1" t="s">
        <v>22</v>
      </c>
      <c r="P423" s="1" t="s">
        <v>31</v>
      </c>
      <c r="Q423" s="1" t="s">
        <v>48</v>
      </c>
      <c r="R423" s="1" t="s">
        <v>56</v>
      </c>
      <c r="S423" s="1" t="s">
        <v>292</v>
      </c>
      <c r="T423" s="15" t="s">
        <v>27</v>
      </c>
    </row>
    <row r="424" spans="1:20" x14ac:dyDescent="0.3">
      <c r="A424" s="14">
        <v>423</v>
      </c>
      <c r="B424" s="4">
        <v>44361</v>
      </c>
      <c r="C424" s="1" t="s">
        <v>534</v>
      </c>
      <c r="D424" s="1" t="s">
        <v>20</v>
      </c>
      <c r="E424" s="1" t="s">
        <v>43</v>
      </c>
      <c r="F424" s="2">
        <v>8</v>
      </c>
      <c r="G424" s="5">
        <v>280</v>
      </c>
      <c r="H424" s="24">
        <f t="shared" si="30"/>
        <v>2240</v>
      </c>
      <c r="I424" s="7">
        <v>0.15</v>
      </c>
      <c r="J424" s="5">
        <f t="shared" si="31"/>
        <v>336</v>
      </c>
      <c r="K424" s="5">
        <f t="shared" si="32"/>
        <v>1904</v>
      </c>
      <c r="L424" s="5">
        <v>210</v>
      </c>
      <c r="M424" s="5">
        <f t="shared" si="33"/>
        <v>224</v>
      </c>
      <c r="N424" s="7">
        <f t="shared" si="34"/>
        <v>0.11764705882352941</v>
      </c>
      <c r="O424" s="1" t="s">
        <v>59</v>
      </c>
      <c r="P424" s="1" t="s">
        <v>31</v>
      </c>
      <c r="Q424" s="1" t="s">
        <v>24</v>
      </c>
      <c r="R424" s="1" t="s">
        <v>88</v>
      </c>
      <c r="S424" s="1" t="s">
        <v>293</v>
      </c>
      <c r="T424" s="15" t="s">
        <v>61</v>
      </c>
    </row>
    <row r="425" spans="1:20" x14ac:dyDescent="0.3">
      <c r="A425" s="14">
        <v>424</v>
      </c>
      <c r="B425" s="4">
        <v>44392</v>
      </c>
      <c r="C425" s="1" t="s">
        <v>533</v>
      </c>
      <c r="D425" s="1" t="s">
        <v>82</v>
      </c>
      <c r="E425" s="1" t="s">
        <v>21</v>
      </c>
      <c r="F425" s="2">
        <v>7</v>
      </c>
      <c r="G425" s="5">
        <v>200</v>
      </c>
      <c r="H425" s="24">
        <f t="shared" si="30"/>
        <v>1400</v>
      </c>
      <c r="I425" s="7">
        <v>0</v>
      </c>
      <c r="J425" s="5">
        <f t="shared" si="31"/>
        <v>0</v>
      </c>
      <c r="K425" s="5">
        <f t="shared" si="32"/>
        <v>1400</v>
      </c>
      <c r="L425" s="5">
        <v>150</v>
      </c>
      <c r="M425" s="5">
        <f t="shared" si="33"/>
        <v>350</v>
      </c>
      <c r="N425" s="7">
        <f t="shared" si="34"/>
        <v>0.25</v>
      </c>
      <c r="O425" s="1" t="s">
        <v>54</v>
      </c>
      <c r="P425" s="1" t="s">
        <v>31</v>
      </c>
      <c r="Q425" s="1" t="s">
        <v>24</v>
      </c>
      <c r="R425" s="1" t="s">
        <v>38</v>
      </c>
      <c r="S425" s="1" t="s">
        <v>294</v>
      </c>
      <c r="T425" s="15" t="s">
        <v>61</v>
      </c>
    </row>
    <row r="426" spans="1:20" x14ac:dyDescent="0.3">
      <c r="A426" s="14">
        <v>425</v>
      </c>
      <c r="B426" s="4">
        <v>44387</v>
      </c>
      <c r="C426" s="1" t="s">
        <v>530</v>
      </c>
      <c r="D426" s="1" t="s">
        <v>28</v>
      </c>
      <c r="E426" s="1" t="s">
        <v>36</v>
      </c>
      <c r="F426" s="2">
        <v>12</v>
      </c>
      <c r="G426" s="5">
        <v>1110</v>
      </c>
      <c r="H426" s="24">
        <f t="shared" si="30"/>
        <v>13320</v>
      </c>
      <c r="I426" s="7">
        <v>0.1</v>
      </c>
      <c r="J426" s="5">
        <f t="shared" si="31"/>
        <v>1332</v>
      </c>
      <c r="K426" s="5">
        <f t="shared" si="32"/>
        <v>11988</v>
      </c>
      <c r="L426" s="5">
        <v>830</v>
      </c>
      <c r="M426" s="5">
        <f t="shared" si="33"/>
        <v>2028</v>
      </c>
      <c r="N426" s="7">
        <f t="shared" si="34"/>
        <v>0.16916916916916916</v>
      </c>
      <c r="O426" s="1" t="s">
        <v>54</v>
      </c>
      <c r="P426" s="1" t="s">
        <v>31</v>
      </c>
      <c r="Q426" s="1" t="s">
        <v>32</v>
      </c>
      <c r="R426" s="1" t="s">
        <v>50</v>
      </c>
      <c r="S426" s="1" t="s">
        <v>133</v>
      </c>
      <c r="T426" s="15" t="s">
        <v>61</v>
      </c>
    </row>
    <row r="427" spans="1:20" x14ac:dyDescent="0.3">
      <c r="A427" s="14">
        <v>426</v>
      </c>
      <c r="B427" s="4">
        <v>44366</v>
      </c>
      <c r="C427" s="1" t="s">
        <v>529</v>
      </c>
      <c r="D427" s="1" t="s">
        <v>20</v>
      </c>
      <c r="E427" s="1" t="s">
        <v>43</v>
      </c>
      <c r="F427" s="2">
        <v>4</v>
      </c>
      <c r="G427" s="5">
        <v>280</v>
      </c>
      <c r="H427" s="24">
        <f t="shared" si="30"/>
        <v>1120</v>
      </c>
      <c r="I427" s="7">
        <v>0.1</v>
      </c>
      <c r="J427" s="5">
        <f t="shared" si="31"/>
        <v>112</v>
      </c>
      <c r="K427" s="5">
        <f t="shared" si="32"/>
        <v>1008</v>
      </c>
      <c r="L427" s="5">
        <v>200</v>
      </c>
      <c r="M427" s="5">
        <f t="shared" si="33"/>
        <v>208</v>
      </c>
      <c r="N427" s="7">
        <f t="shared" si="34"/>
        <v>0.20634920634920634</v>
      </c>
      <c r="O427" s="1" t="s">
        <v>54</v>
      </c>
      <c r="P427" s="1" t="s">
        <v>31</v>
      </c>
      <c r="Q427" s="1" t="s">
        <v>24</v>
      </c>
      <c r="R427" s="1" t="s">
        <v>38</v>
      </c>
      <c r="S427" s="1" t="s">
        <v>133</v>
      </c>
      <c r="T427" s="15" t="s">
        <v>27</v>
      </c>
    </row>
    <row r="428" spans="1:20" x14ac:dyDescent="0.3">
      <c r="A428" s="14">
        <v>427</v>
      </c>
      <c r="B428" s="4">
        <v>44241</v>
      </c>
      <c r="C428" s="1" t="s">
        <v>531</v>
      </c>
      <c r="D428" s="1" t="s">
        <v>20</v>
      </c>
      <c r="E428" s="1" t="s">
        <v>29</v>
      </c>
      <c r="F428" s="2">
        <v>4</v>
      </c>
      <c r="G428" s="5">
        <v>1910</v>
      </c>
      <c r="H428" s="24">
        <f t="shared" si="30"/>
        <v>7640</v>
      </c>
      <c r="I428" s="7">
        <v>0</v>
      </c>
      <c r="J428" s="5">
        <f t="shared" si="31"/>
        <v>0</v>
      </c>
      <c r="K428" s="5">
        <f t="shared" si="32"/>
        <v>7640</v>
      </c>
      <c r="L428" s="5">
        <v>1460</v>
      </c>
      <c r="M428" s="5">
        <f t="shared" si="33"/>
        <v>1800</v>
      </c>
      <c r="N428" s="7">
        <f t="shared" si="34"/>
        <v>0.2356020942408377</v>
      </c>
      <c r="O428" s="1" t="s">
        <v>30</v>
      </c>
      <c r="P428" s="1" t="s">
        <v>31</v>
      </c>
      <c r="Q428" s="1" t="s">
        <v>37</v>
      </c>
      <c r="R428" s="1" t="s">
        <v>63</v>
      </c>
      <c r="S428" s="1" t="s">
        <v>239</v>
      </c>
      <c r="T428" s="15" t="s">
        <v>27</v>
      </c>
    </row>
    <row r="429" spans="1:20" x14ac:dyDescent="0.3">
      <c r="A429" s="14">
        <v>428</v>
      </c>
      <c r="B429" s="4">
        <v>44242</v>
      </c>
      <c r="C429" s="1" t="s">
        <v>533</v>
      </c>
      <c r="D429" s="1" t="s">
        <v>82</v>
      </c>
      <c r="E429" s="1" t="s">
        <v>29</v>
      </c>
      <c r="F429" s="2">
        <v>1</v>
      </c>
      <c r="G429" s="5">
        <v>2310</v>
      </c>
      <c r="H429" s="24">
        <f t="shared" si="30"/>
        <v>2310</v>
      </c>
      <c r="I429" s="7">
        <v>0</v>
      </c>
      <c r="J429" s="5">
        <f t="shared" si="31"/>
        <v>0</v>
      </c>
      <c r="K429" s="5">
        <f t="shared" si="32"/>
        <v>2310</v>
      </c>
      <c r="L429" s="5">
        <v>1560</v>
      </c>
      <c r="M429" s="5">
        <f t="shared" si="33"/>
        <v>750</v>
      </c>
      <c r="N429" s="7">
        <f t="shared" si="34"/>
        <v>0.32467532467532467</v>
      </c>
      <c r="O429" s="1" t="s">
        <v>59</v>
      </c>
      <c r="P429" s="1" t="s">
        <v>31</v>
      </c>
      <c r="Q429" s="1" t="s">
        <v>48</v>
      </c>
      <c r="R429" s="1" t="s">
        <v>88</v>
      </c>
      <c r="S429" s="1" t="s">
        <v>200</v>
      </c>
      <c r="T429" s="15" t="s">
        <v>35</v>
      </c>
    </row>
    <row r="430" spans="1:20" x14ac:dyDescent="0.3">
      <c r="A430" s="14">
        <v>429</v>
      </c>
      <c r="B430" s="4">
        <v>44390</v>
      </c>
      <c r="C430" s="1" t="s">
        <v>530</v>
      </c>
      <c r="D430" s="1" t="s">
        <v>28</v>
      </c>
      <c r="E430" s="1" t="s">
        <v>21</v>
      </c>
      <c r="F430" s="2">
        <v>3</v>
      </c>
      <c r="G430" s="5">
        <v>190</v>
      </c>
      <c r="H430" s="24">
        <f t="shared" si="30"/>
        <v>570</v>
      </c>
      <c r="I430" s="7">
        <v>0.05</v>
      </c>
      <c r="J430" s="5">
        <f t="shared" si="31"/>
        <v>28.5</v>
      </c>
      <c r="K430" s="5">
        <f t="shared" si="32"/>
        <v>541.5</v>
      </c>
      <c r="L430" s="5">
        <v>160</v>
      </c>
      <c r="M430" s="5">
        <f t="shared" si="33"/>
        <v>61.5</v>
      </c>
      <c r="N430" s="7">
        <f t="shared" si="34"/>
        <v>0.11357340720221606</v>
      </c>
      <c r="O430" s="1" t="s">
        <v>54</v>
      </c>
      <c r="P430" s="1" t="s">
        <v>31</v>
      </c>
      <c r="Q430" s="1" t="s">
        <v>32</v>
      </c>
      <c r="R430" s="1" t="s">
        <v>63</v>
      </c>
      <c r="S430" s="1" t="s">
        <v>181</v>
      </c>
      <c r="T430" s="15" t="s">
        <v>35</v>
      </c>
    </row>
    <row r="431" spans="1:20" x14ac:dyDescent="0.3">
      <c r="A431" s="14">
        <v>430</v>
      </c>
      <c r="B431" s="4">
        <v>44465</v>
      </c>
      <c r="C431" s="1" t="s">
        <v>530</v>
      </c>
      <c r="D431" s="1" t="s">
        <v>28</v>
      </c>
      <c r="E431" s="1" t="s">
        <v>21</v>
      </c>
      <c r="F431" s="2">
        <v>3</v>
      </c>
      <c r="G431" s="5">
        <v>210</v>
      </c>
      <c r="H431" s="24">
        <f t="shared" si="30"/>
        <v>630</v>
      </c>
      <c r="I431" s="7">
        <v>0.1</v>
      </c>
      <c r="J431" s="5">
        <f t="shared" si="31"/>
        <v>63</v>
      </c>
      <c r="K431" s="5">
        <f t="shared" si="32"/>
        <v>567</v>
      </c>
      <c r="L431" s="5">
        <v>170</v>
      </c>
      <c r="M431" s="5">
        <f t="shared" si="33"/>
        <v>57</v>
      </c>
      <c r="N431" s="7">
        <f t="shared" si="34"/>
        <v>0.10052910052910052</v>
      </c>
      <c r="O431" s="1" t="s">
        <v>59</v>
      </c>
      <c r="P431" s="1" t="s">
        <v>31</v>
      </c>
      <c r="Q431" s="1" t="s">
        <v>32</v>
      </c>
      <c r="R431" s="1" t="s">
        <v>56</v>
      </c>
      <c r="S431" s="1" t="s">
        <v>295</v>
      </c>
      <c r="T431" s="15" t="s">
        <v>61</v>
      </c>
    </row>
    <row r="432" spans="1:20" x14ac:dyDescent="0.3">
      <c r="A432" s="14">
        <v>431</v>
      </c>
      <c r="B432" s="4">
        <v>44210</v>
      </c>
      <c r="C432" s="1" t="s">
        <v>529</v>
      </c>
      <c r="D432" s="1" t="s">
        <v>28</v>
      </c>
      <c r="E432" s="1" t="s">
        <v>36</v>
      </c>
      <c r="F432" s="2">
        <v>2</v>
      </c>
      <c r="G432" s="5">
        <v>1270</v>
      </c>
      <c r="H432" s="24">
        <f t="shared" si="30"/>
        <v>2540</v>
      </c>
      <c r="I432" s="7">
        <v>0.05</v>
      </c>
      <c r="J432" s="5">
        <f t="shared" si="31"/>
        <v>127</v>
      </c>
      <c r="K432" s="5">
        <f t="shared" si="32"/>
        <v>2413</v>
      </c>
      <c r="L432" s="5">
        <v>800</v>
      </c>
      <c r="M432" s="5">
        <f t="shared" si="33"/>
        <v>813</v>
      </c>
      <c r="N432" s="7">
        <f t="shared" si="34"/>
        <v>0.33692498963945294</v>
      </c>
      <c r="O432" s="1" t="s">
        <v>41</v>
      </c>
      <c r="P432" s="1" t="s">
        <v>31</v>
      </c>
      <c r="Q432" s="1" t="s">
        <v>37</v>
      </c>
      <c r="R432" s="1" t="s">
        <v>49</v>
      </c>
      <c r="S432" s="1" t="s">
        <v>154</v>
      </c>
      <c r="T432" s="15" t="s">
        <v>35</v>
      </c>
    </row>
    <row r="433" spans="1:20" x14ac:dyDescent="0.3">
      <c r="A433" s="14">
        <v>432</v>
      </c>
      <c r="B433" s="4">
        <v>44209</v>
      </c>
      <c r="C433" s="1" t="s">
        <v>530</v>
      </c>
      <c r="D433" s="1" t="s">
        <v>20</v>
      </c>
      <c r="E433" s="1" t="s">
        <v>29</v>
      </c>
      <c r="F433" s="2">
        <v>9</v>
      </c>
      <c r="G433" s="5">
        <v>1900</v>
      </c>
      <c r="H433" s="24">
        <f t="shared" si="30"/>
        <v>17100</v>
      </c>
      <c r="I433" s="7">
        <v>0.05</v>
      </c>
      <c r="J433" s="5">
        <f t="shared" si="31"/>
        <v>855</v>
      </c>
      <c r="K433" s="5">
        <f t="shared" si="32"/>
        <v>16245</v>
      </c>
      <c r="L433" s="5">
        <v>1120</v>
      </c>
      <c r="M433" s="5">
        <f t="shared" si="33"/>
        <v>6165</v>
      </c>
      <c r="N433" s="7">
        <f t="shared" si="34"/>
        <v>0.37950138504155123</v>
      </c>
      <c r="O433" s="1" t="s">
        <v>30</v>
      </c>
      <c r="P433" s="1" t="s">
        <v>31</v>
      </c>
      <c r="Q433" s="1" t="s">
        <v>37</v>
      </c>
      <c r="R433" s="1" t="s">
        <v>33</v>
      </c>
      <c r="S433" s="1" t="s">
        <v>296</v>
      </c>
      <c r="T433" s="15" t="s">
        <v>35</v>
      </c>
    </row>
    <row r="434" spans="1:20" x14ac:dyDescent="0.3">
      <c r="A434" s="14">
        <v>433</v>
      </c>
      <c r="B434" s="4">
        <v>44449</v>
      </c>
      <c r="C434" s="1" t="s">
        <v>530</v>
      </c>
      <c r="D434" s="1" t="s">
        <v>80</v>
      </c>
      <c r="E434" s="1" t="s">
        <v>43</v>
      </c>
      <c r="F434" s="2">
        <v>11</v>
      </c>
      <c r="G434" s="5">
        <v>290</v>
      </c>
      <c r="H434" s="24">
        <f t="shared" si="30"/>
        <v>3190</v>
      </c>
      <c r="I434" s="7">
        <v>0.15</v>
      </c>
      <c r="J434" s="5">
        <f t="shared" si="31"/>
        <v>478.5</v>
      </c>
      <c r="K434" s="5">
        <f t="shared" si="32"/>
        <v>2711.5</v>
      </c>
      <c r="L434" s="5">
        <v>220</v>
      </c>
      <c r="M434" s="5">
        <f t="shared" si="33"/>
        <v>291.5</v>
      </c>
      <c r="N434" s="7">
        <f t="shared" si="34"/>
        <v>0.10750507099391481</v>
      </c>
      <c r="O434" s="1" t="s">
        <v>22</v>
      </c>
      <c r="P434" s="1" t="s">
        <v>31</v>
      </c>
      <c r="Q434" s="1" t="s">
        <v>48</v>
      </c>
      <c r="R434" s="1" t="s">
        <v>66</v>
      </c>
      <c r="S434" s="1" t="s">
        <v>297</v>
      </c>
      <c r="T434" s="15" t="s">
        <v>35</v>
      </c>
    </row>
    <row r="435" spans="1:20" x14ac:dyDescent="0.3">
      <c r="A435" s="14">
        <v>434</v>
      </c>
      <c r="B435" s="4">
        <v>44377</v>
      </c>
      <c r="C435" s="1" t="s">
        <v>531</v>
      </c>
      <c r="D435" s="1" t="s">
        <v>82</v>
      </c>
      <c r="E435" s="1" t="s">
        <v>29</v>
      </c>
      <c r="F435" s="2">
        <v>11</v>
      </c>
      <c r="G435" s="5">
        <v>2050</v>
      </c>
      <c r="H435" s="24">
        <f t="shared" si="30"/>
        <v>22550</v>
      </c>
      <c r="I435" s="7">
        <v>0.1</v>
      </c>
      <c r="J435" s="5">
        <f t="shared" si="31"/>
        <v>2255</v>
      </c>
      <c r="K435" s="5">
        <f t="shared" si="32"/>
        <v>20295</v>
      </c>
      <c r="L435" s="5">
        <v>1630</v>
      </c>
      <c r="M435" s="5">
        <f t="shared" si="33"/>
        <v>2365</v>
      </c>
      <c r="N435" s="7">
        <f t="shared" si="34"/>
        <v>0.11653116531165311</v>
      </c>
      <c r="O435" s="1" t="s">
        <v>59</v>
      </c>
      <c r="P435" s="1" t="s">
        <v>31</v>
      </c>
      <c r="Q435" s="1" t="s">
        <v>48</v>
      </c>
      <c r="R435" s="1" t="s">
        <v>63</v>
      </c>
      <c r="S435" s="1" t="s">
        <v>298</v>
      </c>
      <c r="T435" s="15" t="s">
        <v>35</v>
      </c>
    </row>
    <row r="436" spans="1:20" x14ac:dyDescent="0.3">
      <c r="A436" s="14">
        <v>435</v>
      </c>
      <c r="B436" s="4">
        <v>44518</v>
      </c>
      <c r="C436" s="1" t="s">
        <v>530</v>
      </c>
      <c r="D436" s="1" t="s">
        <v>20</v>
      </c>
      <c r="E436" s="1" t="s">
        <v>36</v>
      </c>
      <c r="F436" s="2">
        <v>10</v>
      </c>
      <c r="G436" s="5">
        <v>1230</v>
      </c>
      <c r="H436" s="24">
        <f t="shared" si="30"/>
        <v>12300</v>
      </c>
      <c r="I436" s="7">
        <v>0.05</v>
      </c>
      <c r="J436" s="5">
        <f t="shared" si="31"/>
        <v>615</v>
      </c>
      <c r="K436" s="5">
        <f t="shared" si="32"/>
        <v>11685</v>
      </c>
      <c r="L436" s="5">
        <v>920</v>
      </c>
      <c r="M436" s="5">
        <f t="shared" si="33"/>
        <v>2485</v>
      </c>
      <c r="N436" s="7">
        <f t="shared" si="34"/>
        <v>0.21266581086863501</v>
      </c>
      <c r="O436" s="1" t="s">
        <v>30</v>
      </c>
      <c r="P436" s="1" t="s">
        <v>31</v>
      </c>
      <c r="Q436" s="1" t="s">
        <v>32</v>
      </c>
      <c r="R436" s="1" t="s">
        <v>66</v>
      </c>
      <c r="S436" s="1" t="s">
        <v>299</v>
      </c>
      <c r="T436" s="15" t="s">
        <v>27</v>
      </c>
    </row>
    <row r="437" spans="1:20" x14ac:dyDescent="0.3">
      <c r="A437" s="14">
        <v>436</v>
      </c>
      <c r="B437" s="4">
        <v>44235</v>
      </c>
      <c r="C437" s="1" t="s">
        <v>534</v>
      </c>
      <c r="D437" s="1" t="s">
        <v>20</v>
      </c>
      <c r="E437" s="1" t="s">
        <v>40</v>
      </c>
      <c r="F437" s="2">
        <v>9</v>
      </c>
      <c r="G437" s="5">
        <v>1400</v>
      </c>
      <c r="H437" s="24">
        <f t="shared" si="30"/>
        <v>12600</v>
      </c>
      <c r="I437" s="7">
        <v>0</v>
      </c>
      <c r="J437" s="5">
        <f t="shared" si="31"/>
        <v>0</v>
      </c>
      <c r="K437" s="5">
        <f t="shared" si="32"/>
        <v>12600</v>
      </c>
      <c r="L437" s="5">
        <v>890</v>
      </c>
      <c r="M437" s="5">
        <f t="shared" si="33"/>
        <v>4590</v>
      </c>
      <c r="N437" s="7">
        <f t="shared" si="34"/>
        <v>0.36428571428571427</v>
      </c>
      <c r="O437" s="1" t="s">
        <v>41</v>
      </c>
      <c r="P437" s="1" t="s">
        <v>31</v>
      </c>
      <c r="Q437" s="1" t="s">
        <v>48</v>
      </c>
      <c r="R437" s="1" t="s">
        <v>49</v>
      </c>
      <c r="S437" s="1" t="s">
        <v>277</v>
      </c>
      <c r="T437" s="15" t="s">
        <v>27</v>
      </c>
    </row>
    <row r="438" spans="1:20" x14ac:dyDescent="0.3">
      <c r="A438" s="14">
        <v>437</v>
      </c>
      <c r="B438" s="4">
        <v>44245</v>
      </c>
      <c r="C438" s="1" t="s">
        <v>532</v>
      </c>
      <c r="D438" s="1" t="s">
        <v>20</v>
      </c>
      <c r="E438" s="1" t="s">
        <v>29</v>
      </c>
      <c r="F438" s="2">
        <v>4</v>
      </c>
      <c r="G438" s="5">
        <v>2010</v>
      </c>
      <c r="H438" s="24">
        <f t="shared" si="30"/>
        <v>8040</v>
      </c>
      <c r="I438" s="7">
        <v>0</v>
      </c>
      <c r="J438" s="5">
        <f t="shared" si="31"/>
        <v>0</v>
      </c>
      <c r="K438" s="5">
        <f t="shared" si="32"/>
        <v>8040</v>
      </c>
      <c r="L438" s="5">
        <v>1180</v>
      </c>
      <c r="M438" s="5">
        <f t="shared" si="33"/>
        <v>3320</v>
      </c>
      <c r="N438" s="7">
        <f t="shared" si="34"/>
        <v>0.41293532338308458</v>
      </c>
      <c r="O438" s="1" t="s">
        <v>22</v>
      </c>
      <c r="P438" s="1" t="s">
        <v>31</v>
      </c>
      <c r="Q438" s="1" t="s">
        <v>32</v>
      </c>
      <c r="R438" s="1" t="s">
        <v>66</v>
      </c>
      <c r="S438" s="1" t="s">
        <v>95</v>
      </c>
      <c r="T438" s="15" t="s">
        <v>53</v>
      </c>
    </row>
    <row r="439" spans="1:20" x14ac:dyDescent="0.3">
      <c r="A439" s="14">
        <v>438</v>
      </c>
      <c r="B439" s="4">
        <v>44297</v>
      </c>
      <c r="C439" s="1" t="s">
        <v>529</v>
      </c>
      <c r="D439" s="1" t="s">
        <v>82</v>
      </c>
      <c r="E439" s="1" t="s">
        <v>40</v>
      </c>
      <c r="F439" s="2">
        <v>1</v>
      </c>
      <c r="G439" s="5">
        <v>1360</v>
      </c>
      <c r="H439" s="24">
        <f t="shared" si="30"/>
        <v>1360</v>
      </c>
      <c r="I439" s="7">
        <v>0.02</v>
      </c>
      <c r="J439" s="5">
        <f t="shared" si="31"/>
        <v>27.2</v>
      </c>
      <c r="K439" s="5">
        <f t="shared" si="32"/>
        <v>1332.8</v>
      </c>
      <c r="L439" s="5">
        <v>1100</v>
      </c>
      <c r="M439" s="5">
        <f t="shared" si="33"/>
        <v>232.79999999999995</v>
      </c>
      <c r="N439" s="7">
        <f t="shared" si="34"/>
        <v>0.17466986794717884</v>
      </c>
      <c r="O439" s="1" t="s">
        <v>54</v>
      </c>
      <c r="P439" s="1" t="s">
        <v>31</v>
      </c>
      <c r="Q439" s="1" t="s">
        <v>24</v>
      </c>
      <c r="R439" s="1" t="s">
        <v>49</v>
      </c>
      <c r="S439" s="1" t="s">
        <v>300</v>
      </c>
      <c r="T439" s="15" t="s">
        <v>53</v>
      </c>
    </row>
    <row r="440" spans="1:20" x14ac:dyDescent="0.3">
      <c r="A440" s="14">
        <v>439</v>
      </c>
      <c r="B440" s="4">
        <v>44445</v>
      </c>
      <c r="C440" s="1" t="s">
        <v>533</v>
      </c>
      <c r="D440" s="1" t="s">
        <v>80</v>
      </c>
      <c r="E440" s="1" t="s">
        <v>45</v>
      </c>
      <c r="F440" s="2">
        <v>12</v>
      </c>
      <c r="G440" s="5">
        <v>200</v>
      </c>
      <c r="H440" s="24">
        <f t="shared" si="30"/>
        <v>2400</v>
      </c>
      <c r="I440" s="7">
        <v>0.1</v>
      </c>
      <c r="J440" s="5">
        <f t="shared" si="31"/>
        <v>240</v>
      </c>
      <c r="K440" s="5">
        <f t="shared" si="32"/>
        <v>2160</v>
      </c>
      <c r="L440" s="5">
        <v>150</v>
      </c>
      <c r="M440" s="5">
        <f t="shared" si="33"/>
        <v>360</v>
      </c>
      <c r="N440" s="7">
        <f t="shared" si="34"/>
        <v>0.16666666666666666</v>
      </c>
      <c r="O440" s="1" t="s">
        <v>30</v>
      </c>
      <c r="P440" s="1" t="s">
        <v>31</v>
      </c>
      <c r="Q440" s="1" t="s">
        <v>37</v>
      </c>
      <c r="R440" s="1" t="s">
        <v>63</v>
      </c>
      <c r="S440" s="1" t="s">
        <v>215</v>
      </c>
      <c r="T440" s="15" t="s">
        <v>27</v>
      </c>
    </row>
    <row r="441" spans="1:20" x14ac:dyDescent="0.3">
      <c r="A441" s="14">
        <v>440</v>
      </c>
      <c r="B441" s="4">
        <v>44330</v>
      </c>
      <c r="C441" s="1" t="s">
        <v>530</v>
      </c>
      <c r="D441" s="1" t="s">
        <v>20</v>
      </c>
      <c r="E441" s="1" t="s">
        <v>40</v>
      </c>
      <c r="F441" s="2">
        <v>6</v>
      </c>
      <c r="G441" s="5">
        <v>1470</v>
      </c>
      <c r="H441" s="24">
        <f t="shared" si="30"/>
        <v>8820</v>
      </c>
      <c r="I441" s="7">
        <v>0.05</v>
      </c>
      <c r="J441" s="5">
        <f t="shared" si="31"/>
        <v>441</v>
      </c>
      <c r="K441" s="5">
        <f t="shared" si="32"/>
        <v>8379</v>
      </c>
      <c r="L441" s="5">
        <v>880</v>
      </c>
      <c r="M441" s="5">
        <f t="shared" si="33"/>
        <v>3099</v>
      </c>
      <c r="N441" s="7">
        <f t="shared" si="34"/>
        <v>0.36985320443967062</v>
      </c>
      <c r="O441" s="1" t="s">
        <v>30</v>
      </c>
      <c r="P441" s="1" t="s">
        <v>31</v>
      </c>
      <c r="Q441" s="1" t="s">
        <v>24</v>
      </c>
      <c r="R441" s="1" t="s">
        <v>50</v>
      </c>
      <c r="S441" s="1" t="s">
        <v>301</v>
      </c>
      <c r="T441" s="15" t="s">
        <v>35</v>
      </c>
    </row>
    <row r="442" spans="1:20" x14ac:dyDescent="0.3">
      <c r="A442" s="14">
        <v>441</v>
      </c>
      <c r="B442" s="4">
        <v>44304</v>
      </c>
      <c r="C442" s="1" t="s">
        <v>530</v>
      </c>
      <c r="D442" s="1" t="s">
        <v>20</v>
      </c>
      <c r="E442" s="1" t="s">
        <v>29</v>
      </c>
      <c r="F442" s="2">
        <v>10</v>
      </c>
      <c r="G442" s="5">
        <v>2380</v>
      </c>
      <c r="H442" s="24">
        <f t="shared" si="30"/>
        <v>23800</v>
      </c>
      <c r="I442" s="7">
        <v>0</v>
      </c>
      <c r="J442" s="5">
        <f t="shared" si="31"/>
        <v>0</v>
      </c>
      <c r="K442" s="5">
        <f t="shared" si="32"/>
        <v>23800</v>
      </c>
      <c r="L442" s="5">
        <v>1490</v>
      </c>
      <c r="M442" s="5">
        <f t="shared" si="33"/>
        <v>8900</v>
      </c>
      <c r="N442" s="7">
        <f t="shared" si="34"/>
        <v>0.37394957983193278</v>
      </c>
      <c r="O442" s="1" t="s">
        <v>54</v>
      </c>
      <c r="P442" s="1" t="s">
        <v>31</v>
      </c>
      <c r="Q442" s="1" t="s">
        <v>24</v>
      </c>
      <c r="R442" s="1" t="s">
        <v>46</v>
      </c>
      <c r="S442" s="1" t="s">
        <v>302</v>
      </c>
      <c r="T442" s="15" t="s">
        <v>53</v>
      </c>
    </row>
    <row r="443" spans="1:20" x14ac:dyDescent="0.3">
      <c r="A443" s="14">
        <v>442</v>
      </c>
      <c r="B443" s="4">
        <v>44321</v>
      </c>
      <c r="C443" s="1" t="s">
        <v>533</v>
      </c>
      <c r="D443" s="1" t="s">
        <v>20</v>
      </c>
      <c r="E443" s="1" t="s">
        <v>40</v>
      </c>
      <c r="F443" s="2">
        <v>10</v>
      </c>
      <c r="G443" s="5">
        <v>1510</v>
      </c>
      <c r="H443" s="24">
        <f t="shared" si="30"/>
        <v>15100</v>
      </c>
      <c r="I443" s="7">
        <v>0.15</v>
      </c>
      <c r="J443" s="5">
        <f t="shared" si="31"/>
        <v>2265</v>
      </c>
      <c r="K443" s="5">
        <f t="shared" si="32"/>
        <v>12835</v>
      </c>
      <c r="L443" s="5">
        <v>970</v>
      </c>
      <c r="M443" s="5">
        <f t="shared" si="33"/>
        <v>3135</v>
      </c>
      <c r="N443" s="7">
        <f t="shared" si="34"/>
        <v>0.24425399298792363</v>
      </c>
      <c r="O443" s="1" t="s">
        <v>30</v>
      </c>
      <c r="P443" s="1" t="s">
        <v>31</v>
      </c>
      <c r="Q443" s="1" t="s">
        <v>48</v>
      </c>
      <c r="R443" s="1" t="s">
        <v>56</v>
      </c>
      <c r="S443" s="1" t="s">
        <v>303</v>
      </c>
      <c r="T443" s="15" t="s">
        <v>35</v>
      </c>
    </row>
    <row r="444" spans="1:20" x14ac:dyDescent="0.3">
      <c r="A444" s="14">
        <v>443</v>
      </c>
      <c r="B444" s="4">
        <v>44342</v>
      </c>
      <c r="C444" s="1" t="s">
        <v>531</v>
      </c>
      <c r="D444" s="1" t="s">
        <v>20</v>
      </c>
      <c r="E444" s="1" t="s">
        <v>45</v>
      </c>
      <c r="F444" s="2">
        <v>8</v>
      </c>
      <c r="G444" s="5">
        <v>210</v>
      </c>
      <c r="H444" s="24">
        <f t="shared" si="30"/>
        <v>1680</v>
      </c>
      <c r="I444" s="7">
        <v>0.15</v>
      </c>
      <c r="J444" s="5">
        <f t="shared" si="31"/>
        <v>252</v>
      </c>
      <c r="K444" s="5">
        <f t="shared" si="32"/>
        <v>1428</v>
      </c>
      <c r="L444" s="5">
        <v>150</v>
      </c>
      <c r="M444" s="5">
        <f t="shared" si="33"/>
        <v>228</v>
      </c>
      <c r="N444" s="7">
        <f t="shared" si="34"/>
        <v>0.15966386554621848</v>
      </c>
      <c r="O444" s="1" t="s">
        <v>30</v>
      </c>
      <c r="P444" s="1" t="s">
        <v>62</v>
      </c>
      <c r="Q444" s="1" t="s">
        <v>48</v>
      </c>
      <c r="R444" s="1" t="s">
        <v>88</v>
      </c>
      <c r="S444" s="1" t="s">
        <v>304</v>
      </c>
      <c r="T444" s="15" t="s">
        <v>53</v>
      </c>
    </row>
    <row r="445" spans="1:20" x14ac:dyDescent="0.3">
      <c r="A445" s="14">
        <v>444</v>
      </c>
      <c r="B445" s="4">
        <v>44418</v>
      </c>
      <c r="C445" s="1" t="s">
        <v>531</v>
      </c>
      <c r="D445" s="1" t="s">
        <v>20</v>
      </c>
      <c r="E445" s="1" t="s">
        <v>40</v>
      </c>
      <c r="F445" s="2">
        <v>1</v>
      </c>
      <c r="G445" s="5">
        <v>1390</v>
      </c>
      <c r="H445" s="24">
        <f t="shared" si="30"/>
        <v>1390</v>
      </c>
      <c r="I445" s="7">
        <v>0.05</v>
      </c>
      <c r="J445" s="5">
        <f t="shared" si="31"/>
        <v>69.5</v>
      </c>
      <c r="K445" s="5">
        <f t="shared" si="32"/>
        <v>1320.5</v>
      </c>
      <c r="L445" s="5">
        <v>980</v>
      </c>
      <c r="M445" s="5">
        <f t="shared" si="33"/>
        <v>340.5</v>
      </c>
      <c r="N445" s="7">
        <f t="shared" si="34"/>
        <v>0.25785687239681937</v>
      </c>
      <c r="O445" s="1" t="s">
        <v>59</v>
      </c>
      <c r="P445" s="1" t="s">
        <v>31</v>
      </c>
      <c r="Q445" s="1" t="s">
        <v>32</v>
      </c>
      <c r="R445" s="1" t="s">
        <v>38</v>
      </c>
      <c r="S445" s="1" t="s">
        <v>266</v>
      </c>
      <c r="T445" s="15" t="s">
        <v>35</v>
      </c>
    </row>
    <row r="446" spans="1:20" x14ac:dyDescent="0.3">
      <c r="A446" s="14">
        <v>445</v>
      </c>
      <c r="B446" s="4">
        <v>44327</v>
      </c>
      <c r="C446" s="1" t="s">
        <v>533</v>
      </c>
      <c r="D446" s="1" t="s">
        <v>20</v>
      </c>
      <c r="E446" s="1" t="s">
        <v>36</v>
      </c>
      <c r="F446" s="2">
        <v>9</v>
      </c>
      <c r="G446" s="5">
        <v>1120</v>
      </c>
      <c r="H446" s="24">
        <f t="shared" si="30"/>
        <v>10080</v>
      </c>
      <c r="I446" s="7">
        <v>0</v>
      </c>
      <c r="J446" s="5">
        <f t="shared" si="31"/>
        <v>0</v>
      </c>
      <c r="K446" s="5">
        <f t="shared" si="32"/>
        <v>10080</v>
      </c>
      <c r="L446" s="5">
        <v>900</v>
      </c>
      <c r="M446" s="5">
        <f t="shared" si="33"/>
        <v>1980</v>
      </c>
      <c r="N446" s="7">
        <f t="shared" si="34"/>
        <v>0.19642857142857142</v>
      </c>
      <c r="O446" s="1" t="s">
        <v>59</v>
      </c>
      <c r="P446" s="1" t="s">
        <v>31</v>
      </c>
      <c r="Q446" s="1" t="s">
        <v>37</v>
      </c>
      <c r="R446" s="1" t="s">
        <v>25</v>
      </c>
      <c r="S446" s="1" t="s">
        <v>241</v>
      </c>
      <c r="T446" s="15" t="s">
        <v>35</v>
      </c>
    </row>
    <row r="447" spans="1:20" x14ac:dyDescent="0.3">
      <c r="A447" s="14">
        <v>446</v>
      </c>
      <c r="B447" s="4">
        <v>44392</v>
      </c>
      <c r="C447" s="1" t="s">
        <v>530</v>
      </c>
      <c r="D447" s="1" t="s">
        <v>20</v>
      </c>
      <c r="E447" s="1" t="s">
        <v>45</v>
      </c>
      <c r="F447" s="2">
        <v>6</v>
      </c>
      <c r="G447" s="5">
        <v>170</v>
      </c>
      <c r="H447" s="24">
        <f t="shared" si="30"/>
        <v>1020</v>
      </c>
      <c r="I447" s="7">
        <v>0</v>
      </c>
      <c r="J447" s="5">
        <f t="shared" si="31"/>
        <v>0</v>
      </c>
      <c r="K447" s="5">
        <f t="shared" si="32"/>
        <v>1020</v>
      </c>
      <c r="L447" s="5">
        <v>120</v>
      </c>
      <c r="M447" s="5">
        <f t="shared" si="33"/>
        <v>300</v>
      </c>
      <c r="N447" s="7">
        <f t="shared" si="34"/>
        <v>0.29411764705882354</v>
      </c>
      <c r="O447" s="1" t="s">
        <v>54</v>
      </c>
      <c r="P447" s="1" t="s">
        <v>31</v>
      </c>
      <c r="Q447" s="1" t="s">
        <v>24</v>
      </c>
      <c r="R447" s="1" t="s">
        <v>56</v>
      </c>
      <c r="S447" s="1" t="s">
        <v>146</v>
      </c>
      <c r="T447" s="15" t="s">
        <v>53</v>
      </c>
    </row>
    <row r="448" spans="1:20" x14ac:dyDescent="0.3">
      <c r="A448" s="14">
        <v>447</v>
      </c>
      <c r="B448" s="4">
        <v>44362</v>
      </c>
      <c r="C448" s="1" t="s">
        <v>530</v>
      </c>
      <c r="D448" s="1" t="s">
        <v>20</v>
      </c>
      <c r="E448" s="1" t="s">
        <v>43</v>
      </c>
      <c r="F448" s="2">
        <v>12</v>
      </c>
      <c r="G448" s="5">
        <v>320</v>
      </c>
      <c r="H448" s="24">
        <f t="shared" si="30"/>
        <v>3840</v>
      </c>
      <c r="I448" s="7">
        <v>0.05</v>
      </c>
      <c r="J448" s="5">
        <f t="shared" si="31"/>
        <v>192</v>
      </c>
      <c r="K448" s="5">
        <f t="shared" si="32"/>
        <v>3648</v>
      </c>
      <c r="L448" s="5">
        <v>190</v>
      </c>
      <c r="M448" s="5">
        <f t="shared" si="33"/>
        <v>1368</v>
      </c>
      <c r="N448" s="7">
        <f t="shared" si="34"/>
        <v>0.375</v>
      </c>
      <c r="O448" s="1" t="s">
        <v>54</v>
      </c>
      <c r="P448" s="1" t="s">
        <v>31</v>
      </c>
      <c r="Q448" s="1" t="s">
        <v>32</v>
      </c>
      <c r="R448" s="1" t="s">
        <v>33</v>
      </c>
      <c r="S448" s="1" t="s">
        <v>305</v>
      </c>
      <c r="T448" s="15" t="s">
        <v>27</v>
      </c>
    </row>
    <row r="449" spans="1:20" x14ac:dyDescent="0.3">
      <c r="A449" s="14">
        <v>448</v>
      </c>
      <c r="B449" s="4">
        <v>44412</v>
      </c>
      <c r="C449" s="1" t="s">
        <v>533</v>
      </c>
      <c r="D449" s="1" t="s">
        <v>28</v>
      </c>
      <c r="E449" s="1" t="s">
        <v>21</v>
      </c>
      <c r="F449" s="2">
        <v>10</v>
      </c>
      <c r="G449" s="5">
        <v>240</v>
      </c>
      <c r="H449" s="24">
        <f t="shared" si="30"/>
        <v>2400</v>
      </c>
      <c r="I449" s="7">
        <v>0.05</v>
      </c>
      <c r="J449" s="5">
        <f t="shared" si="31"/>
        <v>120</v>
      </c>
      <c r="K449" s="5">
        <f t="shared" si="32"/>
        <v>2280</v>
      </c>
      <c r="L449" s="5">
        <v>160</v>
      </c>
      <c r="M449" s="5">
        <f t="shared" si="33"/>
        <v>680</v>
      </c>
      <c r="N449" s="7">
        <f t="shared" si="34"/>
        <v>0.2982456140350877</v>
      </c>
      <c r="O449" s="1" t="s">
        <v>54</v>
      </c>
      <c r="P449" s="1" t="s">
        <v>31</v>
      </c>
      <c r="Q449" s="1" t="s">
        <v>32</v>
      </c>
      <c r="R449" s="1" t="s">
        <v>25</v>
      </c>
      <c r="S449" s="1" t="s">
        <v>306</v>
      </c>
      <c r="T449" s="15" t="s">
        <v>35</v>
      </c>
    </row>
    <row r="450" spans="1:20" x14ac:dyDescent="0.3">
      <c r="A450" s="14">
        <v>449</v>
      </c>
      <c r="B450" s="4">
        <v>44209</v>
      </c>
      <c r="C450" s="1" t="s">
        <v>529</v>
      </c>
      <c r="D450" s="1" t="s">
        <v>20</v>
      </c>
      <c r="E450" s="1" t="s">
        <v>29</v>
      </c>
      <c r="F450" s="2">
        <v>5</v>
      </c>
      <c r="G450" s="5">
        <v>2100</v>
      </c>
      <c r="H450" s="24">
        <f t="shared" ref="H450:H513" si="35">F450*G450</f>
        <v>10500</v>
      </c>
      <c r="I450" s="7">
        <v>0.05</v>
      </c>
      <c r="J450" s="5">
        <f t="shared" ref="J450:J513" si="36">H450*I450</f>
        <v>525</v>
      </c>
      <c r="K450" s="5">
        <f t="shared" ref="K450:K513" si="37">H450-J450</f>
        <v>9975</v>
      </c>
      <c r="L450" s="5">
        <v>1530</v>
      </c>
      <c r="M450" s="5">
        <f t="shared" ref="M450:M513" si="38">K450-(F450*L450)</f>
        <v>2325</v>
      </c>
      <c r="N450" s="7">
        <f t="shared" ref="N450:N513" si="39">IFERROR(M450/K450,0)</f>
        <v>0.23308270676691728</v>
      </c>
      <c r="O450" s="1" t="s">
        <v>30</v>
      </c>
      <c r="P450" s="1" t="s">
        <v>31</v>
      </c>
      <c r="Q450" s="1" t="s">
        <v>37</v>
      </c>
      <c r="R450" s="1" t="s">
        <v>63</v>
      </c>
      <c r="S450" s="1" t="s">
        <v>307</v>
      </c>
      <c r="T450" s="15" t="s">
        <v>35</v>
      </c>
    </row>
    <row r="451" spans="1:20" x14ac:dyDescent="0.3">
      <c r="A451" s="14">
        <v>450</v>
      </c>
      <c r="B451" s="4">
        <v>44343</v>
      </c>
      <c r="C451" s="1" t="s">
        <v>533</v>
      </c>
      <c r="D451" s="1" t="s">
        <v>20</v>
      </c>
      <c r="E451" s="1" t="s">
        <v>45</v>
      </c>
      <c r="F451" s="2">
        <v>7</v>
      </c>
      <c r="G451" s="5">
        <v>200</v>
      </c>
      <c r="H451" s="24">
        <f t="shared" si="35"/>
        <v>1400</v>
      </c>
      <c r="I451" s="7">
        <v>0.1</v>
      </c>
      <c r="J451" s="5">
        <f t="shared" si="36"/>
        <v>140</v>
      </c>
      <c r="K451" s="5">
        <f t="shared" si="37"/>
        <v>1260</v>
      </c>
      <c r="L451" s="5">
        <v>150</v>
      </c>
      <c r="M451" s="5">
        <f t="shared" si="38"/>
        <v>210</v>
      </c>
      <c r="N451" s="7">
        <f t="shared" si="39"/>
        <v>0.16666666666666666</v>
      </c>
      <c r="O451" s="1" t="s">
        <v>59</v>
      </c>
      <c r="P451" s="1" t="s">
        <v>31</v>
      </c>
      <c r="Q451" s="1" t="s">
        <v>37</v>
      </c>
      <c r="R451" s="1" t="s">
        <v>56</v>
      </c>
      <c r="S451" s="1" t="s">
        <v>308</v>
      </c>
      <c r="T451" s="15" t="s">
        <v>27</v>
      </c>
    </row>
    <row r="452" spans="1:20" x14ac:dyDescent="0.3">
      <c r="A452" s="14">
        <v>451</v>
      </c>
      <c r="B452" s="4">
        <v>44453</v>
      </c>
      <c r="C452" s="1" t="s">
        <v>531</v>
      </c>
      <c r="D452" s="1" t="s">
        <v>28</v>
      </c>
      <c r="E452" s="1" t="s">
        <v>29</v>
      </c>
      <c r="F452" s="2">
        <v>3</v>
      </c>
      <c r="G452" s="5">
        <v>2170</v>
      </c>
      <c r="H452" s="24">
        <f t="shared" si="35"/>
        <v>6510</v>
      </c>
      <c r="I452" s="7">
        <v>0.02</v>
      </c>
      <c r="J452" s="5">
        <f t="shared" si="36"/>
        <v>130.19999999999999</v>
      </c>
      <c r="K452" s="5">
        <f t="shared" si="37"/>
        <v>6379.8</v>
      </c>
      <c r="L452" s="5">
        <v>1540</v>
      </c>
      <c r="M452" s="5">
        <f t="shared" si="38"/>
        <v>1759.8000000000002</v>
      </c>
      <c r="N452" s="7">
        <f t="shared" si="39"/>
        <v>0.27583936800526665</v>
      </c>
      <c r="O452" s="1" t="s">
        <v>41</v>
      </c>
      <c r="P452" s="1" t="s">
        <v>31</v>
      </c>
      <c r="Q452" s="1" t="s">
        <v>24</v>
      </c>
      <c r="R452" s="1" t="s">
        <v>38</v>
      </c>
      <c r="S452" s="1" t="s">
        <v>309</v>
      </c>
      <c r="T452" s="15" t="s">
        <v>61</v>
      </c>
    </row>
    <row r="453" spans="1:20" x14ac:dyDescent="0.3">
      <c r="A453" s="14">
        <v>452</v>
      </c>
      <c r="B453" s="4">
        <v>44395</v>
      </c>
      <c r="C453" s="1" t="s">
        <v>533</v>
      </c>
      <c r="D453" s="1" t="s">
        <v>20</v>
      </c>
      <c r="E453" s="1" t="s">
        <v>29</v>
      </c>
      <c r="F453" s="2">
        <v>5</v>
      </c>
      <c r="G453" s="5">
        <v>2330</v>
      </c>
      <c r="H453" s="24">
        <f t="shared" si="35"/>
        <v>11650</v>
      </c>
      <c r="I453" s="7">
        <v>0.02</v>
      </c>
      <c r="J453" s="5">
        <f t="shared" si="36"/>
        <v>233</v>
      </c>
      <c r="K453" s="5">
        <f t="shared" si="37"/>
        <v>11417</v>
      </c>
      <c r="L453" s="5">
        <v>1410</v>
      </c>
      <c r="M453" s="5">
        <f t="shared" si="38"/>
        <v>4367</v>
      </c>
      <c r="N453" s="7">
        <f t="shared" si="39"/>
        <v>0.38249978102829113</v>
      </c>
      <c r="O453" s="1" t="s">
        <v>59</v>
      </c>
      <c r="P453" s="1" t="s">
        <v>31</v>
      </c>
      <c r="Q453" s="1" t="s">
        <v>24</v>
      </c>
      <c r="R453" s="1" t="s">
        <v>33</v>
      </c>
      <c r="S453" s="1" t="s">
        <v>189</v>
      </c>
      <c r="T453" s="15" t="s">
        <v>61</v>
      </c>
    </row>
    <row r="454" spans="1:20" x14ac:dyDescent="0.3">
      <c r="A454" s="14">
        <v>453</v>
      </c>
      <c r="B454" s="4">
        <v>44477</v>
      </c>
      <c r="C454" s="1" t="s">
        <v>530</v>
      </c>
      <c r="D454" s="1" t="s">
        <v>20</v>
      </c>
      <c r="E454" s="1" t="s">
        <v>21</v>
      </c>
      <c r="F454" s="2">
        <v>9</v>
      </c>
      <c r="G454" s="5">
        <v>210</v>
      </c>
      <c r="H454" s="24">
        <f t="shared" si="35"/>
        <v>1890</v>
      </c>
      <c r="I454" s="7">
        <v>0.02</v>
      </c>
      <c r="J454" s="5">
        <f t="shared" si="36"/>
        <v>37.800000000000004</v>
      </c>
      <c r="K454" s="5">
        <f t="shared" si="37"/>
        <v>1852.2</v>
      </c>
      <c r="L454" s="5">
        <v>160</v>
      </c>
      <c r="M454" s="5">
        <f t="shared" si="38"/>
        <v>412.20000000000005</v>
      </c>
      <c r="N454" s="7">
        <f t="shared" si="39"/>
        <v>0.22254616132167154</v>
      </c>
      <c r="O454" s="1" t="s">
        <v>59</v>
      </c>
      <c r="P454" s="1" t="s">
        <v>76</v>
      </c>
      <c r="Q454" s="1" t="s">
        <v>32</v>
      </c>
      <c r="R454" s="1" t="s">
        <v>88</v>
      </c>
      <c r="S454" s="1" t="s">
        <v>140</v>
      </c>
      <c r="T454" s="15" t="s">
        <v>35</v>
      </c>
    </row>
    <row r="455" spans="1:20" x14ac:dyDescent="0.3">
      <c r="A455" s="14">
        <v>454</v>
      </c>
      <c r="B455" s="4">
        <v>44466</v>
      </c>
      <c r="C455" s="1" t="s">
        <v>531</v>
      </c>
      <c r="D455" s="1" t="s">
        <v>20</v>
      </c>
      <c r="E455" s="1" t="s">
        <v>29</v>
      </c>
      <c r="F455" s="2">
        <v>6</v>
      </c>
      <c r="G455" s="5">
        <v>2040</v>
      </c>
      <c r="H455" s="24">
        <f t="shared" si="35"/>
        <v>12240</v>
      </c>
      <c r="I455" s="7">
        <v>0</v>
      </c>
      <c r="J455" s="5">
        <f t="shared" si="36"/>
        <v>0</v>
      </c>
      <c r="K455" s="5">
        <f t="shared" si="37"/>
        <v>12240</v>
      </c>
      <c r="L455" s="5">
        <v>1570</v>
      </c>
      <c r="M455" s="5">
        <f t="shared" si="38"/>
        <v>2820</v>
      </c>
      <c r="N455" s="7">
        <f t="shared" si="39"/>
        <v>0.23039215686274508</v>
      </c>
      <c r="O455" s="1" t="s">
        <v>54</v>
      </c>
      <c r="P455" s="1" t="s">
        <v>31</v>
      </c>
      <c r="Q455" s="1" t="s">
        <v>48</v>
      </c>
      <c r="R455" s="1" t="s">
        <v>63</v>
      </c>
      <c r="S455" s="1" t="s">
        <v>310</v>
      </c>
      <c r="T455" s="15" t="s">
        <v>61</v>
      </c>
    </row>
    <row r="456" spans="1:20" x14ac:dyDescent="0.3">
      <c r="A456" s="14">
        <v>455</v>
      </c>
      <c r="B456" s="4">
        <v>44327</v>
      </c>
      <c r="C456" s="1" t="s">
        <v>529</v>
      </c>
      <c r="D456" s="1" t="s">
        <v>82</v>
      </c>
      <c r="E456" s="1" t="s">
        <v>36</v>
      </c>
      <c r="F456" s="2">
        <v>5</v>
      </c>
      <c r="G456" s="5">
        <v>1300</v>
      </c>
      <c r="H456" s="24">
        <f t="shared" si="35"/>
        <v>6500</v>
      </c>
      <c r="I456" s="7">
        <v>0</v>
      </c>
      <c r="J456" s="5">
        <f t="shared" si="36"/>
        <v>0</v>
      </c>
      <c r="K456" s="5">
        <f t="shared" si="37"/>
        <v>6500</v>
      </c>
      <c r="L456" s="5">
        <v>830</v>
      </c>
      <c r="M456" s="5">
        <f t="shared" si="38"/>
        <v>2350</v>
      </c>
      <c r="N456" s="7">
        <f t="shared" si="39"/>
        <v>0.36153846153846153</v>
      </c>
      <c r="O456" s="1" t="s">
        <v>59</v>
      </c>
      <c r="P456" s="1" t="s">
        <v>31</v>
      </c>
      <c r="Q456" s="1" t="s">
        <v>32</v>
      </c>
      <c r="R456" s="1" t="s">
        <v>63</v>
      </c>
      <c r="S456" s="1" t="s">
        <v>311</v>
      </c>
      <c r="T456" s="15" t="s">
        <v>35</v>
      </c>
    </row>
    <row r="457" spans="1:20" x14ac:dyDescent="0.3">
      <c r="A457" s="14">
        <v>456</v>
      </c>
      <c r="B457" s="4">
        <v>44429</v>
      </c>
      <c r="C457" s="1" t="s">
        <v>529</v>
      </c>
      <c r="D457" s="1" t="s">
        <v>82</v>
      </c>
      <c r="E457" s="1" t="s">
        <v>40</v>
      </c>
      <c r="F457" s="2">
        <v>7</v>
      </c>
      <c r="G457" s="5">
        <v>1430</v>
      </c>
      <c r="H457" s="24">
        <f t="shared" si="35"/>
        <v>10010</v>
      </c>
      <c r="I457" s="7">
        <v>0</v>
      </c>
      <c r="J457" s="5">
        <f t="shared" si="36"/>
        <v>0</v>
      </c>
      <c r="K457" s="5">
        <f t="shared" si="37"/>
        <v>10010</v>
      </c>
      <c r="L457" s="5">
        <v>930</v>
      </c>
      <c r="M457" s="5">
        <f t="shared" si="38"/>
        <v>3500</v>
      </c>
      <c r="N457" s="7">
        <f t="shared" si="39"/>
        <v>0.34965034965034963</v>
      </c>
      <c r="O457" s="1" t="s">
        <v>22</v>
      </c>
      <c r="P457" s="1" t="s">
        <v>31</v>
      </c>
      <c r="Q457" s="1" t="s">
        <v>32</v>
      </c>
      <c r="R457" s="1" t="s">
        <v>46</v>
      </c>
      <c r="S457" s="1" t="s">
        <v>312</v>
      </c>
      <c r="T457" s="15" t="s">
        <v>27</v>
      </c>
    </row>
    <row r="458" spans="1:20" x14ac:dyDescent="0.3">
      <c r="A458" s="14">
        <v>457</v>
      </c>
      <c r="B458" s="4">
        <v>44553</v>
      </c>
      <c r="C458" s="1" t="s">
        <v>533</v>
      </c>
      <c r="D458" s="1" t="s">
        <v>28</v>
      </c>
      <c r="E458" s="1" t="s">
        <v>36</v>
      </c>
      <c r="F458" s="2">
        <v>7</v>
      </c>
      <c r="G458" s="5">
        <v>2040</v>
      </c>
      <c r="H458" s="24">
        <f t="shared" si="35"/>
        <v>14280</v>
      </c>
      <c r="I458" s="7">
        <v>0.02</v>
      </c>
      <c r="J458" s="5">
        <f t="shared" si="36"/>
        <v>285.60000000000002</v>
      </c>
      <c r="K458" s="5">
        <f t="shared" si="37"/>
        <v>13994.4</v>
      </c>
      <c r="L458" s="5">
        <v>1400</v>
      </c>
      <c r="M458" s="5">
        <f t="shared" si="38"/>
        <v>4194.3999999999996</v>
      </c>
      <c r="N458" s="7">
        <f t="shared" si="39"/>
        <v>0.29971988795518206</v>
      </c>
      <c r="O458" s="1" t="s">
        <v>54</v>
      </c>
      <c r="P458" s="1" t="s">
        <v>31</v>
      </c>
      <c r="Q458" s="1" t="s">
        <v>24</v>
      </c>
      <c r="R458" s="1" t="s">
        <v>50</v>
      </c>
      <c r="S458" s="1" t="s">
        <v>313</v>
      </c>
      <c r="T458" s="15" t="s">
        <v>27</v>
      </c>
    </row>
    <row r="459" spans="1:20" x14ac:dyDescent="0.3">
      <c r="A459" s="14">
        <v>458</v>
      </c>
      <c r="B459" s="4">
        <v>44374</v>
      </c>
      <c r="C459" s="1" t="s">
        <v>530</v>
      </c>
      <c r="D459" s="1" t="s">
        <v>20</v>
      </c>
      <c r="E459" s="1" t="s">
        <v>45</v>
      </c>
      <c r="F459" s="2">
        <v>3</v>
      </c>
      <c r="G459" s="5">
        <v>180</v>
      </c>
      <c r="H459" s="24">
        <f t="shared" si="35"/>
        <v>540</v>
      </c>
      <c r="I459" s="7">
        <v>0</v>
      </c>
      <c r="J459" s="5">
        <f t="shared" si="36"/>
        <v>0</v>
      </c>
      <c r="K459" s="5">
        <f t="shared" si="37"/>
        <v>540</v>
      </c>
      <c r="L459" s="5">
        <v>130</v>
      </c>
      <c r="M459" s="5">
        <f t="shared" si="38"/>
        <v>150</v>
      </c>
      <c r="N459" s="7">
        <f t="shared" si="39"/>
        <v>0.27777777777777779</v>
      </c>
      <c r="O459" s="1" t="s">
        <v>30</v>
      </c>
      <c r="P459" s="1" t="s">
        <v>31</v>
      </c>
      <c r="Q459" s="1" t="s">
        <v>32</v>
      </c>
      <c r="R459" s="1" t="s">
        <v>46</v>
      </c>
      <c r="S459" s="1" t="s">
        <v>152</v>
      </c>
      <c r="T459" s="15" t="s">
        <v>53</v>
      </c>
    </row>
    <row r="460" spans="1:20" x14ac:dyDescent="0.3">
      <c r="A460" s="14">
        <v>459</v>
      </c>
      <c r="B460" s="4">
        <v>44198</v>
      </c>
      <c r="C460" s="1" t="s">
        <v>530</v>
      </c>
      <c r="D460" s="1" t="s">
        <v>20</v>
      </c>
      <c r="E460" s="1" t="s">
        <v>43</v>
      </c>
      <c r="F460" s="2">
        <v>5</v>
      </c>
      <c r="G460" s="5">
        <v>300</v>
      </c>
      <c r="H460" s="24">
        <f t="shared" si="35"/>
        <v>1500</v>
      </c>
      <c r="I460" s="7">
        <v>0.05</v>
      </c>
      <c r="J460" s="5">
        <f t="shared" si="36"/>
        <v>75</v>
      </c>
      <c r="K460" s="5">
        <f t="shared" si="37"/>
        <v>1425</v>
      </c>
      <c r="L460" s="5">
        <v>240</v>
      </c>
      <c r="M460" s="5">
        <f t="shared" si="38"/>
        <v>225</v>
      </c>
      <c r="N460" s="7">
        <f t="shared" si="39"/>
        <v>0.15789473684210525</v>
      </c>
      <c r="O460" s="1" t="s">
        <v>22</v>
      </c>
      <c r="P460" s="1" t="s">
        <v>31</v>
      </c>
      <c r="Q460" s="1" t="s">
        <v>32</v>
      </c>
      <c r="R460" s="1" t="s">
        <v>63</v>
      </c>
      <c r="S460" s="1" t="s">
        <v>151</v>
      </c>
      <c r="T460" s="15" t="s">
        <v>53</v>
      </c>
    </row>
    <row r="461" spans="1:20" x14ac:dyDescent="0.3">
      <c r="A461" s="14">
        <v>460</v>
      </c>
      <c r="B461" s="4">
        <v>44467</v>
      </c>
      <c r="C461" s="1" t="s">
        <v>529</v>
      </c>
      <c r="D461" s="1" t="s">
        <v>20</v>
      </c>
      <c r="E461" s="1" t="s">
        <v>40</v>
      </c>
      <c r="F461" s="2">
        <v>9</v>
      </c>
      <c r="G461" s="5">
        <v>1610</v>
      </c>
      <c r="H461" s="24">
        <f t="shared" si="35"/>
        <v>14490</v>
      </c>
      <c r="I461" s="7">
        <v>0.02</v>
      </c>
      <c r="J461" s="5">
        <f t="shared" si="36"/>
        <v>289.8</v>
      </c>
      <c r="K461" s="5">
        <f t="shared" si="37"/>
        <v>14200.2</v>
      </c>
      <c r="L461" s="5">
        <v>1160</v>
      </c>
      <c r="M461" s="5">
        <f t="shared" si="38"/>
        <v>3760.2000000000007</v>
      </c>
      <c r="N461" s="7">
        <f t="shared" si="39"/>
        <v>0.26479908733679813</v>
      </c>
      <c r="O461" s="1" t="s">
        <v>54</v>
      </c>
      <c r="P461" s="1" t="s">
        <v>31</v>
      </c>
      <c r="Q461" s="1" t="s">
        <v>24</v>
      </c>
      <c r="R461" s="1" t="s">
        <v>88</v>
      </c>
      <c r="S461" s="1" t="s">
        <v>147</v>
      </c>
      <c r="T461" s="15" t="s">
        <v>27</v>
      </c>
    </row>
    <row r="462" spans="1:20" x14ac:dyDescent="0.3">
      <c r="A462" s="14">
        <v>461</v>
      </c>
      <c r="B462" s="4">
        <v>44503</v>
      </c>
      <c r="C462" s="1" t="s">
        <v>529</v>
      </c>
      <c r="D462" s="1" t="s">
        <v>20</v>
      </c>
      <c r="E462" s="1" t="s">
        <v>29</v>
      </c>
      <c r="F462" s="2">
        <v>5</v>
      </c>
      <c r="G462" s="5">
        <v>2070</v>
      </c>
      <c r="H462" s="24">
        <f t="shared" si="35"/>
        <v>10350</v>
      </c>
      <c r="I462" s="7">
        <v>0.05</v>
      </c>
      <c r="J462" s="5">
        <f t="shared" si="36"/>
        <v>517.5</v>
      </c>
      <c r="K462" s="5">
        <f t="shared" si="37"/>
        <v>9832.5</v>
      </c>
      <c r="L462" s="5">
        <v>1600</v>
      </c>
      <c r="M462" s="5">
        <f t="shared" si="38"/>
        <v>1832.5</v>
      </c>
      <c r="N462" s="7">
        <f t="shared" si="39"/>
        <v>0.186371726417493</v>
      </c>
      <c r="O462" s="1" t="s">
        <v>30</v>
      </c>
      <c r="P462" s="1" t="s">
        <v>23</v>
      </c>
      <c r="Q462" s="1" t="s">
        <v>48</v>
      </c>
      <c r="R462" s="1" t="s">
        <v>56</v>
      </c>
      <c r="S462" s="1" t="s">
        <v>123</v>
      </c>
      <c r="T462" s="15" t="s">
        <v>27</v>
      </c>
    </row>
    <row r="463" spans="1:20" x14ac:dyDescent="0.3">
      <c r="A463" s="14">
        <v>462</v>
      </c>
      <c r="B463" s="4">
        <v>44210</v>
      </c>
      <c r="C463" s="1" t="s">
        <v>530</v>
      </c>
      <c r="D463" s="1" t="s">
        <v>20</v>
      </c>
      <c r="E463" s="1" t="s">
        <v>45</v>
      </c>
      <c r="F463" s="2">
        <v>5</v>
      </c>
      <c r="G463" s="5">
        <v>180</v>
      </c>
      <c r="H463" s="24">
        <f t="shared" si="35"/>
        <v>900</v>
      </c>
      <c r="I463" s="7">
        <v>0.05</v>
      </c>
      <c r="J463" s="5">
        <f t="shared" si="36"/>
        <v>45</v>
      </c>
      <c r="K463" s="5">
        <f t="shared" si="37"/>
        <v>855</v>
      </c>
      <c r="L463" s="5">
        <v>130</v>
      </c>
      <c r="M463" s="5">
        <f t="shared" si="38"/>
        <v>205</v>
      </c>
      <c r="N463" s="7">
        <f t="shared" si="39"/>
        <v>0.23976608187134502</v>
      </c>
      <c r="O463" s="1" t="s">
        <v>41</v>
      </c>
      <c r="P463" s="1" t="s">
        <v>23</v>
      </c>
      <c r="Q463" s="1" t="s">
        <v>48</v>
      </c>
      <c r="R463" s="1" t="s">
        <v>56</v>
      </c>
      <c r="S463" s="1" t="s">
        <v>314</v>
      </c>
      <c r="T463" s="15" t="s">
        <v>53</v>
      </c>
    </row>
    <row r="464" spans="1:20" x14ac:dyDescent="0.3">
      <c r="A464" s="14">
        <v>463</v>
      </c>
      <c r="B464" s="4">
        <v>44436</v>
      </c>
      <c r="C464" s="1" t="s">
        <v>530</v>
      </c>
      <c r="D464" s="1" t="s">
        <v>20</v>
      </c>
      <c r="E464" s="1" t="s">
        <v>45</v>
      </c>
      <c r="F464" s="2">
        <v>6</v>
      </c>
      <c r="G464" s="5">
        <v>180</v>
      </c>
      <c r="H464" s="24">
        <f t="shared" si="35"/>
        <v>1080</v>
      </c>
      <c r="I464" s="7">
        <v>0.05</v>
      </c>
      <c r="J464" s="5">
        <f t="shared" si="36"/>
        <v>54</v>
      </c>
      <c r="K464" s="5">
        <f t="shared" si="37"/>
        <v>1026</v>
      </c>
      <c r="L464" s="5">
        <v>120</v>
      </c>
      <c r="M464" s="5">
        <f t="shared" si="38"/>
        <v>306</v>
      </c>
      <c r="N464" s="7">
        <f t="shared" si="39"/>
        <v>0.2982456140350877</v>
      </c>
      <c r="O464" s="1" t="s">
        <v>22</v>
      </c>
      <c r="P464" s="1" t="s">
        <v>31</v>
      </c>
      <c r="Q464" s="1" t="s">
        <v>32</v>
      </c>
      <c r="R464" s="1" t="s">
        <v>49</v>
      </c>
      <c r="S464" s="1" t="s">
        <v>315</v>
      </c>
      <c r="T464" s="15" t="s">
        <v>35</v>
      </c>
    </row>
    <row r="465" spans="1:20" x14ac:dyDescent="0.3">
      <c r="A465" s="14">
        <v>464</v>
      </c>
      <c r="B465" s="4">
        <v>44306</v>
      </c>
      <c r="C465" s="1" t="s">
        <v>529</v>
      </c>
      <c r="D465" s="1" t="s">
        <v>80</v>
      </c>
      <c r="E465" s="1" t="s">
        <v>21</v>
      </c>
      <c r="F465" s="2">
        <v>8</v>
      </c>
      <c r="G465" s="5">
        <v>230</v>
      </c>
      <c r="H465" s="24">
        <f t="shared" si="35"/>
        <v>1840</v>
      </c>
      <c r="I465" s="7">
        <v>0.15</v>
      </c>
      <c r="J465" s="5">
        <f t="shared" si="36"/>
        <v>276</v>
      </c>
      <c r="K465" s="5">
        <f t="shared" si="37"/>
        <v>1564</v>
      </c>
      <c r="L465" s="5">
        <v>180</v>
      </c>
      <c r="M465" s="5">
        <f t="shared" si="38"/>
        <v>124</v>
      </c>
      <c r="N465" s="7">
        <f t="shared" si="39"/>
        <v>7.9283887468030695E-2</v>
      </c>
      <c r="O465" s="1" t="s">
        <v>59</v>
      </c>
      <c r="P465" s="1" t="s">
        <v>23</v>
      </c>
      <c r="Q465" s="1" t="s">
        <v>48</v>
      </c>
      <c r="R465" s="1" t="s">
        <v>49</v>
      </c>
      <c r="S465" s="1" t="s">
        <v>238</v>
      </c>
      <c r="T465" s="15" t="s">
        <v>27</v>
      </c>
    </row>
    <row r="466" spans="1:20" x14ac:dyDescent="0.3">
      <c r="A466" s="14">
        <v>465</v>
      </c>
      <c r="B466" s="4">
        <v>44203</v>
      </c>
      <c r="C466" s="1" t="s">
        <v>533</v>
      </c>
      <c r="D466" s="1" t="s">
        <v>28</v>
      </c>
      <c r="E466" s="1" t="s">
        <v>40</v>
      </c>
      <c r="F466" s="2">
        <v>1</v>
      </c>
      <c r="G466" s="5">
        <v>1370</v>
      </c>
      <c r="H466" s="24">
        <f t="shared" si="35"/>
        <v>1370</v>
      </c>
      <c r="I466" s="7">
        <v>0.05</v>
      </c>
      <c r="J466" s="5">
        <f t="shared" si="36"/>
        <v>68.5</v>
      </c>
      <c r="K466" s="5">
        <f t="shared" si="37"/>
        <v>1301.5</v>
      </c>
      <c r="L466" s="5">
        <v>900</v>
      </c>
      <c r="M466" s="5">
        <f t="shared" si="38"/>
        <v>401.5</v>
      </c>
      <c r="N466" s="7">
        <f t="shared" si="39"/>
        <v>0.30849020361121782</v>
      </c>
      <c r="O466" s="1" t="s">
        <v>22</v>
      </c>
      <c r="P466" s="1" t="s">
        <v>76</v>
      </c>
      <c r="Q466" s="1" t="s">
        <v>24</v>
      </c>
      <c r="R466" s="1" t="s">
        <v>38</v>
      </c>
      <c r="S466" s="1" t="s">
        <v>316</v>
      </c>
      <c r="T466" s="15" t="s">
        <v>35</v>
      </c>
    </row>
    <row r="467" spans="1:20" x14ac:dyDescent="0.3">
      <c r="A467" s="14">
        <v>466</v>
      </c>
      <c r="B467" s="4">
        <v>44237</v>
      </c>
      <c r="C467" s="1" t="s">
        <v>530</v>
      </c>
      <c r="D467" s="1" t="s">
        <v>80</v>
      </c>
      <c r="E467" s="1" t="s">
        <v>29</v>
      </c>
      <c r="F467" s="2">
        <v>9</v>
      </c>
      <c r="G467" s="5">
        <v>2370</v>
      </c>
      <c r="H467" s="24">
        <f t="shared" si="35"/>
        <v>21330</v>
      </c>
      <c r="I467" s="7">
        <v>0</v>
      </c>
      <c r="J467" s="5">
        <f t="shared" si="36"/>
        <v>0</v>
      </c>
      <c r="K467" s="5">
        <f t="shared" si="37"/>
        <v>21330</v>
      </c>
      <c r="L467" s="5">
        <v>1710</v>
      </c>
      <c r="M467" s="5">
        <f t="shared" si="38"/>
        <v>5940</v>
      </c>
      <c r="N467" s="7">
        <f t="shared" si="39"/>
        <v>0.27848101265822783</v>
      </c>
      <c r="O467" s="1" t="s">
        <v>59</v>
      </c>
      <c r="P467" s="1" t="s">
        <v>76</v>
      </c>
      <c r="Q467" s="1" t="s">
        <v>37</v>
      </c>
      <c r="R467" s="1" t="s">
        <v>66</v>
      </c>
      <c r="S467" s="1" t="s">
        <v>317</v>
      </c>
      <c r="T467" s="15" t="s">
        <v>53</v>
      </c>
    </row>
    <row r="468" spans="1:20" x14ac:dyDescent="0.3">
      <c r="A468" s="14">
        <v>467</v>
      </c>
      <c r="B468" s="4">
        <v>44489</v>
      </c>
      <c r="C468" s="1" t="s">
        <v>531</v>
      </c>
      <c r="D468" s="1" t="s">
        <v>80</v>
      </c>
      <c r="E468" s="1" t="s">
        <v>45</v>
      </c>
      <c r="F468" s="2">
        <v>7</v>
      </c>
      <c r="G468" s="5">
        <v>190</v>
      </c>
      <c r="H468" s="24">
        <f t="shared" si="35"/>
        <v>1330</v>
      </c>
      <c r="I468" s="7">
        <v>0.1</v>
      </c>
      <c r="J468" s="5">
        <f t="shared" si="36"/>
        <v>133</v>
      </c>
      <c r="K468" s="5">
        <f t="shared" si="37"/>
        <v>1197</v>
      </c>
      <c r="L468" s="5">
        <v>150</v>
      </c>
      <c r="M468" s="5">
        <f t="shared" si="38"/>
        <v>147</v>
      </c>
      <c r="N468" s="7">
        <f t="shared" si="39"/>
        <v>0.12280701754385964</v>
      </c>
      <c r="O468" s="1" t="s">
        <v>30</v>
      </c>
      <c r="P468" s="1" t="s">
        <v>31</v>
      </c>
      <c r="Q468" s="1" t="s">
        <v>48</v>
      </c>
      <c r="R468" s="1" t="s">
        <v>49</v>
      </c>
      <c r="S468" s="1" t="s">
        <v>318</v>
      </c>
      <c r="T468" s="15" t="s">
        <v>27</v>
      </c>
    </row>
    <row r="469" spans="1:20" x14ac:dyDescent="0.3">
      <c r="A469" s="14">
        <v>468</v>
      </c>
      <c r="B469" s="4">
        <v>44396</v>
      </c>
      <c r="C469" s="1" t="s">
        <v>529</v>
      </c>
      <c r="D469" s="1" t="s">
        <v>80</v>
      </c>
      <c r="E469" s="1" t="s">
        <v>43</v>
      </c>
      <c r="F469" s="2">
        <v>1</v>
      </c>
      <c r="G469" s="5">
        <v>290</v>
      </c>
      <c r="H469" s="24">
        <f t="shared" si="35"/>
        <v>290</v>
      </c>
      <c r="I469" s="7">
        <v>0.05</v>
      </c>
      <c r="J469" s="5">
        <f t="shared" si="36"/>
        <v>14.5</v>
      </c>
      <c r="K469" s="5">
        <f t="shared" si="37"/>
        <v>275.5</v>
      </c>
      <c r="L469" s="5">
        <v>190</v>
      </c>
      <c r="M469" s="5">
        <f t="shared" si="38"/>
        <v>85.5</v>
      </c>
      <c r="N469" s="7">
        <f t="shared" si="39"/>
        <v>0.31034482758620691</v>
      </c>
      <c r="O469" s="1" t="s">
        <v>30</v>
      </c>
      <c r="P469" s="1" t="s">
        <v>31</v>
      </c>
      <c r="Q469" s="1" t="s">
        <v>32</v>
      </c>
      <c r="R469" s="1" t="s">
        <v>88</v>
      </c>
      <c r="S469" s="1" t="s">
        <v>314</v>
      </c>
      <c r="T469" s="15" t="s">
        <v>27</v>
      </c>
    </row>
    <row r="470" spans="1:20" x14ac:dyDescent="0.3">
      <c r="A470" s="14">
        <v>469</v>
      </c>
      <c r="B470" s="4">
        <v>44327</v>
      </c>
      <c r="C470" s="1" t="s">
        <v>531</v>
      </c>
      <c r="D470" s="1" t="s">
        <v>28</v>
      </c>
      <c r="E470" s="1" t="s">
        <v>43</v>
      </c>
      <c r="F470" s="2">
        <v>6</v>
      </c>
      <c r="G470" s="5">
        <v>330</v>
      </c>
      <c r="H470" s="24">
        <f t="shared" si="35"/>
        <v>1980</v>
      </c>
      <c r="I470" s="7">
        <v>0.05</v>
      </c>
      <c r="J470" s="5">
        <f t="shared" si="36"/>
        <v>99</v>
      </c>
      <c r="K470" s="5">
        <f t="shared" si="37"/>
        <v>1881</v>
      </c>
      <c r="L470" s="5">
        <v>260</v>
      </c>
      <c r="M470" s="5">
        <f t="shared" si="38"/>
        <v>321</v>
      </c>
      <c r="N470" s="7">
        <f t="shared" si="39"/>
        <v>0.17065390749601275</v>
      </c>
      <c r="O470" s="1" t="s">
        <v>30</v>
      </c>
      <c r="P470" s="1" t="s">
        <v>31</v>
      </c>
      <c r="Q470" s="1" t="s">
        <v>37</v>
      </c>
      <c r="R470" s="1" t="s">
        <v>33</v>
      </c>
      <c r="S470" s="1" t="s">
        <v>171</v>
      </c>
      <c r="T470" s="15" t="s">
        <v>53</v>
      </c>
    </row>
    <row r="471" spans="1:20" x14ac:dyDescent="0.3">
      <c r="A471" s="14">
        <v>470</v>
      </c>
      <c r="B471" s="4">
        <v>44332</v>
      </c>
      <c r="C471" s="1" t="s">
        <v>533</v>
      </c>
      <c r="D471" s="1" t="s">
        <v>80</v>
      </c>
      <c r="E471" s="1" t="s">
        <v>21</v>
      </c>
      <c r="F471" s="2">
        <v>6</v>
      </c>
      <c r="G471" s="5">
        <v>210</v>
      </c>
      <c r="H471" s="24">
        <f t="shared" si="35"/>
        <v>1260</v>
      </c>
      <c r="I471" s="7">
        <v>0.02</v>
      </c>
      <c r="J471" s="5">
        <f t="shared" si="36"/>
        <v>25.2</v>
      </c>
      <c r="K471" s="5">
        <f t="shared" si="37"/>
        <v>1234.8</v>
      </c>
      <c r="L471" s="5">
        <v>160</v>
      </c>
      <c r="M471" s="5">
        <f t="shared" si="38"/>
        <v>274.79999999999995</v>
      </c>
      <c r="N471" s="7">
        <f t="shared" si="39"/>
        <v>0.22254616132167149</v>
      </c>
      <c r="O471" s="1" t="s">
        <v>30</v>
      </c>
      <c r="P471" s="1" t="s">
        <v>31</v>
      </c>
      <c r="Q471" s="1" t="s">
        <v>37</v>
      </c>
      <c r="R471" s="1" t="s">
        <v>88</v>
      </c>
      <c r="S471" s="1" t="s">
        <v>239</v>
      </c>
      <c r="T471" s="15" t="s">
        <v>53</v>
      </c>
    </row>
    <row r="472" spans="1:20" x14ac:dyDescent="0.3">
      <c r="A472" s="14">
        <v>471</v>
      </c>
      <c r="B472" s="4">
        <v>44434</v>
      </c>
      <c r="C472" s="1" t="s">
        <v>533</v>
      </c>
      <c r="D472" s="1" t="s">
        <v>20</v>
      </c>
      <c r="E472" s="1" t="s">
        <v>29</v>
      </c>
      <c r="F472" s="2">
        <v>9</v>
      </c>
      <c r="G472" s="5">
        <v>2270</v>
      </c>
      <c r="H472" s="24">
        <f t="shared" si="35"/>
        <v>20430</v>
      </c>
      <c r="I472" s="7">
        <v>0.05</v>
      </c>
      <c r="J472" s="5">
        <f t="shared" si="36"/>
        <v>1021.5</v>
      </c>
      <c r="K472" s="5">
        <f t="shared" si="37"/>
        <v>19408.5</v>
      </c>
      <c r="L472" s="5">
        <v>1450</v>
      </c>
      <c r="M472" s="5">
        <f t="shared" si="38"/>
        <v>6358.5</v>
      </c>
      <c r="N472" s="7">
        <f t="shared" si="39"/>
        <v>0.32761418965916994</v>
      </c>
      <c r="O472" s="1" t="s">
        <v>30</v>
      </c>
      <c r="P472" s="1" t="s">
        <v>23</v>
      </c>
      <c r="Q472" s="1" t="s">
        <v>32</v>
      </c>
      <c r="R472" s="1" t="s">
        <v>50</v>
      </c>
      <c r="S472" s="1" t="s">
        <v>191</v>
      </c>
      <c r="T472" s="15" t="s">
        <v>53</v>
      </c>
    </row>
    <row r="473" spans="1:20" x14ac:dyDescent="0.3">
      <c r="A473" s="14">
        <v>472</v>
      </c>
      <c r="B473" s="4">
        <v>44363</v>
      </c>
      <c r="C473" s="1" t="s">
        <v>529</v>
      </c>
      <c r="D473" s="1" t="s">
        <v>28</v>
      </c>
      <c r="E473" s="1" t="s">
        <v>21</v>
      </c>
      <c r="F473" s="2">
        <v>5</v>
      </c>
      <c r="G473" s="5">
        <v>240</v>
      </c>
      <c r="H473" s="24">
        <f t="shared" si="35"/>
        <v>1200</v>
      </c>
      <c r="I473" s="7">
        <v>0.1</v>
      </c>
      <c r="J473" s="5">
        <f t="shared" si="36"/>
        <v>120</v>
      </c>
      <c r="K473" s="5">
        <f t="shared" si="37"/>
        <v>1080</v>
      </c>
      <c r="L473" s="5">
        <v>160</v>
      </c>
      <c r="M473" s="5">
        <f t="shared" si="38"/>
        <v>280</v>
      </c>
      <c r="N473" s="7">
        <f t="shared" si="39"/>
        <v>0.25925925925925924</v>
      </c>
      <c r="O473" s="1" t="s">
        <v>22</v>
      </c>
      <c r="P473" s="1" t="s">
        <v>31</v>
      </c>
      <c r="Q473" s="1" t="s">
        <v>48</v>
      </c>
      <c r="R473" s="1" t="s">
        <v>66</v>
      </c>
      <c r="S473" s="1" t="s">
        <v>319</v>
      </c>
      <c r="T473" s="15" t="s">
        <v>53</v>
      </c>
    </row>
    <row r="474" spans="1:20" x14ac:dyDescent="0.3">
      <c r="A474" s="14">
        <v>473</v>
      </c>
      <c r="B474" s="4">
        <v>44525</v>
      </c>
      <c r="C474" s="1" t="s">
        <v>533</v>
      </c>
      <c r="D474" s="1" t="s">
        <v>82</v>
      </c>
      <c r="E474" s="1" t="s">
        <v>40</v>
      </c>
      <c r="F474" s="2">
        <v>2</v>
      </c>
      <c r="G474" s="5">
        <v>1720</v>
      </c>
      <c r="H474" s="24">
        <f t="shared" si="35"/>
        <v>3440</v>
      </c>
      <c r="I474" s="7">
        <v>0.02</v>
      </c>
      <c r="J474" s="5">
        <f t="shared" si="36"/>
        <v>68.8</v>
      </c>
      <c r="K474" s="5">
        <f t="shared" si="37"/>
        <v>3371.2</v>
      </c>
      <c r="L474" s="5">
        <v>1380</v>
      </c>
      <c r="M474" s="5">
        <f t="shared" si="38"/>
        <v>611.19999999999982</v>
      </c>
      <c r="N474" s="7">
        <f t="shared" si="39"/>
        <v>0.18130042714760319</v>
      </c>
      <c r="O474" s="1" t="s">
        <v>54</v>
      </c>
      <c r="P474" s="1" t="s">
        <v>31</v>
      </c>
      <c r="Q474" s="1" t="s">
        <v>48</v>
      </c>
      <c r="R474" s="1" t="s">
        <v>25</v>
      </c>
      <c r="S474" s="1" t="s">
        <v>320</v>
      </c>
      <c r="T474" s="15" t="s">
        <v>61</v>
      </c>
    </row>
    <row r="475" spans="1:20" x14ac:dyDescent="0.3">
      <c r="A475" s="14">
        <v>474</v>
      </c>
      <c r="B475" s="4">
        <v>44233</v>
      </c>
      <c r="C475" s="1" t="s">
        <v>530</v>
      </c>
      <c r="D475" s="1" t="s">
        <v>20</v>
      </c>
      <c r="E475" s="1" t="s">
        <v>21</v>
      </c>
      <c r="F475" s="2">
        <v>2</v>
      </c>
      <c r="G475" s="5">
        <v>230</v>
      </c>
      <c r="H475" s="24">
        <f t="shared" si="35"/>
        <v>460</v>
      </c>
      <c r="I475" s="7">
        <v>0</v>
      </c>
      <c r="J475" s="5">
        <f t="shared" si="36"/>
        <v>0</v>
      </c>
      <c r="K475" s="5">
        <f t="shared" si="37"/>
        <v>460</v>
      </c>
      <c r="L475" s="5">
        <v>140</v>
      </c>
      <c r="M475" s="5">
        <f t="shared" si="38"/>
        <v>180</v>
      </c>
      <c r="N475" s="7">
        <f t="shared" si="39"/>
        <v>0.39130434782608697</v>
      </c>
      <c r="O475" s="1" t="s">
        <v>22</v>
      </c>
      <c r="P475" s="1" t="s">
        <v>31</v>
      </c>
      <c r="Q475" s="1" t="s">
        <v>32</v>
      </c>
      <c r="R475" s="1" t="s">
        <v>56</v>
      </c>
      <c r="S475" s="1" t="s">
        <v>165</v>
      </c>
      <c r="T475" s="15" t="s">
        <v>61</v>
      </c>
    </row>
    <row r="476" spans="1:20" x14ac:dyDescent="0.3">
      <c r="A476" s="14">
        <v>475</v>
      </c>
      <c r="B476" s="4">
        <v>44315</v>
      </c>
      <c r="C476" s="1" t="s">
        <v>529</v>
      </c>
      <c r="D476" s="1" t="s">
        <v>28</v>
      </c>
      <c r="E476" s="1" t="s">
        <v>21</v>
      </c>
      <c r="F476" s="2">
        <v>7</v>
      </c>
      <c r="G476" s="5">
        <v>230</v>
      </c>
      <c r="H476" s="24">
        <f t="shared" si="35"/>
        <v>1610</v>
      </c>
      <c r="I476" s="7">
        <v>0</v>
      </c>
      <c r="J476" s="5">
        <f t="shared" si="36"/>
        <v>0</v>
      </c>
      <c r="K476" s="5">
        <f t="shared" si="37"/>
        <v>1610</v>
      </c>
      <c r="L476" s="5">
        <v>160</v>
      </c>
      <c r="M476" s="5">
        <f t="shared" si="38"/>
        <v>490</v>
      </c>
      <c r="N476" s="7">
        <f t="shared" si="39"/>
        <v>0.30434782608695654</v>
      </c>
      <c r="O476" s="1" t="s">
        <v>41</v>
      </c>
      <c r="P476" s="1" t="s">
        <v>31</v>
      </c>
      <c r="Q476" s="1" t="s">
        <v>24</v>
      </c>
      <c r="R476" s="1" t="s">
        <v>38</v>
      </c>
      <c r="S476" s="1" t="s">
        <v>321</v>
      </c>
      <c r="T476" s="15" t="s">
        <v>61</v>
      </c>
    </row>
    <row r="477" spans="1:20" x14ac:dyDescent="0.3">
      <c r="A477" s="14">
        <v>476</v>
      </c>
      <c r="B477" s="4">
        <v>44362</v>
      </c>
      <c r="C477" s="1" t="s">
        <v>532</v>
      </c>
      <c r="D477" s="1" t="s">
        <v>28</v>
      </c>
      <c r="E477" s="1" t="s">
        <v>21</v>
      </c>
      <c r="F477" s="2">
        <v>3</v>
      </c>
      <c r="G477" s="5">
        <v>220</v>
      </c>
      <c r="H477" s="24">
        <f t="shared" si="35"/>
        <v>660</v>
      </c>
      <c r="I477" s="7">
        <v>0.05</v>
      </c>
      <c r="J477" s="5">
        <f t="shared" si="36"/>
        <v>33</v>
      </c>
      <c r="K477" s="5">
        <f t="shared" si="37"/>
        <v>627</v>
      </c>
      <c r="L477" s="5">
        <v>170</v>
      </c>
      <c r="M477" s="5">
        <f t="shared" si="38"/>
        <v>117</v>
      </c>
      <c r="N477" s="7">
        <f t="shared" si="39"/>
        <v>0.18660287081339713</v>
      </c>
      <c r="O477" s="1" t="s">
        <v>22</v>
      </c>
      <c r="P477" s="1" t="s">
        <v>31</v>
      </c>
      <c r="Q477" s="1" t="s">
        <v>32</v>
      </c>
      <c r="R477" s="1" t="s">
        <v>56</v>
      </c>
      <c r="S477" s="1" t="s">
        <v>322</v>
      </c>
      <c r="T477" s="15" t="s">
        <v>27</v>
      </c>
    </row>
    <row r="478" spans="1:20" x14ac:dyDescent="0.3">
      <c r="A478" s="14">
        <v>477</v>
      </c>
      <c r="B478" s="4">
        <v>44420</v>
      </c>
      <c r="C478" s="1" t="s">
        <v>531</v>
      </c>
      <c r="D478" s="1" t="s">
        <v>20</v>
      </c>
      <c r="E478" s="1" t="s">
        <v>29</v>
      </c>
      <c r="F478" s="2">
        <v>8</v>
      </c>
      <c r="G478" s="5">
        <v>2190</v>
      </c>
      <c r="H478" s="24">
        <f t="shared" si="35"/>
        <v>17520</v>
      </c>
      <c r="I478" s="7">
        <v>0.1</v>
      </c>
      <c r="J478" s="5">
        <f t="shared" si="36"/>
        <v>1752</v>
      </c>
      <c r="K478" s="5">
        <f t="shared" si="37"/>
        <v>15768</v>
      </c>
      <c r="L478" s="5">
        <v>1320</v>
      </c>
      <c r="M478" s="5">
        <f t="shared" si="38"/>
        <v>5208</v>
      </c>
      <c r="N478" s="7">
        <f t="shared" si="39"/>
        <v>0.33028919330289191</v>
      </c>
      <c r="O478" s="1" t="s">
        <v>59</v>
      </c>
      <c r="P478" s="1" t="s">
        <v>31</v>
      </c>
      <c r="Q478" s="1" t="s">
        <v>24</v>
      </c>
      <c r="R478" s="1" t="s">
        <v>49</v>
      </c>
      <c r="S478" s="1" t="s">
        <v>323</v>
      </c>
      <c r="T478" s="15" t="s">
        <v>61</v>
      </c>
    </row>
    <row r="479" spans="1:20" x14ac:dyDescent="0.3">
      <c r="A479" s="14">
        <v>478</v>
      </c>
      <c r="B479" s="4">
        <v>44560</v>
      </c>
      <c r="C479" s="1" t="s">
        <v>530</v>
      </c>
      <c r="D479" s="1" t="s">
        <v>28</v>
      </c>
      <c r="E479" s="1" t="s">
        <v>43</v>
      </c>
      <c r="F479" s="2">
        <v>7</v>
      </c>
      <c r="G479" s="5">
        <v>340</v>
      </c>
      <c r="H479" s="24">
        <f t="shared" si="35"/>
        <v>2380</v>
      </c>
      <c r="I479" s="7">
        <v>0.05</v>
      </c>
      <c r="J479" s="5">
        <f t="shared" si="36"/>
        <v>119</v>
      </c>
      <c r="K479" s="5">
        <f t="shared" si="37"/>
        <v>2261</v>
      </c>
      <c r="L479" s="5">
        <v>220</v>
      </c>
      <c r="M479" s="5">
        <f t="shared" si="38"/>
        <v>721</v>
      </c>
      <c r="N479" s="7">
        <f t="shared" si="39"/>
        <v>0.31888544891640869</v>
      </c>
      <c r="O479" s="1" t="s">
        <v>30</v>
      </c>
      <c r="P479" s="1" t="s">
        <v>31</v>
      </c>
      <c r="Q479" s="1" t="s">
        <v>48</v>
      </c>
      <c r="R479" s="1" t="s">
        <v>88</v>
      </c>
      <c r="S479" s="1" t="s">
        <v>274</v>
      </c>
      <c r="T479" s="15" t="s">
        <v>53</v>
      </c>
    </row>
    <row r="480" spans="1:20" x14ac:dyDescent="0.3">
      <c r="A480" s="14">
        <v>479</v>
      </c>
      <c r="B480" s="4">
        <v>44459</v>
      </c>
      <c r="C480" s="1" t="s">
        <v>529</v>
      </c>
      <c r="D480" s="1" t="s">
        <v>28</v>
      </c>
      <c r="E480" s="1" t="s">
        <v>21</v>
      </c>
      <c r="F480" s="2">
        <v>9</v>
      </c>
      <c r="G480" s="5">
        <v>190</v>
      </c>
      <c r="H480" s="24">
        <f t="shared" si="35"/>
        <v>1710</v>
      </c>
      <c r="I480" s="7">
        <v>0.05</v>
      </c>
      <c r="J480" s="5">
        <f t="shared" si="36"/>
        <v>85.5</v>
      </c>
      <c r="K480" s="5">
        <f t="shared" si="37"/>
        <v>1624.5</v>
      </c>
      <c r="L480" s="5">
        <v>130</v>
      </c>
      <c r="M480" s="5">
        <f t="shared" si="38"/>
        <v>454.5</v>
      </c>
      <c r="N480" s="7">
        <f t="shared" si="39"/>
        <v>0.27977839335180055</v>
      </c>
      <c r="O480" s="1" t="s">
        <v>54</v>
      </c>
      <c r="P480" s="1" t="s">
        <v>31</v>
      </c>
      <c r="Q480" s="1" t="s">
        <v>24</v>
      </c>
      <c r="R480" s="1" t="s">
        <v>25</v>
      </c>
      <c r="S480" s="1" t="s">
        <v>324</v>
      </c>
      <c r="T480" s="15" t="s">
        <v>35</v>
      </c>
    </row>
    <row r="481" spans="1:20" x14ac:dyDescent="0.3">
      <c r="A481" s="14">
        <v>480</v>
      </c>
      <c r="B481" s="4">
        <v>44291</v>
      </c>
      <c r="C481" s="1" t="s">
        <v>529</v>
      </c>
      <c r="D481" s="1" t="s">
        <v>28</v>
      </c>
      <c r="E481" s="1" t="s">
        <v>21</v>
      </c>
      <c r="F481" s="2">
        <v>4</v>
      </c>
      <c r="G481" s="5">
        <v>240</v>
      </c>
      <c r="H481" s="24">
        <f t="shared" si="35"/>
        <v>960</v>
      </c>
      <c r="I481" s="7">
        <v>0.02</v>
      </c>
      <c r="J481" s="5">
        <f t="shared" si="36"/>
        <v>19.2</v>
      </c>
      <c r="K481" s="5">
        <f t="shared" si="37"/>
        <v>940.8</v>
      </c>
      <c r="L481" s="5">
        <v>190</v>
      </c>
      <c r="M481" s="5">
        <f t="shared" si="38"/>
        <v>180.79999999999995</v>
      </c>
      <c r="N481" s="7">
        <f t="shared" si="39"/>
        <v>0.19217687074829928</v>
      </c>
      <c r="O481" s="1" t="s">
        <v>22</v>
      </c>
      <c r="P481" s="1" t="s">
        <v>31</v>
      </c>
      <c r="Q481" s="1" t="s">
        <v>32</v>
      </c>
      <c r="R481" s="1" t="s">
        <v>33</v>
      </c>
      <c r="S481" s="1" t="s">
        <v>325</v>
      </c>
      <c r="T481" s="15" t="s">
        <v>35</v>
      </c>
    </row>
    <row r="482" spans="1:20" x14ac:dyDescent="0.3">
      <c r="A482" s="14">
        <v>481</v>
      </c>
      <c r="B482" s="4">
        <v>44290</v>
      </c>
      <c r="C482" s="1" t="s">
        <v>533</v>
      </c>
      <c r="D482" s="1" t="s">
        <v>20</v>
      </c>
      <c r="E482" s="1" t="s">
        <v>36</v>
      </c>
      <c r="F482" s="2">
        <v>6</v>
      </c>
      <c r="G482" s="5">
        <v>1340</v>
      </c>
      <c r="H482" s="24">
        <f t="shared" si="35"/>
        <v>8040</v>
      </c>
      <c r="I482" s="7">
        <v>0.05</v>
      </c>
      <c r="J482" s="5">
        <f t="shared" si="36"/>
        <v>402</v>
      </c>
      <c r="K482" s="5">
        <f t="shared" si="37"/>
        <v>7638</v>
      </c>
      <c r="L482" s="5">
        <v>870</v>
      </c>
      <c r="M482" s="5">
        <f t="shared" si="38"/>
        <v>2418</v>
      </c>
      <c r="N482" s="7">
        <f t="shared" si="39"/>
        <v>0.31657501963864887</v>
      </c>
      <c r="O482" s="1" t="s">
        <v>59</v>
      </c>
      <c r="P482" s="1" t="s">
        <v>31</v>
      </c>
      <c r="Q482" s="1" t="s">
        <v>48</v>
      </c>
      <c r="R482" s="1" t="s">
        <v>88</v>
      </c>
      <c r="S482" s="1" t="s">
        <v>246</v>
      </c>
      <c r="T482" s="15" t="s">
        <v>27</v>
      </c>
    </row>
    <row r="483" spans="1:20" x14ac:dyDescent="0.3">
      <c r="A483" s="14">
        <v>482</v>
      </c>
      <c r="B483" s="4">
        <v>44397</v>
      </c>
      <c r="C483" s="1" t="s">
        <v>529</v>
      </c>
      <c r="D483" s="1" t="s">
        <v>20</v>
      </c>
      <c r="E483" s="1" t="s">
        <v>21</v>
      </c>
      <c r="F483" s="2">
        <v>4</v>
      </c>
      <c r="G483" s="5">
        <v>230</v>
      </c>
      <c r="H483" s="24">
        <f t="shared" si="35"/>
        <v>920</v>
      </c>
      <c r="I483" s="7">
        <v>0</v>
      </c>
      <c r="J483" s="5">
        <f t="shared" si="36"/>
        <v>0</v>
      </c>
      <c r="K483" s="5">
        <f t="shared" si="37"/>
        <v>920</v>
      </c>
      <c r="L483" s="5">
        <v>180</v>
      </c>
      <c r="M483" s="5">
        <f t="shared" si="38"/>
        <v>200</v>
      </c>
      <c r="N483" s="7">
        <f t="shared" si="39"/>
        <v>0.21739130434782608</v>
      </c>
      <c r="O483" s="1" t="s">
        <v>59</v>
      </c>
      <c r="P483" s="1" t="s">
        <v>31</v>
      </c>
      <c r="Q483" s="1" t="s">
        <v>32</v>
      </c>
      <c r="R483" s="1" t="s">
        <v>49</v>
      </c>
      <c r="S483" s="1" t="s">
        <v>111</v>
      </c>
      <c r="T483" s="15" t="s">
        <v>27</v>
      </c>
    </row>
    <row r="484" spans="1:20" x14ac:dyDescent="0.3">
      <c r="A484" s="14">
        <v>483</v>
      </c>
      <c r="B484" s="4">
        <v>44368</v>
      </c>
      <c r="C484" s="1" t="s">
        <v>534</v>
      </c>
      <c r="D484" s="1" t="s">
        <v>82</v>
      </c>
      <c r="E484" s="1" t="s">
        <v>29</v>
      </c>
      <c r="F484" s="2">
        <v>11</v>
      </c>
      <c r="G484" s="5">
        <v>2060</v>
      </c>
      <c r="H484" s="24">
        <f t="shared" si="35"/>
        <v>22660</v>
      </c>
      <c r="I484" s="7">
        <v>0</v>
      </c>
      <c r="J484" s="5">
        <f t="shared" si="36"/>
        <v>0</v>
      </c>
      <c r="K484" s="5">
        <f t="shared" si="37"/>
        <v>22660</v>
      </c>
      <c r="L484" s="5">
        <v>1270</v>
      </c>
      <c r="M484" s="5">
        <f t="shared" si="38"/>
        <v>8690</v>
      </c>
      <c r="N484" s="7">
        <f t="shared" si="39"/>
        <v>0.38349514563106796</v>
      </c>
      <c r="O484" s="1" t="s">
        <v>41</v>
      </c>
      <c r="P484" s="1" t="s">
        <v>31</v>
      </c>
      <c r="Q484" s="1" t="s">
        <v>48</v>
      </c>
      <c r="R484" s="1" t="s">
        <v>66</v>
      </c>
      <c r="S484" s="1" t="s">
        <v>326</v>
      </c>
      <c r="T484" s="15" t="s">
        <v>27</v>
      </c>
    </row>
    <row r="485" spans="1:20" x14ac:dyDescent="0.3">
      <c r="A485" s="14">
        <v>484</v>
      </c>
      <c r="B485" s="4">
        <v>44392</v>
      </c>
      <c r="C485" s="1" t="s">
        <v>529</v>
      </c>
      <c r="D485" s="1" t="s">
        <v>20</v>
      </c>
      <c r="E485" s="1" t="s">
        <v>29</v>
      </c>
      <c r="F485" s="2">
        <v>9</v>
      </c>
      <c r="G485" s="5">
        <v>2140</v>
      </c>
      <c r="H485" s="24">
        <f t="shared" si="35"/>
        <v>19260</v>
      </c>
      <c r="I485" s="7">
        <v>0.1</v>
      </c>
      <c r="J485" s="5">
        <f t="shared" si="36"/>
        <v>1926</v>
      </c>
      <c r="K485" s="5">
        <f t="shared" si="37"/>
        <v>17334</v>
      </c>
      <c r="L485" s="5">
        <v>1450</v>
      </c>
      <c r="M485" s="5">
        <f t="shared" si="38"/>
        <v>4284</v>
      </c>
      <c r="N485" s="7">
        <f t="shared" si="39"/>
        <v>0.24714434060228452</v>
      </c>
      <c r="O485" s="1" t="s">
        <v>30</v>
      </c>
      <c r="P485" s="1" t="s">
        <v>31</v>
      </c>
      <c r="Q485" s="1" t="s">
        <v>32</v>
      </c>
      <c r="R485" s="1" t="s">
        <v>63</v>
      </c>
      <c r="S485" s="1" t="s">
        <v>192</v>
      </c>
      <c r="T485" s="15" t="s">
        <v>53</v>
      </c>
    </row>
    <row r="486" spans="1:20" x14ac:dyDescent="0.3">
      <c r="A486" s="14">
        <v>485</v>
      </c>
      <c r="B486" s="4">
        <v>44303</v>
      </c>
      <c r="C486" s="1" t="s">
        <v>530</v>
      </c>
      <c r="D486" s="1" t="s">
        <v>80</v>
      </c>
      <c r="E486" s="1" t="s">
        <v>40</v>
      </c>
      <c r="F486" s="2">
        <v>9</v>
      </c>
      <c r="G486" s="5">
        <v>1610</v>
      </c>
      <c r="H486" s="24">
        <f t="shared" si="35"/>
        <v>14490</v>
      </c>
      <c r="I486" s="7">
        <v>0.1</v>
      </c>
      <c r="J486" s="5">
        <f t="shared" si="36"/>
        <v>1449</v>
      </c>
      <c r="K486" s="5">
        <f t="shared" si="37"/>
        <v>13041</v>
      </c>
      <c r="L486" s="5">
        <v>990</v>
      </c>
      <c r="M486" s="5">
        <f t="shared" si="38"/>
        <v>4131</v>
      </c>
      <c r="N486" s="7">
        <f t="shared" si="39"/>
        <v>0.31677018633540371</v>
      </c>
      <c r="O486" s="1" t="s">
        <v>59</v>
      </c>
      <c r="P486" s="1" t="s">
        <v>31</v>
      </c>
      <c r="Q486" s="1" t="s">
        <v>24</v>
      </c>
      <c r="R486" s="1" t="s">
        <v>33</v>
      </c>
      <c r="S486" s="1" t="s">
        <v>327</v>
      </c>
      <c r="T486" s="15" t="s">
        <v>53</v>
      </c>
    </row>
    <row r="487" spans="1:20" x14ac:dyDescent="0.3">
      <c r="A487" s="14">
        <v>486</v>
      </c>
      <c r="B487" s="4">
        <v>44533</v>
      </c>
      <c r="C487" s="1" t="s">
        <v>530</v>
      </c>
      <c r="D487" s="1" t="s">
        <v>82</v>
      </c>
      <c r="E487" s="1" t="s">
        <v>40</v>
      </c>
      <c r="F487" s="2">
        <v>7</v>
      </c>
      <c r="G487" s="5">
        <v>1370</v>
      </c>
      <c r="H487" s="24">
        <f t="shared" si="35"/>
        <v>9590</v>
      </c>
      <c r="I487" s="7">
        <v>0.15</v>
      </c>
      <c r="J487" s="5">
        <f t="shared" si="36"/>
        <v>1438.5</v>
      </c>
      <c r="K487" s="5">
        <f t="shared" si="37"/>
        <v>8151.5</v>
      </c>
      <c r="L487" s="5">
        <v>980</v>
      </c>
      <c r="M487" s="5">
        <f t="shared" si="38"/>
        <v>1291.5</v>
      </c>
      <c r="N487" s="7">
        <f t="shared" si="39"/>
        <v>0.15843709746672391</v>
      </c>
      <c r="O487" s="1" t="s">
        <v>41</v>
      </c>
      <c r="P487" s="1" t="s">
        <v>31</v>
      </c>
      <c r="Q487" s="1" t="s">
        <v>48</v>
      </c>
      <c r="R487" s="1" t="s">
        <v>56</v>
      </c>
      <c r="S487" s="1" t="s">
        <v>246</v>
      </c>
      <c r="T487" s="15" t="s">
        <v>61</v>
      </c>
    </row>
    <row r="488" spans="1:20" x14ac:dyDescent="0.3">
      <c r="A488" s="14">
        <v>487</v>
      </c>
      <c r="B488" s="4">
        <v>44560</v>
      </c>
      <c r="C488" s="1" t="s">
        <v>533</v>
      </c>
      <c r="D488" s="1" t="s">
        <v>20</v>
      </c>
      <c r="E488" s="1" t="s">
        <v>29</v>
      </c>
      <c r="F488" s="2">
        <v>5</v>
      </c>
      <c r="G488" s="5">
        <v>2250</v>
      </c>
      <c r="H488" s="24">
        <f t="shared" si="35"/>
        <v>11250</v>
      </c>
      <c r="I488" s="7">
        <v>0.05</v>
      </c>
      <c r="J488" s="5">
        <f t="shared" si="36"/>
        <v>562.5</v>
      </c>
      <c r="K488" s="5">
        <f t="shared" si="37"/>
        <v>10687.5</v>
      </c>
      <c r="L488" s="5">
        <v>1670</v>
      </c>
      <c r="M488" s="5">
        <f t="shared" si="38"/>
        <v>2337.5</v>
      </c>
      <c r="N488" s="7">
        <f t="shared" si="39"/>
        <v>0.21871345029239767</v>
      </c>
      <c r="O488" s="1" t="s">
        <v>54</v>
      </c>
      <c r="P488" s="1" t="s">
        <v>31</v>
      </c>
      <c r="Q488" s="1" t="s">
        <v>37</v>
      </c>
      <c r="R488" s="1" t="s">
        <v>63</v>
      </c>
      <c r="S488" s="1" t="s">
        <v>58</v>
      </c>
      <c r="T488" s="15" t="s">
        <v>27</v>
      </c>
    </row>
    <row r="489" spans="1:20" x14ac:dyDescent="0.3">
      <c r="A489" s="14">
        <v>488</v>
      </c>
      <c r="B489" s="4">
        <v>44254</v>
      </c>
      <c r="C489" s="1" t="s">
        <v>529</v>
      </c>
      <c r="D489" s="1" t="s">
        <v>80</v>
      </c>
      <c r="E489" s="1" t="s">
        <v>21</v>
      </c>
      <c r="F489" s="2">
        <v>1</v>
      </c>
      <c r="G489" s="5">
        <v>230</v>
      </c>
      <c r="H489" s="24">
        <f t="shared" si="35"/>
        <v>230</v>
      </c>
      <c r="I489" s="7">
        <v>0.05</v>
      </c>
      <c r="J489" s="5">
        <f t="shared" si="36"/>
        <v>11.5</v>
      </c>
      <c r="K489" s="5">
        <f t="shared" si="37"/>
        <v>218.5</v>
      </c>
      <c r="L489" s="5">
        <v>170</v>
      </c>
      <c r="M489" s="5">
        <f t="shared" si="38"/>
        <v>48.5</v>
      </c>
      <c r="N489" s="7">
        <f t="shared" si="39"/>
        <v>0.2219679633867277</v>
      </c>
      <c r="O489" s="1" t="s">
        <v>41</v>
      </c>
      <c r="P489" s="1" t="s">
        <v>31</v>
      </c>
      <c r="Q489" s="1" t="s">
        <v>37</v>
      </c>
      <c r="R489" s="1" t="s">
        <v>56</v>
      </c>
      <c r="S489" s="1" t="s">
        <v>328</v>
      </c>
      <c r="T489" s="15" t="s">
        <v>27</v>
      </c>
    </row>
    <row r="490" spans="1:20" x14ac:dyDescent="0.3">
      <c r="A490" s="14">
        <v>489</v>
      </c>
      <c r="B490" s="4">
        <v>44268</v>
      </c>
      <c r="C490" s="1" t="s">
        <v>533</v>
      </c>
      <c r="D490" s="1" t="s">
        <v>20</v>
      </c>
      <c r="E490" s="1" t="s">
        <v>36</v>
      </c>
      <c r="F490" s="2">
        <v>6</v>
      </c>
      <c r="G490" s="5">
        <v>1110</v>
      </c>
      <c r="H490" s="24">
        <f t="shared" si="35"/>
        <v>6660</v>
      </c>
      <c r="I490" s="7">
        <v>0.05</v>
      </c>
      <c r="J490" s="5">
        <f t="shared" si="36"/>
        <v>333</v>
      </c>
      <c r="K490" s="5">
        <f t="shared" si="37"/>
        <v>6327</v>
      </c>
      <c r="L490" s="5">
        <v>710</v>
      </c>
      <c r="M490" s="5">
        <f t="shared" si="38"/>
        <v>2067</v>
      </c>
      <c r="N490" s="7">
        <f t="shared" si="39"/>
        <v>0.32669511616880037</v>
      </c>
      <c r="O490" s="1" t="s">
        <v>54</v>
      </c>
      <c r="P490" s="1" t="s">
        <v>31</v>
      </c>
      <c r="Q490" s="1" t="s">
        <v>24</v>
      </c>
      <c r="R490" s="1" t="s">
        <v>50</v>
      </c>
      <c r="S490" s="1" t="s">
        <v>329</v>
      </c>
      <c r="T490" s="15" t="s">
        <v>27</v>
      </c>
    </row>
    <row r="491" spans="1:20" x14ac:dyDescent="0.3">
      <c r="A491" s="14">
        <v>490</v>
      </c>
      <c r="B491" s="4">
        <v>44337</v>
      </c>
      <c r="C491" s="1" t="s">
        <v>534</v>
      </c>
      <c r="D491" s="1" t="s">
        <v>20</v>
      </c>
      <c r="E491" s="1" t="s">
        <v>21</v>
      </c>
      <c r="F491" s="2">
        <v>12</v>
      </c>
      <c r="G491" s="5">
        <v>230</v>
      </c>
      <c r="H491" s="24">
        <f t="shared" si="35"/>
        <v>2760</v>
      </c>
      <c r="I491" s="7">
        <v>0.1</v>
      </c>
      <c r="J491" s="5">
        <f t="shared" si="36"/>
        <v>276</v>
      </c>
      <c r="K491" s="5">
        <f t="shared" si="37"/>
        <v>2484</v>
      </c>
      <c r="L491" s="5">
        <v>140</v>
      </c>
      <c r="M491" s="5">
        <f t="shared" si="38"/>
        <v>804</v>
      </c>
      <c r="N491" s="7">
        <f t="shared" si="39"/>
        <v>0.32367149758454106</v>
      </c>
      <c r="O491" s="1" t="s">
        <v>30</v>
      </c>
      <c r="P491" s="1" t="s">
        <v>31</v>
      </c>
      <c r="Q491" s="1" t="s">
        <v>32</v>
      </c>
      <c r="R491" s="1" t="s">
        <v>49</v>
      </c>
      <c r="S491" s="1" t="s">
        <v>124</v>
      </c>
      <c r="T491" s="15" t="s">
        <v>35</v>
      </c>
    </row>
    <row r="492" spans="1:20" x14ac:dyDescent="0.3">
      <c r="A492" s="14">
        <v>491</v>
      </c>
      <c r="B492" s="4">
        <v>44371</v>
      </c>
      <c r="C492" s="1" t="s">
        <v>529</v>
      </c>
      <c r="D492" s="1" t="s">
        <v>82</v>
      </c>
      <c r="E492" s="1" t="s">
        <v>43</v>
      </c>
      <c r="F492" s="2">
        <v>11</v>
      </c>
      <c r="G492" s="5">
        <v>310</v>
      </c>
      <c r="H492" s="24">
        <f t="shared" si="35"/>
        <v>3410</v>
      </c>
      <c r="I492" s="7">
        <v>0</v>
      </c>
      <c r="J492" s="5">
        <f t="shared" si="36"/>
        <v>0</v>
      </c>
      <c r="K492" s="5">
        <f t="shared" si="37"/>
        <v>3410</v>
      </c>
      <c r="L492" s="5">
        <v>230</v>
      </c>
      <c r="M492" s="5">
        <f t="shared" si="38"/>
        <v>880</v>
      </c>
      <c r="N492" s="7">
        <f t="shared" si="39"/>
        <v>0.25806451612903225</v>
      </c>
      <c r="O492" s="1" t="s">
        <v>54</v>
      </c>
      <c r="P492" s="1" t="s">
        <v>31</v>
      </c>
      <c r="Q492" s="1" t="s">
        <v>24</v>
      </c>
      <c r="R492" s="1" t="s">
        <v>38</v>
      </c>
      <c r="S492" s="1" t="s">
        <v>330</v>
      </c>
      <c r="T492" s="15" t="s">
        <v>27</v>
      </c>
    </row>
    <row r="493" spans="1:20" x14ac:dyDescent="0.3">
      <c r="A493" s="14">
        <v>492</v>
      </c>
      <c r="B493" s="4">
        <v>44387</v>
      </c>
      <c r="C493" s="1" t="s">
        <v>529</v>
      </c>
      <c r="D493" s="1" t="s">
        <v>20</v>
      </c>
      <c r="E493" s="1" t="s">
        <v>45</v>
      </c>
      <c r="F493" s="2">
        <v>10</v>
      </c>
      <c r="G493" s="5">
        <v>210</v>
      </c>
      <c r="H493" s="24">
        <f t="shared" si="35"/>
        <v>2100</v>
      </c>
      <c r="I493" s="7">
        <v>0.02</v>
      </c>
      <c r="J493" s="5">
        <f t="shared" si="36"/>
        <v>42</v>
      </c>
      <c r="K493" s="5">
        <f t="shared" si="37"/>
        <v>2058</v>
      </c>
      <c r="L493" s="5">
        <v>120</v>
      </c>
      <c r="M493" s="5">
        <f t="shared" si="38"/>
        <v>858</v>
      </c>
      <c r="N493" s="7">
        <f t="shared" si="39"/>
        <v>0.41690962099125367</v>
      </c>
      <c r="O493" s="1" t="s">
        <v>54</v>
      </c>
      <c r="P493" s="1" t="s">
        <v>31</v>
      </c>
      <c r="Q493" s="1" t="s">
        <v>24</v>
      </c>
      <c r="R493" s="1" t="s">
        <v>66</v>
      </c>
      <c r="S493" s="1" t="s">
        <v>244</v>
      </c>
      <c r="T493" s="15" t="s">
        <v>53</v>
      </c>
    </row>
    <row r="494" spans="1:20" x14ac:dyDescent="0.3">
      <c r="A494" s="14">
        <v>493</v>
      </c>
      <c r="B494" s="4">
        <v>44347</v>
      </c>
      <c r="C494" s="1" t="s">
        <v>529</v>
      </c>
      <c r="D494" s="1" t="s">
        <v>82</v>
      </c>
      <c r="E494" s="1" t="s">
        <v>40</v>
      </c>
      <c r="F494" s="2">
        <v>4</v>
      </c>
      <c r="G494" s="5">
        <v>1560</v>
      </c>
      <c r="H494" s="24">
        <f t="shared" si="35"/>
        <v>6240</v>
      </c>
      <c r="I494" s="7">
        <v>0.1</v>
      </c>
      <c r="J494" s="5">
        <f t="shared" si="36"/>
        <v>624</v>
      </c>
      <c r="K494" s="5">
        <f t="shared" si="37"/>
        <v>5616</v>
      </c>
      <c r="L494" s="5">
        <v>1210</v>
      </c>
      <c r="M494" s="5">
        <f t="shared" si="38"/>
        <v>776</v>
      </c>
      <c r="N494" s="7">
        <f t="shared" si="39"/>
        <v>0.13817663817663817</v>
      </c>
      <c r="O494" s="1" t="s">
        <v>41</v>
      </c>
      <c r="P494" s="1" t="s">
        <v>31</v>
      </c>
      <c r="Q494" s="1" t="s">
        <v>48</v>
      </c>
      <c r="R494" s="1" t="s">
        <v>25</v>
      </c>
      <c r="S494" s="1" t="s">
        <v>55</v>
      </c>
      <c r="T494" s="15" t="s">
        <v>53</v>
      </c>
    </row>
    <row r="495" spans="1:20" x14ac:dyDescent="0.3">
      <c r="A495" s="14">
        <v>494</v>
      </c>
      <c r="B495" s="4">
        <v>44309</v>
      </c>
      <c r="C495" s="1" t="s">
        <v>533</v>
      </c>
      <c r="D495" s="1" t="s">
        <v>82</v>
      </c>
      <c r="E495" s="1" t="s">
        <v>43</v>
      </c>
      <c r="F495" s="2">
        <v>2</v>
      </c>
      <c r="G495" s="5">
        <v>290</v>
      </c>
      <c r="H495" s="24">
        <f t="shared" si="35"/>
        <v>580</v>
      </c>
      <c r="I495" s="7">
        <v>0</v>
      </c>
      <c r="J495" s="5">
        <f t="shared" si="36"/>
        <v>0</v>
      </c>
      <c r="K495" s="5">
        <f t="shared" si="37"/>
        <v>580</v>
      </c>
      <c r="L495" s="5">
        <v>170</v>
      </c>
      <c r="M495" s="5">
        <f t="shared" si="38"/>
        <v>240</v>
      </c>
      <c r="N495" s="7">
        <f t="shared" si="39"/>
        <v>0.41379310344827586</v>
      </c>
      <c r="O495" s="1" t="s">
        <v>30</v>
      </c>
      <c r="P495" s="1" t="s">
        <v>31</v>
      </c>
      <c r="Q495" s="1" t="s">
        <v>24</v>
      </c>
      <c r="R495" s="1" t="s">
        <v>50</v>
      </c>
      <c r="S495" s="1" t="s">
        <v>331</v>
      </c>
      <c r="T495" s="15" t="s">
        <v>53</v>
      </c>
    </row>
    <row r="496" spans="1:20" x14ac:dyDescent="0.3">
      <c r="A496" s="14">
        <v>495</v>
      </c>
      <c r="B496" s="4">
        <v>44254</v>
      </c>
      <c r="C496" s="1" t="s">
        <v>530</v>
      </c>
      <c r="D496" s="1" t="s">
        <v>20</v>
      </c>
      <c r="E496" s="1" t="s">
        <v>29</v>
      </c>
      <c r="F496" s="2">
        <v>5</v>
      </c>
      <c r="G496" s="5">
        <v>2310</v>
      </c>
      <c r="H496" s="24">
        <f t="shared" si="35"/>
        <v>11550</v>
      </c>
      <c r="I496" s="7">
        <v>0.05</v>
      </c>
      <c r="J496" s="5">
        <f t="shared" si="36"/>
        <v>577.5</v>
      </c>
      <c r="K496" s="5">
        <f t="shared" si="37"/>
        <v>10972.5</v>
      </c>
      <c r="L496" s="5">
        <v>1550</v>
      </c>
      <c r="M496" s="5">
        <f t="shared" si="38"/>
        <v>3222.5</v>
      </c>
      <c r="N496" s="7">
        <f t="shared" si="39"/>
        <v>0.29368876737297789</v>
      </c>
      <c r="O496" s="1" t="s">
        <v>30</v>
      </c>
      <c r="P496" s="1" t="s">
        <v>31</v>
      </c>
      <c r="Q496" s="1" t="s">
        <v>37</v>
      </c>
      <c r="R496" s="1" t="s">
        <v>25</v>
      </c>
      <c r="S496" s="1" t="s">
        <v>185</v>
      </c>
      <c r="T496" s="15" t="s">
        <v>61</v>
      </c>
    </row>
    <row r="497" spans="1:20" x14ac:dyDescent="0.3">
      <c r="A497" s="14">
        <v>496</v>
      </c>
      <c r="B497" s="4">
        <v>44448</v>
      </c>
      <c r="C497" s="1" t="s">
        <v>529</v>
      </c>
      <c r="D497" s="1" t="s">
        <v>28</v>
      </c>
      <c r="E497" s="1" t="s">
        <v>29</v>
      </c>
      <c r="F497" s="2">
        <v>7</v>
      </c>
      <c r="G497" s="5">
        <v>2340</v>
      </c>
      <c r="H497" s="24">
        <f t="shared" si="35"/>
        <v>16380</v>
      </c>
      <c r="I497" s="7">
        <v>0.1</v>
      </c>
      <c r="J497" s="5">
        <f t="shared" si="36"/>
        <v>1638</v>
      </c>
      <c r="K497" s="5">
        <f t="shared" si="37"/>
        <v>14742</v>
      </c>
      <c r="L497" s="5">
        <v>1460</v>
      </c>
      <c r="M497" s="5">
        <f t="shared" si="38"/>
        <v>4522</v>
      </c>
      <c r="N497" s="7">
        <f t="shared" si="39"/>
        <v>0.30674264007597341</v>
      </c>
      <c r="O497" s="1" t="s">
        <v>54</v>
      </c>
      <c r="P497" s="1" t="s">
        <v>31</v>
      </c>
      <c r="Q497" s="1" t="s">
        <v>24</v>
      </c>
      <c r="R497" s="1" t="s">
        <v>33</v>
      </c>
      <c r="S497" s="1" t="s">
        <v>133</v>
      </c>
      <c r="T497" s="15" t="s">
        <v>35</v>
      </c>
    </row>
    <row r="498" spans="1:20" x14ac:dyDescent="0.3">
      <c r="A498" s="14">
        <v>497</v>
      </c>
      <c r="B498" s="4">
        <v>44239</v>
      </c>
      <c r="C498" s="1" t="s">
        <v>533</v>
      </c>
      <c r="D498" s="1" t="s">
        <v>20</v>
      </c>
      <c r="E498" s="1" t="s">
        <v>43</v>
      </c>
      <c r="F498" s="2">
        <v>12</v>
      </c>
      <c r="G498" s="5">
        <v>330</v>
      </c>
      <c r="H498" s="24">
        <f t="shared" si="35"/>
        <v>3960</v>
      </c>
      <c r="I498" s="7">
        <v>0</v>
      </c>
      <c r="J498" s="5">
        <f t="shared" si="36"/>
        <v>0</v>
      </c>
      <c r="K498" s="5">
        <f t="shared" si="37"/>
        <v>3960</v>
      </c>
      <c r="L498" s="5">
        <v>260</v>
      </c>
      <c r="M498" s="5">
        <f t="shared" si="38"/>
        <v>840</v>
      </c>
      <c r="N498" s="7">
        <f t="shared" si="39"/>
        <v>0.21212121212121213</v>
      </c>
      <c r="O498" s="1" t="s">
        <v>22</v>
      </c>
      <c r="P498" s="1" t="s">
        <v>31</v>
      </c>
      <c r="Q498" s="1" t="s">
        <v>24</v>
      </c>
      <c r="R498" s="1" t="s">
        <v>66</v>
      </c>
      <c r="S498" s="1" t="s">
        <v>332</v>
      </c>
      <c r="T498" s="15" t="s">
        <v>35</v>
      </c>
    </row>
    <row r="499" spans="1:20" x14ac:dyDescent="0.3">
      <c r="A499" s="14">
        <v>498</v>
      </c>
      <c r="B499" s="4">
        <v>44518</v>
      </c>
      <c r="C499" s="1" t="s">
        <v>530</v>
      </c>
      <c r="D499" s="1" t="s">
        <v>28</v>
      </c>
      <c r="E499" s="1" t="s">
        <v>43</v>
      </c>
      <c r="F499" s="2">
        <v>11</v>
      </c>
      <c r="G499" s="5">
        <v>340</v>
      </c>
      <c r="H499" s="24">
        <f t="shared" si="35"/>
        <v>3740</v>
      </c>
      <c r="I499" s="7">
        <v>0.1</v>
      </c>
      <c r="J499" s="5">
        <f t="shared" si="36"/>
        <v>374</v>
      </c>
      <c r="K499" s="5">
        <f t="shared" si="37"/>
        <v>3366</v>
      </c>
      <c r="L499" s="5">
        <v>200</v>
      </c>
      <c r="M499" s="5">
        <f t="shared" si="38"/>
        <v>1166</v>
      </c>
      <c r="N499" s="7">
        <f t="shared" si="39"/>
        <v>0.34640522875816993</v>
      </c>
      <c r="O499" s="1" t="s">
        <v>54</v>
      </c>
      <c r="P499" s="1" t="s">
        <v>31</v>
      </c>
      <c r="Q499" s="1" t="s">
        <v>48</v>
      </c>
      <c r="R499" s="1" t="s">
        <v>49</v>
      </c>
      <c r="S499" s="1" t="s">
        <v>333</v>
      </c>
      <c r="T499" s="15" t="s">
        <v>27</v>
      </c>
    </row>
    <row r="500" spans="1:20" x14ac:dyDescent="0.3">
      <c r="A500" s="14">
        <v>499</v>
      </c>
      <c r="B500" s="4">
        <v>44461</v>
      </c>
      <c r="C500" s="1" t="s">
        <v>530</v>
      </c>
      <c r="D500" s="1" t="s">
        <v>20</v>
      </c>
      <c r="E500" s="1" t="s">
        <v>29</v>
      </c>
      <c r="F500" s="2">
        <v>2</v>
      </c>
      <c r="G500" s="5">
        <v>2110</v>
      </c>
      <c r="H500" s="24">
        <f t="shared" si="35"/>
        <v>4220</v>
      </c>
      <c r="I500" s="7">
        <v>0</v>
      </c>
      <c r="J500" s="5">
        <f t="shared" si="36"/>
        <v>0</v>
      </c>
      <c r="K500" s="5">
        <f t="shared" si="37"/>
        <v>4220</v>
      </c>
      <c r="L500" s="5">
        <v>1430</v>
      </c>
      <c r="M500" s="5">
        <f t="shared" si="38"/>
        <v>1360</v>
      </c>
      <c r="N500" s="7">
        <f t="shared" si="39"/>
        <v>0.32227488151658767</v>
      </c>
      <c r="O500" s="1" t="s">
        <v>30</v>
      </c>
      <c r="P500" s="1" t="s">
        <v>31</v>
      </c>
      <c r="Q500" s="1" t="s">
        <v>32</v>
      </c>
      <c r="R500" s="1" t="s">
        <v>49</v>
      </c>
      <c r="S500" s="1" t="s">
        <v>334</v>
      </c>
      <c r="T500" s="15" t="s">
        <v>35</v>
      </c>
    </row>
    <row r="501" spans="1:20" x14ac:dyDescent="0.3">
      <c r="A501" s="14">
        <v>500</v>
      </c>
      <c r="B501" s="4">
        <v>44199</v>
      </c>
      <c r="C501" s="1" t="s">
        <v>530</v>
      </c>
      <c r="D501" s="1" t="s">
        <v>28</v>
      </c>
      <c r="E501" s="1" t="s">
        <v>36</v>
      </c>
      <c r="F501" s="2">
        <v>9</v>
      </c>
      <c r="G501" s="5">
        <v>1140</v>
      </c>
      <c r="H501" s="24">
        <f t="shared" si="35"/>
        <v>10260</v>
      </c>
      <c r="I501" s="7">
        <v>0.15</v>
      </c>
      <c r="J501" s="5">
        <f t="shared" si="36"/>
        <v>1539</v>
      </c>
      <c r="K501" s="5">
        <f t="shared" si="37"/>
        <v>8721</v>
      </c>
      <c r="L501" s="5">
        <v>680</v>
      </c>
      <c r="M501" s="5">
        <f t="shared" si="38"/>
        <v>2601</v>
      </c>
      <c r="N501" s="7">
        <f t="shared" si="39"/>
        <v>0.2982456140350877</v>
      </c>
      <c r="O501" s="1" t="s">
        <v>41</v>
      </c>
      <c r="P501" s="1" t="s">
        <v>31</v>
      </c>
      <c r="Q501" s="1" t="s">
        <v>37</v>
      </c>
      <c r="R501" s="1" t="s">
        <v>38</v>
      </c>
      <c r="S501" s="1" t="s">
        <v>319</v>
      </c>
      <c r="T501" s="15" t="s">
        <v>35</v>
      </c>
    </row>
    <row r="502" spans="1:20" x14ac:dyDescent="0.3">
      <c r="A502" s="14">
        <v>501</v>
      </c>
      <c r="B502" s="4">
        <v>44443</v>
      </c>
      <c r="C502" s="1" t="s">
        <v>534</v>
      </c>
      <c r="D502" s="1" t="s">
        <v>28</v>
      </c>
      <c r="E502" s="1" t="s">
        <v>29</v>
      </c>
      <c r="F502" s="2">
        <v>3</v>
      </c>
      <c r="G502" s="5">
        <v>2150</v>
      </c>
      <c r="H502" s="24">
        <f t="shared" si="35"/>
        <v>6450</v>
      </c>
      <c r="I502" s="7">
        <v>0</v>
      </c>
      <c r="J502" s="5">
        <f t="shared" si="36"/>
        <v>0</v>
      </c>
      <c r="K502" s="5">
        <f t="shared" si="37"/>
        <v>6450</v>
      </c>
      <c r="L502" s="5">
        <v>1690</v>
      </c>
      <c r="M502" s="5">
        <f t="shared" si="38"/>
        <v>1380</v>
      </c>
      <c r="N502" s="7">
        <f t="shared" si="39"/>
        <v>0.21395348837209302</v>
      </c>
      <c r="O502" s="1" t="s">
        <v>30</v>
      </c>
      <c r="P502" s="1" t="s">
        <v>23</v>
      </c>
      <c r="Q502" s="1" t="s">
        <v>48</v>
      </c>
      <c r="R502" s="1" t="s">
        <v>88</v>
      </c>
      <c r="S502" s="1" t="s">
        <v>335</v>
      </c>
      <c r="T502" s="15" t="s">
        <v>53</v>
      </c>
    </row>
    <row r="503" spans="1:20" x14ac:dyDescent="0.3">
      <c r="A503" s="14">
        <v>502</v>
      </c>
      <c r="B503" s="4">
        <v>44438</v>
      </c>
      <c r="C503" s="1" t="s">
        <v>529</v>
      </c>
      <c r="D503" s="1" t="s">
        <v>20</v>
      </c>
      <c r="E503" s="1" t="s">
        <v>36</v>
      </c>
      <c r="F503" s="2">
        <v>8</v>
      </c>
      <c r="G503" s="5">
        <v>1320</v>
      </c>
      <c r="H503" s="24">
        <f t="shared" si="35"/>
        <v>10560</v>
      </c>
      <c r="I503" s="7">
        <v>0.1</v>
      </c>
      <c r="J503" s="5">
        <f t="shared" si="36"/>
        <v>1056</v>
      </c>
      <c r="K503" s="5">
        <f t="shared" si="37"/>
        <v>9504</v>
      </c>
      <c r="L503" s="5">
        <v>800</v>
      </c>
      <c r="M503" s="5">
        <f t="shared" si="38"/>
        <v>3104</v>
      </c>
      <c r="N503" s="7">
        <f t="shared" si="39"/>
        <v>0.32659932659932661</v>
      </c>
      <c r="O503" s="1" t="s">
        <v>30</v>
      </c>
      <c r="P503" s="1" t="s">
        <v>31</v>
      </c>
      <c r="Q503" s="1" t="s">
        <v>24</v>
      </c>
      <c r="R503" s="1" t="s">
        <v>88</v>
      </c>
      <c r="S503" s="1" t="s">
        <v>258</v>
      </c>
      <c r="T503" s="15" t="s">
        <v>53</v>
      </c>
    </row>
    <row r="504" spans="1:20" x14ac:dyDescent="0.3">
      <c r="A504" s="14">
        <v>503</v>
      </c>
      <c r="B504" s="4">
        <v>44416</v>
      </c>
      <c r="C504" s="1" t="s">
        <v>534</v>
      </c>
      <c r="D504" s="1" t="s">
        <v>20</v>
      </c>
      <c r="E504" s="1" t="s">
        <v>29</v>
      </c>
      <c r="F504" s="2">
        <v>1</v>
      </c>
      <c r="G504" s="5">
        <v>2170</v>
      </c>
      <c r="H504" s="24">
        <f t="shared" si="35"/>
        <v>2170</v>
      </c>
      <c r="I504" s="7">
        <v>0</v>
      </c>
      <c r="J504" s="5">
        <f t="shared" si="36"/>
        <v>0</v>
      </c>
      <c r="K504" s="5">
        <f t="shared" si="37"/>
        <v>2170</v>
      </c>
      <c r="L504" s="5">
        <v>1520</v>
      </c>
      <c r="M504" s="5">
        <f t="shared" si="38"/>
        <v>650</v>
      </c>
      <c r="N504" s="7">
        <f t="shared" si="39"/>
        <v>0.29953917050691242</v>
      </c>
      <c r="O504" s="1" t="s">
        <v>54</v>
      </c>
      <c r="P504" s="1" t="s">
        <v>31</v>
      </c>
      <c r="Q504" s="1" t="s">
        <v>48</v>
      </c>
      <c r="R504" s="1" t="s">
        <v>46</v>
      </c>
      <c r="S504" s="1" t="s">
        <v>101</v>
      </c>
      <c r="T504" s="15" t="s">
        <v>61</v>
      </c>
    </row>
    <row r="505" spans="1:20" x14ac:dyDescent="0.3">
      <c r="A505" s="14">
        <v>504</v>
      </c>
      <c r="B505" s="4">
        <v>44446</v>
      </c>
      <c r="C505" s="1" t="s">
        <v>533</v>
      </c>
      <c r="D505" s="1" t="s">
        <v>20</v>
      </c>
      <c r="E505" s="1" t="s">
        <v>36</v>
      </c>
      <c r="F505" s="2">
        <v>7</v>
      </c>
      <c r="G505" s="5">
        <v>1180</v>
      </c>
      <c r="H505" s="24">
        <f t="shared" si="35"/>
        <v>8260</v>
      </c>
      <c r="I505" s="7">
        <v>0.05</v>
      </c>
      <c r="J505" s="5">
        <f t="shared" si="36"/>
        <v>413</v>
      </c>
      <c r="K505" s="5">
        <f t="shared" si="37"/>
        <v>7847</v>
      </c>
      <c r="L505" s="5">
        <v>820</v>
      </c>
      <c r="M505" s="5">
        <f t="shared" si="38"/>
        <v>2107</v>
      </c>
      <c r="N505" s="7">
        <f t="shared" si="39"/>
        <v>0.26851025869759143</v>
      </c>
      <c r="O505" s="1" t="s">
        <v>30</v>
      </c>
      <c r="P505" s="1" t="s">
        <v>76</v>
      </c>
      <c r="Q505" s="1" t="s">
        <v>37</v>
      </c>
      <c r="R505" s="1" t="s">
        <v>33</v>
      </c>
      <c r="S505" s="1" t="s">
        <v>336</v>
      </c>
      <c r="T505" s="15" t="s">
        <v>61</v>
      </c>
    </row>
    <row r="506" spans="1:20" x14ac:dyDescent="0.3">
      <c r="A506" s="14">
        <v>505</v>
      </c>
      <c r="B506" s="4">
        <v>44202</v>
      </c>
      <c r="C506" s="1" t="s">
        <v>533</v>
      </c>
      <c r="D506" s="1" t="s">
        <v>82</v>
      </c>
      <c r="E506" s="1" t="s">
        <v>43</v>
      </c>
      <c r="F506" s="2">
        <v>9</v>
      </c>
      <c r="G506" s="5">
        <v>310</v>
      </c>
      <c r="H506" s="24">
        <f t="shared" si="35"/>
        <v>2790</v>
      </c>
      <c r="I506" s="7">
        <v>0.02</v>
      </c>
      <c r="J506" s="5">
        <f t="shared" si="36"/>
        <v>55.800000000000004</v>
      </c>
      <c r="K506" s="5">
        <f t="shared" si="37"/>
        <v>2734.2</v>
      </c>
      <c r="L506" s="5">
        <v>250</v>
      </c>
      <c r="M506" s="5">
        <f t="shared" si="38"/>
        <v>484.19999999999982</v>
      </c>
      <c r="N506" s="7">
        <f t="shared" si="39"/>
        <v>0.17709019091507566</v>
      </c>
      <c r="O506" s="1" t="s">
        <v>59</v>
      </c>
      <c r="P506" s="1" t="s">
        <v>31</v>
      </c>
      <c r="Q506" s="1" t="s">
        <v>24</v>
      </c>
      <c r="R506" s="1" t="s">
        <v>50</v>
      </c>
      <c r="S506" s="1" t="s">
        <v>194</v>
      </c>
      <c r="T506" s="15" t="s">
        <v>27</v>
      </c>
    </row>
    <row r="507" spans="1:20" x14ac:dyDescent="0.3">
      <c r="A507" s="14">
        <v>506</v>
      </c>
      <c r="B507" s="4">
        <v>44488</v>
      </c>
      <c r="C507" s="1" t="s">
        <v>533</v>
      </c>
      <c r="D507" s="1" t="s">
        <v>28</v>
      </c>
      <c r="E507" s="1" t="s">
        <v>21</v>
      </c>
      <c r="F507" s="2">
        <v>8</v>
      </c>
      <c r="G507" s="5">
        <v>230</v>
      </c>
      <c r="H507" s="24">
        <f t="shared" si="35"/>
        <v>1840</v>
      </c>
      <c r="I507" s="7">
        <v>0.15</v>
      </c>
      <c r="J507" s="5">
        <f t="shared" si="36"/>
        <v>276</v>
      </c>
      <c r="K507" s="5">
        <f t="shared" si="37"/>
        <v>1564</v>
      </c>
      <c r="L507" s="5">
        <v>150</v>
      </c>
      <c r="M507" s="5">
        <f t="shared" si="38"/>
        <v>364</v>
      </c>
      <c r="N507" s="7">
        <f t="shared" si="39"/>
        <v>0.23273657289002558</v>
      </c>
      <c r="O507" s="1" t="s">
        <v>22</v>
      </c>
      <c r="P507" s="1" t="s">
        <v>31</v>
      </c>
      <c r="Q507" s="1" t="s">
        <v>37</v>
      </c>
      <c r="R507" s="1" t="s">
        <v>33</v>
      </c>
      <c r="S507" s="1" t="s">
        <v>337</v>
      </c>
      <c r="T507" s="15" t="s">
        <v>27</v>
      </c>
    </row>
    <row r="508" spans="1:20" x14ac:dyDescent="0.3">
      <c r="A508" s="14">
        <v>507</v>
      </c>
      <c r="B508" s="4">
        <v>44345</v>
      </c>
      <c r="C508" s="1" t="s">
        <v>530</v>
      </c>
      <c r="D508" s="1" t="s">
        <v>28</v>
      </c>
      <c r="E508" s="1" t="s">
        <v>43</v>
      </c>
      <c r="F508" s="2">
        <v>7</v>
      </c>
      <c r="G508" s="5">
        <v>330</v>
      </c>
      <c r="H508" s="24">
        <f t="shared" si="35"/>
        <v>2310</v>
      </c>
      <c r="I508" s="7">
        <v>0.15</v>
      </c>
      <c r="J508" s="5">
        <f t="shared" si="36"/>
        <v>346.5</v>
      </c>
      <c r="K508" s="5">
        <f t="shared" si="37"/>
        <v>1963.5</v>
      </c>
      <c r="L508" s="5">
        <v>210</v>
      </c>
      <c r="M508" s="5">
        <f t="shared" si="38"/>
        <v>493.5</v>
      </c>
      <c r="N508" s="7">
        <f t="shared" si="39"/>
        <v>0.25133689839572193</v>
      </c>
      <c r="O508" s="1" t="s">
        <v>54</v>
      </c>
      <c r="P508" s="1" t="s">
        <v>31</v>
      </c>
      <c r="Q508" s="1" t="s">
        <v>32</v>
      </c>
      <c r="R508" s="1" t="s">
        <v>88</v>
      </c>
      <c r="S508" s="1" t="s">
        <v>338</v>
      </c>
      <c r="T508" s="15" t="s">
        <v>35</v>
      </c>
    </row>
    <row r="509" spans="1:20" x14ac:dyDescent="0.3">
      <c r="A509" s="14">
        <v>508</v>
      </c>
      <c r="B509" s="4">
        <v>44558</v>
      </c>
      <c r="C509" s="1" t="s">
        <v>533</v>
      </c>
      <c r="D509" s="1" t="s">
        <v>28</v>
      </c>
      <c r="E509" s="1" t="s">
        <v>43</v>
      </c>
      <c r="F509" s="2">
        <v>6</v>
      </c>
      <c r="G509" s="5">
        <v>320</v>
      </c>
      <c r="H509" s="24">
        <f t="shared" si="35"/>
        <v>1920</v>
      </c>
      <c r="I509" s="7">
        <v>0</v>
      </c>
      <c r="J509" s="5">
        <f t="shared" si="36"/>
        <v>0</v>
      </c>
      <c r="K509" s="5">
        <f t="shared" si="37"/>
        <v>1920</v>
      </c>
      <c r="L509" s="5">
        <v>240</v>
      </c>
      <c r="M509" s="5">
        <f t="shared" si="38"/>
        <v>480</v>
      </c>
      <c r="N509" s="7">
        <f t="shared" si="39"/>
        <v>0.25</v>
      </c>
      <c r="O509" s="1" t="s">
        <v>41</v>
      </c>
      <c r="P509" s="1" t="s">
        <v>31</v>
      </c>
      <c r="Q509" s="1" t="s">
        <v>48</v>
      </c>
      <c r="R509" s="1" t="s">
        <v>88</v>
      </c>
      <c r="S509" s="1" t="s">
        <v>236</v>
      </c>
      <c r="T509" s="15" t="s">
        <v>53</v>
      </c>
    </row>
    <row r="510" spans="1:20" x14ac:dyDescent="0.3">
      <c r="A510" s="14">
        <v>509</v>
      </c>
      <c r="B510" s="4">
        <v>44315</v>
      </c>
      <c r="C510" s="1" t="s">
        <v>530</v>
      </c>
      <c r="D510" s="1" t="s">
        <v>28</v>
      </c>
      <c r="E510" s="1" t="s">
        <v>21</v>
      </c>
      <c r="F510" s="2">
        <v>6</v>
      </c>
      <c r="G510" s="5">
        <v>200</v>
      </c>
      <c r="H510" s="24">
        <f t="shared" si="35"/>
        <v>1200</v>
      </c>
      <c r="I510" s="7">
        <v>0</v>
      </c>
      <c r="J510" s="5">
        <f t="shared" si="36"/>
        <v>0</v>
      </c>
      <c r="K510" s="5">
        <f t="shared" si="37"/>
        <v>1200</v>
      </c>
      <c r="L510" s="5">
        <v>140</v>
      </c>
      <c r="M510" s="5">
        <f t="shared" si="38"/>
        <v>360</v>
      </c>
      <c r="N510" s="7">
        <f t="shared" si="39"/>
        <v>0.3</v>
      </c>
      <c r="O510" s="1" t="s">
        <v>54</v>
      </c>
      <c r="P510" s="1" t="s">
        <v>31</v>
      </c>
      <c r="Q510" s="1" t="s">
        <v>24</v>
      </c>
      <c r="R510" s="1" t="s">
        <v>46</v>
      </c>
      <c r="S510" s="1" t="s">
        <v>339</v>
      </c>
      <c r="T510" s="15" t="s">
        <v>35</v>
      </c>
    </row>
    <row r="511" spans="1:20" x14ac:dyDescent="0.3">
      <c r="A511" s="14">
        <v>510</v>
      </c>
      <c r="B511" s="4">
        <v>44527</v>
      </c>
      <c r="C511" s="1" t="s">
        <v>529</v>
      </c>
      <c r="D511" s="1" t="s">
        <v>20</v>
      </c>
      <c r="E511" s="1" t="s">
        <v>40</v>
      </c>
      <c r="F511" s="2">
        <v>5</v>
      </c>
      <c r="G511" s="5">
        <v>1360</v>
      </c>
      <c r="H511" s="24">
        <f t="shared" si="35"/>
        <v>6800</v>
      </c>
      <c r="I511" s="7">
        <v>0.02</v>
      </c>
      <c r="J511" s="5">
        <f t="shared" si="36"/>
        <v>136</v>
      </c>
      <c r="K511" s="5">
        <f t="shared" si="37"/>
        <v>6664</v>
      </c>
      <c r="L511" s="5">
        <v>840</v>
      </c>
      <c r="M511" s="5">
        <f t="shared" si="38"/>
        <v>2464</v>
      </c>
      <c r="N511" s="7">
        <f t="shared" si="39"/>
        <v>0.36974789915966388</v>
      </c>
      <c r="O511" s="1" t="s">
        <v>59</v>
      </c>
      <c r="P511" s="1" t="s">
        <v>31</v>
      </c>
      <c r="Q511" s="1" t="s">
        <v>32</v>
      </c>
      <c r="R511" s="1" t="s">
        <v>49</v>
      </c>
      <c r="S511" s="1" t="s">
        <v>340</v>
      </c>
      <c r="T511" s="15" t="s">
        <v>27</v>
      </c>
    </row>
    <row r="512" spans="1:20" x14ac:dyDescent="0.3">
      <c r="A512" s="14">
        <v>511</v>
      </c>
      <c r="B512" s="4">
        <v>44402</v>
      </c>
      <c r="C512" s="1" t="s">
        <v>533</v>
      </c>
      <c r="D512" s="1" t="s">
        <v>20</v>
      </c>
      <c r="E512" s="1" t="s">
        <v>45</v>
      </c>
      <c r="F512" s="2">
        <v>1</v>
      </c>
      <c r="G512" s="5">
        <v>210</v>
      </c>
      <c r="H512" s="24">
        <f t="shared" si="35"/>
        <v>210</v>
      </c>
      <c r="I512" s="7">
        <v>0.05</v>
      </c>
      <c r="J512" s="5">
        <f t="shared" si="36"/>
        <v>10.5</v>
      </c>
      <c r="K512" s="5">
        <f t="shared" si="37"/>
        <v>199.5</v>
      </c>
      <c r="L512" s="5">
        <v>150</v>
      </c>
      <c r="M512" s="5">
        <f t="shared" si="38"/>
        <v>49.5</v>
      </c>
      <c r="N512" s="7">
        <f t="shared" si="39"/>
        <v>0.24812030075187969</v>
      </c>
      <c r="O512" s="1" t="s">
        <v>59</v>
      </c>
      <c r="P512" s="1" t="s">
        <v>31</v>
      </c>
      <c r="Q512" s="1" t="s">
        <v>24</v>
      </c>
      <c r="R512" s="1" t="s">
        <v>49</v>
      </c>
      <c r="S512" s="1" t="s">
        <v>258</v>
      </c>
      <c r="T512" s="15" t="s">
        <v>35</v>
      </c>
    </row>
    <row r="513" spans="1:20" x14ac:dyDescent="0.3">
      <c r="A513" s="14">
        <v>512</v>
      </c>
      <c r="B513" s="4">
        <v>44528</v>
      </c>
      <c r="C513" s="1" t="s">
        <v>533</v>
      </c>
      <c r="D513" s="1" t="s">
        <v>20</v>
      </c>
      <c r="E513" s="1" t="s">
        <v>29</v>
      </c>
      <c r="F513" s="2">
        <v>5</v>
      </c>
      <c r="G513" s="5">
        <v>2270</v>
      </c>
      <c r="H513" s="24">
        <f t="shared" si="35"/>
        <v>11350</v>
      </c>
      <c r="I513" s="7">
        <v>0</v>
      </c>
      <c r="J513" s="5">
        <f t="shared" si="36"/>
        <v>0</v>
      </c>
      <c r="K513" s="5">
        <f t="shared" si="37"/>
        <v>11350</v>
      </c>
      <c r="L513" s="5">
        <v>1430</v>
      </c>
      <c r="M513" s="5">
        <f t="shared" si="38"/>
        <v>4200</v>
      </c>
      <c r="N513" s="7">
        <f t="shared" si="39"/>
        <v>0.37004405286343611</v>
      </c>
      <c r="O513" s="1" t="s">
        <v>22</v>
      </c>
      <c r="P513" s="1" t="s">
        <v>31</v>
      </c>
      <c r="Q513" s="1" t="s">
        <v>24</v>
      </c>
      <c r="R513" s="1" t="s">
        <v>50</v>
      </c>
      <c r="S513" s="1" t="s">
        <v>334</v>
      </c>
      <c r="T513" s="15" t="s">
        <v>61</v>
      </c>
    </row>
    <row r="514" spans="1:20" x14ac:dyDescent="0.3">
      <c r="A514" s="14">
        <v>513</v>
      </c>
      <c r="B514" s="4">
        <v>44528</v>
      </c>
      <c r="C514" s="1" t="s">
        <v>532</v>
      </c>
      <c r="D514" s="1" t="s">
        <v>20</v>
      </c>
      <c r="E514" s="1" t="s">
        <v>21</v>
      </c>
      <c r="F514" s="2">
        <v>11</v>
      </c>
      <c r="G514" s="5">
        <v>220</v>
      </c>
      <c r="H514" s="24">
        <f t="shared" ref="H514:H577" si="40">F514*G514</f>
        <v>2420</v>
      </c>
      <c r="I514" s="7">
        <v>0</v>
      </c>
      <c r="J514" s="5">
        <f t="shared" ref="J514:J577" si="41">H514*I514</f>
        <v>0</v>
      </c>
      <c r="K514" s="5">
        <f t="shared" ref="K514:K577" si="42">H514-J514</f>
        <v>2420</v>
      </c>
      <c r="L514" s="5">
        <v>150</v>
      </c>
      <c r="M514" s="5">
        <f t="shared" ref="M514:M577" si="43">K514-(F514*L514)</f>
        <v>770</v>
      </c>
      <c r="N514" s="7">
        <f t="shared" ref="N514:N577" si="44">IFERROR(M514/K514,0)</f>
        <v>0.31818181818181818</v>
      </c>
      <c r="O514" s="1" t="s">
        <v>59</v>
      </c>
      <c r="P514" s="1" t="s">
        <v>76</v>
      </c>
      <c r="Q514" s="1" t="s">
        <v>48</v>
      </c>
      <c r="R514" s="1" t="s">
        <v>46</v>
      </c>
      <c r="S514" s="1" t="s">
        <v>183</v>
      </c>
      <c r="T514" s="15" t="s">
        <v>27</v>
      </c>
    </row>
    <row r="515" spans="1:20" x14ac:dyDescent="0.3">
      <c r="A515" s="14">
        <v>514</v>
      </c>
      <c r="B515" s="4">
        <v>44531</v>
      </c>
      <c r="C515" s="1" t="s">
        <v>534</v>
      </c>
      <c r="D515" s="1" t="s">
        <v>28</v>
      </c>
      <c r="E515" s="1" t="s">
        <v>40</v>
      </c>
      <c r="F515" s="2">
        <v>12</v>
      </c>
      <c r="G515" s="5">
        <v>1380</v>
      </c>
      <c r="H515" s="24">
        <f t="shared" si="40"/>
        <v>16560</v>
      </c>
      <c r="I515" s="7">
        <v>0.02</v>
      </c>
      <c r="J515" s="5">
        <f t="shared" si="41"/>
        <v>331.2</v>
      </c>
      <c r="K515" s="5">
        <f t="shared" si="42"/>
        <v>16228.8</v>
      </c>
      <c r="L515" s="5">
        <v>940</v>
      </c>
      <c r="M515" s="5">
        <f t="shared" si="43"/>
        <v>4948.7999999999993</v>
      </c>
      <c r="N515" s="7">
        <f t="shared" si="44"/>
        <v>0.30493936705116825</v>
      </c>
      <c r="O515" s="1" t="s">
        <v>54</v>
      </c>
      <c r="P515" s="1" t="s">
        <v>31</v>
      </c>
      <c r="Q515" s="1" t="s">
        <v>32</v>
      </c>
      <c r="R515" s="1" t="s">
        <v>56</v>
      </c>
      <c r="S515" s="1" t="s">
        <v>316</v>
      </c>
      <c r="T515" s="15" t="s">
        <v>35</v>
      </c>
    </row>
    <row r="516" spans="1:20" x14ac:dyDescent="0.3">
      <c r="A516" s="14">
        <v>515</v>
      </c>
      <c r="B516" s="4">
        <v>44436</v>
      </c>
      <c r="C516" s="1" t="s">
        <v>529</v>
      </c>
      <c r="D516" s="1" t="s">
        <v>28</v>
      </c>
      <c r="E516" s="1" t="s">
        <v>43</v>
      </c>
      <c r="F516" s="2">
        <v>7</v>
      </c>
      <c r="G516" s="5">
        <v>300</v>
      </c>
      <c r="H516" s="24">
        <f t="shared" si="40"/>
        <v>2100</v>
      </c>
      <c r="I516" s="7">
        <v>0.1</v>
      </c>
      <c r="J516" s="5">
        <f t="shared" si="41"/>
        <v>210</v>
      </c>
      <c r="K516" s="5">
        <f t="shared" si="42"/>
        <v>1890</v>
      </c>
      <c r="L516" s="5">
        <v>190</v>
      </c>
      <c r="M516" s="5">
        <f t="shared" si="43"/>
        <v>560</v>
      </c>
      <c r="N516" s="7">
        <f t="shared" si="44"/>
        <v>0.29629629629629628</v>
      </c>
      <c r="O516" s="1" t="s">
        <v>59</v>
      </c>
      <c r="P516" s="1" t="s">
        <v>31</v>
      </c>
      <c r="Q516" s="1" t="s">
        <v>37</v>
      </c>
      <c r="R516" s="1" t="s">
        <v>25</v>
      </c>
      <c r="S516" s="1" t="s">
        <v>177</v>
      </c>
      <c r="T516" s="15" t="s">
        <v>27</v>
      </c>
    </row>
    <row r="517" spans="1:20" x14ac:dyDescent="0.3">
      <c r="A517" s="14">
        <v>516</v>
      </c>
      <c r="B517" s="4">
        <v>44256</v>
      </c>
      <c r="C517" s="1" t="s">
        <v>531</v>
      </c>
      <c r="D517" s="1" t="s">
        <v>28</v>
      </c>
      <c r="E517" s="1" t="s">
        <v>43</v>
      </c>
      <c r="F517" s="2">
        <v>2</v>
      </c>
      <c r="G517" s="5">
        <v>330</v>
      </c>
      <c r="H517" s="24">
        <f t="shared" si="40"/>
        <v>660</v>
      </c>
      <c r="I517" s="7">
        <v>0.05</v>
      </c>
      <c r="J517" s="5">
        <f t="shared" si="41"/>
        <v>33</v>
      </c>
      <c r="K517" s="5">
        <f t="shared" si="42"/>
        <v>627</v>
      </c>
      <c r="L517" s="5">
        <v>260</v>
      </c>
      <c r="M517" s="5">
        <f t="shared" si="43"/>
        <v>107</v>
      </c>
      <c r="N517" s="7">
        <f t="shared" si="44"/>
        <v>0.17065390749601275</v>
      </c>
      <c r="O517" s="1" t="s">
        <v>22</v>
      </c>
      <c r="P517" s="1" t="s">
        <v>31</v>
      </c>
      <c r="Q517" s="1" t="s">
        <v>37</v>
      </c>
      <c r="R517" s="1" t="s">
        <v>46</v>
      </c>
      <c r="S517" s="1" t="s">
        <v>156</v>
      </c>
      <c r="T517" s="15" t="s">
        <v>53</v>
      </c>
    </row>
    <row r="518" spans="1:20" x14ac:dyDescent="0.3">
      <c r="A518" s="14">
        <v>517</v>
      </c>
      <c r="B518" s="4">
        <v>44456</v>
      </c>
      <c r="C518" s="1" t="s">
        <v>533</v>
      </c>
      <c r="D518" s="1" t="s">
        <v>28</v>
      </c>
      <c r="E518" s="1" t="s">
        <v>21</v>
      </c>
      <c r="F518" s="2">
        <v>12</v>
      </c>
      <c r="G518" s="5">
        <v>190</v>
      </c>
      <c r="H518" s="24">
        <f t="shared" si="40"/>
        <v>2280</v>
      </c>
      <c r="I518" s="7">
        <v>0.15</v>
      </c>
      <c r="J518" s="5">
        <f t="shared" si="41"/>
        <v>342</v>
      </c>
      <c r="K518" s="5">
        <f t="shared" si="42"/>
        <v>1938</v>
      </c>
      <c r="L518" s="5">
        <v>110</v>
      </c>
      <c r="M518" s="5">
        <f t="shared" si="43"/>
        <v>618</v>
      </c>
      <c r="N518" s="7">
        <f t="shared" si="44"/>
        <v>0.31888544891640869</v>
      </c>
      <c r="O518" s="1" t="s">
        <v>30</v>
      </c>
      <c r="P518" s="1" t="s">
        <v>31</v>
      </c>
      <c r="Q518" s="1" t="s">
        <v>37</v>
      </c>
      <c r="R518" s="1" t="s">
        <v>49</v>
      </c>
      <c r="S518" s="1" t="s">
        <v>79</v>
      </c>
      <c r="T518" s="15" t="s">
        <v>61</v>
      </c>
    </row>
    <row r="519" spans="1:20" x14ac:dyDescent="0.3">
      <c r="A519" s="14">
        <v>518</v>
      </c>
      <c r="B519" s="4">
        <v>44487</v>
      </c>
      <c r="C519" s="1" t="s">
        <v>530</v>
      </c>
      <c r="D519" s="1" t="s">
        <v>28</v>
      </c>
      <c r="E519" s="1" t="s">
        <v>45</v>
      </c>
      <c r="F519" s="2">
        <v>9</v>
      </c>
      <c r="G519" s="5">
        <v>210</v>
      </c>
      <c r="H519" s="24">
        <f t="shared" si="40"/>
        <v>1890</v>
      </c>
      <c r="I519" s="7">
        <v>0</v>
      </c>
      <c r="J519" s="5">
        <f t="shared" si="41"/>
        <v>0</v>
      </c>
      <c r="K519" s="5">
        <f t="shared" si="42"/>
        <v>1890</v>
      </c>
      <c r="L519" s="5">
        <v>160</v>
      </c>
      <c r="M519" s="5">
        <f t="shared" si="43"/>
        <v>450</v>
      </c>
      <c r="N519" s="7">
        <f t="shared" si="44"/>
        <v>0.23809523809523808</v>
      </c>
      <c r="O519" s="1" t="s">
        <v>22</v>
      </c>
      <c r="P519" s="1" t="s">
        <v>31</v>
      </c>
      <c r="Q519" s="1" t="s">
        <v>37</v>
      </c>
      <c r="R519" s="1" t="s">
        <v>49</v>
      </c>
      <c r="S519" s="1" t="s">
        <v>341</v>
      </c>
      <c r="T519" s="15" t="s">
        <v>35</v>
      </c>
    </row>
    <row r="520" spans="1:20" x14ac:dyDescent="0.3">
      <c r="A520" s="14">
        <v>519</v>
      </c>
      <c r="B520" s="4">
        <v>44253</v>
      </c>
      <c r="C520" s="1" t="s">
        <v>533</v>
      </c>
      <c r="D520" s="1" t="s">
        <v>20</v>
      </c>
      <c r="E520" s="1" t="s">
        <v>29</v>
      </c>
      <c r="F520" s="2">
        <v>12</v>
      </c>
      <c r="G520" s="5">
        <v>2370</v>
      </c>
      <c r="H520" s="24">
        <f t="shared" si="40"/>
        <v>28440</v>
      </c>
      <c r="I520" s="7">
        <v>0</v>
      </c>
      <c r="J520" s="5">
        <f t="shared" si="41"/>
        <v>0</v>
      </c>
      <c r="K520" s="5">
        <f t="shared" si="42"/>
        <v>28440</v>
      </c>
      <c r="L520" s="5">
        <v>1680</v>
      </c>
      <c r="M520" s="5">
        <f t="shared" si="43"/>
        <v>8280</v>
      </c>
      <c r="N520" s="7">
        <f t="shared" si="44"/>
        <v>0.29113924050632911</v>
      </c>
      <c r="O520" s="1" t="s">
        <v>41</v>
      </c>
      <c r="P520" s="1" t="s">
        <v>31</v>
      </c>
      <c r="Q520" s="1" t="s">
        <v>37</v>
      </c>
      <c r="R520" s="1" t="s">
        <v>63</v>
      </c>
      <c r="S520" s="1" t="s">
        <v>267</v>
      </c>
      <c r="T520" s="15" t="s">
        <v>27</v>
      </c>
    </row>
    <row r="521" spans="1:20" x14ac:dyDescent="0.3">
      <c r="A521" s="14">
        <v>520</v>
      </c>
      <c r="B521" s="4">
        <v>44323</v>
      </c>
      <c r="C521" s="1" t="s">
        <v>529</v>
      </c>
      <c r="D521" s="1" t="s">
        <v>28</v>
      </c>
      <c r="E521" s="1" t="s">
        <v>45</v>
      </c>
      <c r="F521" s="2">
        <v>10</v>
      </c>
      <c r="G521" s="5">
        <v>220</v>
      </c>
      <c r="H521" s="24">
        <f t="shared" si="40"/>
        <v>2200</v>
      </c>
      <c r="I521" s="7">
        <v>0.02</v>
      </c>
      <c r="J521" s="5">
        <f t="shared" si="41"/>
        <v>44</v>
      </c>
      <c r="K521" s="5">
        <f t="shared" si="42"/>
        <v>2156</v>
      </c>
      <c r="L521" s="5">
        <v>150</v>
      </c>
      <c r="M521" s="5">
        <f t="shared" si="43"/>
        <v>656</v>
      </c>
      <c r="N521" s="7">
        <f t="shared" si="44"/>
        <v>0.30426716141001853</v>
      </c>
      <c r="O521" s="1" t="s">
        <v>59</v>
      </c>
      <c r="P521" s="1" t="s">
        <v>31</v>
      </c>
      <c r="Q521" s="1" t="s">
        <v>48</v>
      </c>
      <c r="R521" s="1" t="s">
        <v>49</v>
      </c>
      <c r="S521" s="1" t="s">
        <v>153</v>
      </c>
      <c r="T521" s="15" t="s">
        <v>27</v>
      </c>
    </row>
    <row r="522" spans="1:20" x14ac:dyDescent="0.3">
      <c r="A522" s="14">
        <v>521</v>
      </c>
      <c r="B522" s="4">
        <v>44325</v>
      </c>
      <c r="C522" s="1" t="s">
        <v>529</v>
      </c>
      <c r="D522" s="1" t="s">
        <v>20</v>
      </c>
      <c r="E522" s="1" t="s">
        <v>29</v>
      </c>
      <c r="F522" s="2">
        <v>10</v>
      </c>
      <c r="G522" s="5">
        <v>2090</v>
      </c>
      <c r="H522" s="24">
        <f t="shared" si="40"/>
        <v>20900</v>
      </c>
      <c r="I522" s="7">
        <v>0.02</v>
      </c>
      <c r="J522" s="5">
        <f t="shared" si="41"/>
        <v>418</v>
      </c>
      <c r="K522" s="5">
        <f t="shared" si="42"/>
        <v>20482</v>
      </c>
      <c r="L522" s="5">
        <v>1390</v>
      </c>
      <c r="M522" s="5">
        <f t="shared" si="43"/>
        <v>6582</v>
      </c>
      <c r="N522" s="7">
        <f t="shared" si="44"/>
        <v>0.3213553363929304</v>
      </c>
      <c r="O522" s="1" t="s">
        <v>59</v>
      </c>
      <c r="P522" s="1" t="s">
        <v>31</v>
      </c>
      <c r="Q522" s="1" t="s">
        <v>37</v>
      </c>
      <c r="R522" s="1" t="s">
        <v>50</v>
      </c>
      <c r="S522" s="1" t="s">
        <v>263</v>
      </c>
      <c r="T522" s="15" t="s">
        <v>35</v>
      </c>
    </row>
    <row r="523" spans="1:20" x14ac:dyDescent="0.3">
      <c r="A523" s="14">
        <v>522</v>
      </c>
      <c r="B523" s="4">
        <v>44465</v>
      </c>
      <c r="C523" s="1" t="s">
        <v>534</v>
      </c>
      <c r="D523" s="1" t="s">
        <v>82</v>
      </c>
      <c r="E523" s="1" t="s">
        <v>21</v>
      </c>
      <c r="F523" s="2">
        <v>4</v>
      </c>
      <c r="G523" s="5">
        <v>230</v>
      </c>
      <c r="H523" s="24">
        <f t="shared" si="40"/>
        <v>920</v>
      </c>
      <c r="I523" s="7">
        <v>0</v>
      </c>
      <c r="J523" s="5">
        <f t="shared" si="41"/>
        <v>0</v>
      </c>
      <c r="K523" s="5">
        <f t="shared" si="42"/>
        <v>920</v>
      </c>
      <c r="L523" s="5">
        <v>160</v>
      </c>
      <c r="M523" s="5">
        <f t="shared" si="43"/>
        <v>280</v>
      </c>
      <c r="N523" s="7">
        <f t="shared" si="44"/>
        <v>0.30434782608695654</v>
      </c>
      <c r="O523" s="1" t="s">
        <v>59</v>
      </c>
      <c r="P523" s="1" t="s">
        <v>31</v>
      </c>
      <c r="Q523" s="1" t="s">
        <v>37</v>
      </c>
      <c r="R523" s="1" t="s">
        <v>49</v>
      </c>
      <c r="S523" s="1" t="s">
        <v>342</v>
      </c>
      <c r="T523" s="15" t="s">
        <v>53</v>
      </c>
    </row>
    <row r="524" spans="1:20" x14ac:dyDescent="0.3">
      <c r="A524" s="14">
        <v>523</v>
      </c>
      <c r="B524" s="4">
        <v>44541</v>
      </c>
      <c r="C524" s="1" t="s">
        <v>533</v>
      </c>
      <c r="D524" s="1" t="s">
        <v>82</v>
      </c>
      <c r="E524" s="1" t="s">
        <v>29</v>
      </c>
      <c r="F524" s="2">
        <v>1</v>
      </c>
      <c r="G524" s="5">
        <v>2330</v>
      </c>
      <c r="H524" s="24">
        <f t="shared" si="40"/>
        <v>2330</v>
      </c>
      <c r="I524" s="7">
        <v>0</v>
      </c>
      <c r="J524" s="5">
        <f t="shared" si="41"/>
        <v>0</v>
      </c>
      <c r="K524" s="5">
        <f t="shared" si="42"/>
        <v>2330</v>
      </c>
      <c r="L524" s="5">
        <v>1840</v>
      </c>
      <c r="M524" s="5">
        <f t="shared" si="43"/>
        <v>490</v>
      </c>
      <c r="N524" s="7">
        <f t="shared" si="44"/>
        <v>0.21030042918454936</v>
      </c>
      <c r="O524" s="1" t="s">
        <v>59</v>
      </c>
      <c r="P524" s="1" t="s">
        <v>31</v>
      </c>
      <c r="Q524" s="1" t="s">
        <v>48</v>
      </c>
      <c r="R524" s="1" t="s">
        <v>66</v>
      </c>
      <c r="S524" s="1" t="s">
        <v>343</v>
      </c>
      <c r="T524" s="15" t="s">
        <v>35</v>
      </c>
    </row>
    <row r="525" spans="1:20" x14ac:dyDescent="0.3">
      <c r="A525" s="14">
        <v>524</v>
      </c>
      <c r="B525" s="4">
        <v>44327</v>
      </c>
      <c r="C525" s="1" t="s">
        <v>529</v>
      </c>
      <c r="D525" s="1" t="s">
        <v>20</v>
      </c>
      <c r="E525" s="1" t="s">
        <v>36</v>
      </c>
      <c r="F525" s="2">
        <v>3</v>
      </c>
      <c r="G525" s="5">
        <v>1300</v>
      </c>
      <c r="H525" s="24">
        <f t="shared" si="40"/>
        <v>3900</v>
      </c>
      <c r="I525" s="7">
        <v>0</v>
      </c>
      <c r="J525" s="5">
        <f t="shared" si="41"/>
        <v>0</v>
      </c>
      <c r="K525" s="5">
        <f t="shared" si="42"/>
        <v>3900</v>
      </c>
      <c r="L525" s="5">
        <v>970</v>
      </c>
      <c r="M525" s="5">
        <f t="shared" si="43"/>
        <v>990</v>
      </c>
      <c r="N525" s="7">
        <f t="shared" si="44"/>
        <v>0.25384615384615383</v>
      </c>
      <c r="O525" s="1" t="s">
        <v>59</v>
      </c>
      <c r="P525" s="1" t="s">
        <v>31</v>
      </c>
      <c r="Q525" s="1" t="s">
        <v>32</v>
      </c>
      <c r="R525" s="1" t="s">
        <v>46</v>
      </c>
      <c r="S525" s="1" t="s">
        <v>344</v>
      </c>
      <c r="T525" s="15" t="s">
        <v>27</v>
      </c>
    </row>
    <row r="526" spans="1:20" x14ac:dyDescent="0.3">
      <c r="A526" s="14">
        <v>525</v>
      </c>
      <c r="B526" s="4">
        <v>44508</v>
      </c>
      <c r="C526" s="1" t="s">
        <v>533</v>
      </c>
      <c r="D526" s="1" t="s">
        <v>28</v>
      </c>
      <c r="E526" s="1" t="s">
        <v>45</v>
      </c>
      <c r="F526" s="2">
        <v>2</v>
      </c>
      <c r="G526" s="5">
        <v>230</v>
      </c>
      <c r="H526" s="24">
        <f t="shared" si="40"/>
        <v>460</v>
      </c>
      <c r="I526" s="7">
        <v>0</v>
      </c>
      <c r="J526" s="5">
        <f t="shared" si="41"/>
        <v>0</v>
      </c>
      <c r="K526" s="5">
        <f t="shared" si="42"/>
        <v>460</v>
      </c>
      <c r="L526" s="5">
        <v>180</v>
      </c>
      <c r="M526" s="5">
        <f t="shared" si="43"/>
        <v>100</v>
      </c>
      <c r="N526" s="7">
        <f t="shared" si="44"/>
        <v>0.21739130434782608</v>
      </c>
      <c r="O526" s="1" t="s">
        <v>41</v>
      </c>
      <c r="P526" s="1" t="s">
        <v>31</v>
      </c>
      <c r="Q526" s="1" t="s">
        <v>32</v>
      </c>
      <c r="R526" s="1" t="s">
        <v>46</v>
      </c>
      <c r="S526" s="1" t="s">
        <v>259</v>
      </c>
      <c r="T526" s="15" t="s">
        <v>53</v>
      </c>
    </row>
    <row r="527" spans="1:20" x14ac:dyDescent="0.3">
      <c r="A527" s="14">
        <v>526</v>
      </c>
      <c r="B527" s="4">
        <v>44207</v>
      </c>
      <c r="C527" s="1" t="s">
        <v>533</v>
      </c>
      <c r="D527" s="1" t="s">
        <v>80</v>
      </c>
      <c r="E527" s="1" t="s">
        <v>21</v>
      </c>
      <c r="F527" s="2">
        <v>4</v>
      </c>
      <c r="G527" s="5">
        <v>200</v>
      </c>
      <c r="H527" s="24">
        <f t="shared" si="40"/>
        <v>800</v>
      </c>
      <c r="I527" s="7">
        <v>0.02</v>
      </c>
      <c r="J527" s="5">
        <f t="shared" si="41"/>
        <v>16</v>
      </c>
      <c r="K527" s="5">
        <f t="shared" si="42"/>
        <v>784</v>
      </c>
      <c r="L527" s="5">
        <v>120</v>
      </c>
      <c r="M527" s="5">
        <f t="shared" si="43"/>
        <v>304</v>
      </c>
      <c r="N527" s="7">
        <f t="shared" si="44"/>
        <v>0.38775510204081631</v>
      </c>
      <c r="O527" s="1" t="s">
        <v>41</v>
      </c>
      <c r="P527" s="1" t="s">
        <v>76</v>
      </c>
      <c r="Q527" s="1" t="s">
        <v>24</v>
      </c>
      <c r="R527" s="1" t="s">
        <v>50</v>
      </c>
      <c r="S527" s="1" t="s">
        <v>345</v>
      </c>
      <c r="T527" s="15" t="s">
        <v>53</v>
      </c>
    </row>
    <row r="528" spans="1:20" x14ac:dyDescent="0.3">
      <c r="A528" s="14">
        <v>527</v>
      </c>
      <c r="B528" s="4">
        <v>44270</v>
      </c>
      <c r="C528" s="1" t="s">
        <v>529</v>
      </c>
      <c r="D528" s="1" t="s">
        <v>20</v>
      </c>
      <c r="E528" s="1" t="s">
        <v>21</v>
      </c>
      <c r="F528" s="2">
        <v>3</v>
      </c>
      <c r="G528" s="5">
        <v>210</v>
      </c>
      <c r="H528" s="24">
        <f t="shared" si="40"/>
        <v>630</v>
      </c>
      <c r="I528" s="7">
        <v>0.1</v>
      </c>
      <c r="J528" s="5">
        <f t="shared" si="41"/>
        <v>63</v>
      </c>
      <c r="K528" s="5">
        <f t="shared" si="42"/>
        <v>567</v>
      </c>
      <c r="L528" s="5">
        <v>170</v>
      </c>
      <c r="M528" s="5">
        <f t="shared" si="43"/>
        <v>57</v>
      </c>
      <c r="N528" s="7">
        <f t="shared" si="44"/>
        <v>0.10052910052910052</v>
      </c>
      <c r="O528" s="1" t="s">
        <v>54</v>
      </c>
      <c r="P528" s="1" t="s">
        <v>31</v>
      </c>
      <c r="Q528" s="1" t="s">
        <v>24</v>
      </c>
      <c r="R528" s="1" t="s">
        <v>38</v>
      </c>
      <c r="S528" s="1" t="s">
        <v>148</v>
      </c>
      <c r="T528" s="15" t="s">
        <v>53</v>
      </c>
    </row>
    <row r="529" spans="1:20" x14ac:dyDescent="0.3">
      <c r="A529" s="14">
        <v>528</v>
      </c>
      <c r="B529" s="4">
        <v>44300</v>
      </c>
      <c r="C529" s="1" t="s">
        <v>533</v>
      </c>
      <c r="D529" s="1" t="s">
        <v>80</v>
      </c>
      <c r="E529" s="1" t="s">
        <v>45</v>
      </c>
      <c r="F529" s="2">
        <v>11</v>
      </c>
      <c r="G529" s="5">
        <v>180</v>
      </c>
      <c r="H529" s="24">
        <f t="shared" si="40"/>
        <v>1980</v>
      </c>
      <c r="I529" s="7">
        <v>0</v>
      </c>
      <c r="J529" s="5">
        <f t="shared" si="41"/>
        <v>0</v>
      </c>
      <c r="K529" s="5">
        <f t="shared" si="42"/>
        <v>1980</v>
      </c>
      <c r="L529" s="5">
        <v>130</v>
      </c>
      <c r="M529" s="5">
        <f t="shared" si="43"/>
        <v>550</v>
      </c>
      <c r="N529" s="7">
        <f t="shared" si="44"/>
        <v>0.27777777777777779</v>
      </c>
      <c r="O529" s="1" t="s">
        <v>22</v>
      </c>
      <c r="P529" s="1" t="s">
        <v>31</v>
      </c>
      <c r="Q529" s="1" t="s">
        <v>37</v>
      </c>
      <c r="R529" s="1" t="s">
        <v>33</v>
      </c>
      <c r="S529" s="1" t="s">
        <v>346</v>
      </c>
      <c r="T529" s="15" t="s">
        <v>61</v>
      </c>
    </row>
    <row r="530" spans="1:20" x14ac:dyDescent="0.3">
      <c r="A530" s="14">
        <v>529</v>
      </c>
      <c r="B530" s="4">
        <v>44424</v>
      </c>
      <c r="C530" s="1" t="s">
        <v>531</v>
      </c>
      <c r="D530" s="1" t="s">
        <v>80</v>
      </c>
      <c r="E530" s="1" t="s">
        <v>36</v>
      </c>
      <c r="F530" s="2">
        <v>11</v>
      </c>
      <c r="G530" s="5">
        <v>1150</v>
      </c>
      <c r="H530" s="24">
        <f t="shared" si="40"/>
        <v>12650</v>
      </c>
      <c r="I530" s="7">
        <v>0</v>
      </c>
      <c r="J530" s="5">
        <f t="shared" si="41"/>
        <v>0</v>
      </c>
      <c r="K530" s="5">
        <f t="shared" si="42"/>
        <v>12650</v>
      </c>
      <c r="L530" s="5">
        <v>900</v>
      </c>
      <c r="M530" s="5">
        <f t="shared" si="43"/>
        <v>2750</v>
      </c>
      <c r="N530" s="7">
        <f t="shared" si="44"/>
        <v>0.21739130434782608</v>
      </c>
      <c r="O530" s="1" t="s">
        <v>22</v>
      </c>
      <c r="P530" s="1" t="s">
        <v>31</v>
      </c>
      <c r="Q530" s="1" t="s">
        <v>48</v>
      </c>
      <c r="R530" s="1" t="s">
        <v>56</v>
      </c>
      <c r="S530" s="1" t="s">
        <v>78</v>
      </c>
      <c r="T530" s="15" t="s">
        <v>53</v>
      </c>
    </row>
    <row r="531" spans="1:20" x14ac:dyDescent="0.3">
      <c r="A531" s="14">
        <v>530</v>
      </c>
      <c r="B531" s="4">
        <v>44247</v>
      </c>
      <c r="C531" s="1" t="s">
        <v>529</v>
      </c>
      <c r="D531" s="1" t="s">
        <v>28</v>
      </c>
      <c r="E531" s="1" t="s">
        <v>40</v>
      </c>
      <c r="F531" s="2">
        <v>3</v>
      </c>
      <c r="G531" s="5">
        <v>1580</v>
      </c>
      <c r="H531" s="24">
        <f t="shared" si="40"/>
        <v>4740</v>
      </c>
      <c r="I531" s="7">
        <v>0</v>
      </c>
      <c r="J531" s="5">
        <f t="shared" si="41"/>
        <v>0</v>
      </c>
      <c r="K531" s="5">
        <f t="shared" si="42"/>
        <v>4740</v>
      </c>
      <c r="L531" s="5">
        <v>1110</v>
      </c>
      <c r="M531" s="5">
        <f t="shared" si="43"/>
        <v>1410</v>
      </c>
      <c r="N531" s="7">
        <f t="shared" si="44"/>
        <v>0.29746835443037972</v>
      </c>
      <c r="O531" s="1" t="s">
        <v>41</v>
      </c>
      <c r="P531" s="1" t="s">
        <v>31</v>
      </c>
      <c r="Q531" s="1" t="s">
        <v>24</v>
      </c>
      <c r="R531" s="1" t="s">
        <v>50</v>
      </c>
      <c r="S531" s="1" t="s">
        <v>156</v>
      </c>
      <c r="T531" s="15" t="s">
        <v>27</v>
      </c>
    </row>
    <row r="532" spans="1:20" x14ac:dyDescent="0.3">
      <c r="A532" s="14">
        <v>531</v>
      </c>
      <c r="B532" s="4">
        <v>44224</v>
      </c>
      <c r="C532" s="1" t="s">
        <v>529</v>
      </c>
      <c r="D532" s="1" t="s">
        <v>20</v>
      </c>
      <c r="E532" s="1" t="s">
        <v>36</v>
      </c>
      <c r="F532" s="2">
        <v>10</v>
      </c>
      <c r="G532" s="5">
        <v>1290</v>
      </c>
      <c r="H532" s="24">
        <f t="shared" si="40"/>
        <v>12900</v>
      </c>
      <c r="I532" s="7">
        <v>0.1</v>
      </c>
      <c r="J532" s="5">
        <f t="shared" si="41"/>
        <v>1290</v>
      </c>
      <c r="K532" s="5">
        <f t="shared" si="42"/>
        <v>11610</v>
      </c>
      <c r="L532" s="5">
        <v>800</v>
      </c>
      <c r="M532" s="5">
        <f t="shared" si="43"/>
        <v>3610</v>
      </c>
      <c r="N532" s="7">
        <f t="shared" si="44"/>
        <v>0.31093884582256676</v>
      </c>
      <c r="O532" s="1" t="s">
        <v>30</v>
      </c>
      <c r="P532" s="1" t="s">
        <v>31</v>
      </c>
      <c r="Q532" s="1" t="s">
        <v>37</v>
      </c>
      <c r="R532" s="1" t="s">
        <v>49</v>
      </c>
      <c r="S532" s="1" t="s">
        <v>347</v>
      </c>
      <c r="T532" s="15" t="s">
        <v>27</v>
      </c>
    </row>
    <row r="533" spans="1:20" x14ac:dyDescent="0.3">
      <c r="A533" s="14">
        <v>532</v>
      </c>
      <c r="B533" s="4">
        <v>44524</v>
      </c>
      <c r="C533" s="1" t="s">
        <v>533</v>
      </c>
      <c r="D533" s="1" t="s">
        <v>20</v>
      </c>
      <c r="E533" s="1" t="s">
        <v>29</v>
      </c>
      <c r="F533" s="2">
        <v>6</v>
      </c>
      <c r="G533" s="5">
        <v>2240</v>
      </c>
      <c r="H533" s="24">
        <f t="shared" si="40"/>
        <v>13440</v>
      </c>
      <c r="I533" s="7">
        <v>0</v>
      </c>
      <c r="J533" s="5">
        <f t="shared" si="41"/>
        <v>0</v>
      </c>
      <c r="K533" s="5">
        <f t="shared" si="42"/>
        <v>13440</v>
      </c>
      <c r="L533" s="5">
        <v>1440</v>
      </c>
      <c r="M533" s="5">
        <f t="shared" si="43"/>
        <v>4800</v>
      </c>
      <c r="N533" s="7">
        <f t="shared" si="44"/>
        <v>0.35714285714285715</v>
      </c>
      <c r="O533" s="1" t="s">
        <v>54</v>
      </c>
      <c r="P533" s="1" t="s">
        <v>31</v>
      </c>
      <c r="Q533" s="1" t="s">
        <v>48</v>
      </c>
      <c r="R533" s="1" t="s">
        <v>66</v>
      </c>
      <c r="S533" s="1" t="s">
        <v>348</v>
      </c>
      <c r="T533" s="15" t="s">
        <v>35</v>
      </c>
    </row>
    <row r="534" spans="1:20" x14ac:dyDescent="0.3">
      <c r="A534" s="14">
        <v>533</v>
      </c>
      <c r="B534" s="4">
        <v>44524</v>
      </c>
      <c r="C534" s="1" t="s">
        <v>533</v>
      </c>
      <c r="D534" s="1" t="s">
        <v>20</v>
      </c>
      <c r="E534" s="1" t="s">
        <v>43</v>
      </c>
      <c r="F534" s="2">
        <v>8</v>
      </c>
      <c r="G534" s="5">
        <v>270</v>
      </c>
      <c r="H534" s="24">
        <f t="shared" si="40"/>
        <v>2160</v>
      </c>
      <c r="I534" s="7">
        <v>0.05</v>
      </c>
      <c r="J534" s="5">
        <f t="shared" si="41"/>
        <v>108</v>
      </c>
      <c r="K534" s="5">
        <f t="shared" si="42"/>
        <v>2052</v>
      </c>
      <c r="L534" s="5">
        <v>190</v>
      </c>
      <c r="M534" s="5">
        <f t="shared" si="43"/>
        <v>532</v>
      </c>
      <c r="N534" s="7">
        <f t="shared" si="44"/>
        <v>0.25925925925925924</v>
      </c>
      <c r="O534" s="1" t="s">
        <v>59</v>
      </c>
      <c r="P534" s="1" t="s">
        <v>31</v>
      </c>
      <c r="Q534" s="1" t="s">
        <v>37</v>
      </c>
      <c r="R534" s="1" t="s">
        <v>66</v>
      </c>
      <c r="S534" s="1" t="s">
        <v>217</v>
      </c>
      <c r="T534" s="15" t="s">
        <v>61</v>
      </c>
    </row>
    <row r="535" spans="1:20" x14ac:dyDescent="0.3">
      <c r="A535" s="14">
        <v>534</v>
      </c>
      <c r="B535" s="4">
        <v>44258</v>
      </c>
      <c r="C535" s="1" t="s">
        <v>529</v>
      </c>
      <c r="D535" s="1" t="s">
        <v>80</v>
      </c>
      <c r="E535" s="1" t="s">
        <v>29</v>
      </c>
      <c r="F535" s="2">
        <v>6</v>
      </c>
      <c r="G535" s="5">
        <v>2260</v>
      </c>
      <c r="H535" s="24">
        <f t="shared" si="40"/>
        <v>13560</v>
      </c>
      <c r="I535" s="7">
        <v>0.02</v>
      </c>
      <c r="J535" s="5">
        <f t="shared" si="41"/>
        <v>271.2</v>
      </c>
      <c r="K535" s="5">
        <f t="shared" si="42"/>
        <v>13288.8</v>
      </c>
      <c r="L535" s="5">
        <v>1640</v>
      </c>
      <c r="M535" s="5">
        <f t="shared" si="43"/>
        <v>3448.7999999999993</v>
      </c>
      <c r="N535" s="7">
        <f t="shared" si="44"/>
        <v>0.25952681957738843</v>
      </c>
      <c r="O535" s="1" t="s">
        <v>30</v>
      </c>
      <c r="P535" s="1" t="s">
        <v>31</v>
      </c>
      <c r="Q535" s="1" t="s">
        <v>32</v>
      </c>
      <c r="R535" s="1" t="s">
        <v>56</v>
      </c>
      <c r="S535" s="1" t="s">
        <v>349</v>
      </c>
      <c r="T535" s="15" t="s">
        <v>53</v>
      </c>
    </row>
    <row r="536" spans="1:20" x14ac:dyDescent="0.3">
      <c r="A536" s="14">
        <v>535</v>
      </c>
      <c r="B536" s="4">
        <v>44274</v>
      </c>
      <c r="C536" s="1" t="s">
        <v>533</v>
      </c>
      <c r="D536" s="1" t="s">
        <v>80</v>
      </c>
      <c r="E536" s="1" t="s">
        <v>21</v>
      </c>
      <c r="F536" s="2">
        <v>10</v>
      </c>
      <c r="G536" s="5">
        <v>220</v>
      </c>
      <c r="H536" s="24">
        <f t="shared" si="40"/>
        <v>2200</v>
      </c>
      <c r="I536" s="7">
        <v>0.05</v>
      </c>
      <c r="J536" s="5">
        <f t="shared" si="41"/>
        <v>110</v>
      </c>
      <c r="K536" s="5">
        <f t="shared" si="42"/>
        <v>2090</v>
      </c>
      <c r="L536" s="5">
        <v>160</v>
      </c>
      <c r="M536" s="5">
        <f t="shared" si="43"/>
        <v>490</v>
      </c>
      <c r="N536" s="7">
        <f t="shared" si="44"/>
        <v>0.23444976076555024</v>
      </c>
      <c r="O536" s="1" t="s">
        <v>22</v>
      </c>
      <c r="P536" s="1" t="s">
        <v>31</v>
      </c>
      <c r="Q536" s="1" t="s">
        <v>24</v>
      </c>
      <c r="R536" s="1" t="s">
        <v>38</v>
      </c>
      <c r="S536" s="1" t="s">
        <v>330</v>
      </c>
      <c r="T536" s="15" t="s">
        <v>61</v>
      </c>
    </row>
    <row r="537" spans="1:20" x14ac:dyDescent="0.3">
      <c r="A537" s="14">
        <v>536</v>
      </c>
      <c r="B537" s="4">
        <v>44415</v>
      </c>
      <c r="C537" s="1" t="s">
        <v>529</v>
      </c>
      <c r="D537" s="1" t="s">
        <v>20</v>
      </c>
      <c r="E537" s="1" t="s">
        <v>29</v>
      </c>
      <c r="F537" s="2">
        <v>7</v>
      </c>
      <c r="G537" s="5">
        <v>2170</v>
      </c>
      <c r="H537" s="24">
        <f t="shared" si="40"/>
        <v>15190</v>
      </c>
      <c r="I537" s="7">
        <v>0.02</v>
      </c>
      <c r="J537" s="5">
        <f t="shared" si="41"/>
        <v>303.8</v>
      </c>
      <c r="K537" s="5">
        <f t="shared" si="42"/>
        <v>14886.2</v>
      </c>
      <c r="L537" s="5">
        <v>1300</v>
      </c>
      <c r="M537" s="5">
        <f t="shared" si="43"/>
        <v>5786.2000000000007</v>
      </c>
      <c r="N537" s="7">
        <f t="shared" si="44"/>
        <v>0.38869557039405628</v>
      </c>
      <c r="O537" s="1" t="s">
        <v>30</v>
      </c>
      <c r="P537" s="1" t="s">
        <v>31</v>
      </c>
      <c r="Q537" s="1" t="s">
        <v>32</v>
      </c>
      <c r="R537" s="1" t="s">
        <v>49</v>
      </c>
      <c r="S537" s="1" t="s">
        <v>321</v>
      </c>
      <c r="T537" s="15" t="s">
        <v>53</v>
      </c>
    </row>
    <row r="538" spans="1:20" x14ac:dyDescent="0.3">
      <c r="A538" s="14">
        <v>537</v>
      </c>
      <c r="B538" s="4">
        <v>44468</v>
      </c>
      <c r="C538" s="1" t="s">
        <v>530</v>
      </c>
      <c r="D538" s="1" t="s">
        <v>20</v>
      </c>
      <c r="E538" s="1" t="s">
        <v>21</v>
      </c>
      <c r="F538" s="2">
        <v>3</v>
      </c>
      <c r="G538" s="5">
        <v>210</v>
      </c>
      <c r="H538" s="24">
        <f t="shared" si="40"/>
        <v>630</v>
      </c>
      <c r="I538" s="7">
        <v>0.05</v>
      </c>
      <c r="J538" s="5">
        <f t="shared" si="41"/>
        <v>31.5</v>
      </c>
      <c r="K538" s="5">
        <f t="shared" si="42"/>
        <v>598.5</v>
      </c>
      <c r="L538" s="5">
        <v>150</v>
      </c>
      <c r="M538" s="5">
        <f t="shared" si="43"/>
        <v>148.5</v>
      </c>
      <c r="N538" s="7">
        <f t="shared" si="44"/>
        <v>0.24812030075187969</v>
      </c>
      <c r="O538" s="1" t="s">
        <v>54</v>
      </c>
      <c r="P538" s="1" t="s">
        <v>31</v>
      </c>
      <c r="Q538" s="1" t="s">
        <v>24</v>
      </c>
      <c r="R538" s="1" t="s">
        <v>46</v>
      </c>
      <c r="S538" s="1" t="s">
        <v>149</v>
      </c>
      <c r="T538" s="15" t="s">
        <v>35</v>
      </c>
    </row>
    <row r="539" spans="1:20" x14ac:dyDescent="0.3">
      <c r="A539" s="14">
        <v>538</v>
      </c>
      <c r="B539" s="4">
        <v>44320</v>
      </c>
      <c r="C539" s="1" t="s">
        <v>529</v>
      </c>
      <c r="D539" s="1" t="s">
        <v>28</v>
      </c>
      <c r="E539" s="1" t="s">
        <v>40</v>
      </c>
      <c r="F539" s="2">
        <v>8</v>
      </c>
      <c r="G539" s="5">
        <v>1720</v>
      </c>
      <c r="H539" s="24">
        <f t="shared" si="40"/>
        <v>13760</v>
      </c>
      <c r="I539" s="7">
        <v>0.1</v>
      </c>
      <c r="J539" s="5">
        <f t="shared" si="41"/>
        <v>1376</v>
      </c>
      <c r="K539" s="5">
        <f t="shared" si="42"/>
        <v>12384</v>
      </c>
      <c r="L539" s="5">
        <v>1280</v>
      </c>
      <c r="M539" s="5">
        <f t="shared" si="43"/>
        <v>2144</v>
      </c>
      <c r="N539" s="7">
        <f t="shared" si="44"/>
        <v>0.1731266149870801</v>
      </c>
      <c r="O539" s="1" t="s">
        <v>30</v>
      </c>
      <c r="P539" s="1" t="s">
        <v>76</v>
      </c>
      <c r="Q539" s="1" t="s">
        <v>32</v>
      </c>
      <c r="R539" s="1" t="s">
        <v>50</v>
      </c>
      <c r="S539" s="1" t="s">
        <v>183</v>
      </c>
      <c r="T539" s="15" t="s">
        <v>53</v>
      </c>
    </row>
    <row r="540" spans="1:20" x14ac:dyDescent="0.3">
      <c r="A540" s="14">
        <v>539</v>
      </c>
      <c r="B540" s="4">
        <v>44347</v>
      </c>
      <c r="C540" s="1" t="s">
        <v>530</v>
      </c>
      <c r="D540" s="1" t="s">
        <v>20</v>
      </c>
      <c r="E540" s="1" t="s">
        <v>29</v>
      </c>
      <c r="F540" s="2">
        <v>12</v>
      </c>
      <c r="G540" s="5">
        <v>2210</v>
      </c>
      <c r="H540" s="24">
        <f t="shared" si="40"/>
        <v>26520</v>
      </c>
      <c r="I540" s="7">
        <v>0.02</v>
      </c>
      <c r="J540" s="5">
        <f t="shared" si="41"/>
        <v>530.4</v>
      </c>
      <c r="K540" s="5">
        <f t="shared" si="42"/>
        <v>25989.599999999999</v>
      </c>
      <c r="L540" s="5">
        <v>1330</v>
      </c>
      <c r="M540" s="5">
        <f t="shared" si="43"/>
        <v>10029.599999999999</v>
      </c>
      <c r="N540" s="7">
        <f t="shared" si="44"/>
        <v>0.38590820943762116</v>
      </c>
      <c r="O540" s="1" t="s">
        <v>59</v>
      </c>
      <c r="P540" s="1" t="s">
        <v>31</v>
      </c>
      <c r="Q540" s="1" t="s">
        <v>48</v>
      </c>
      <c r="R540" s="1" t="s">
        <v>63</v>
      </c>
      <c r="S540" s="1" t="s">
        <v>350</v>
      </c>
      <c r="T540" s="15" t="s">
        <v>61</v>
      </c>
    </row>
    <row r="541" spans="1:20" x14ac:dyDescent="0.3">
      <c r="A541" s="14">
        <v>540</v>
      </c>
      <c r="B541" s="4">
        <v>44303</v>
      </c>
      <c r="C541" s="1" t="s">
        <v>534</v>
      </c>
      <c r="D541" s="1" t="s">
        <v>82</v>
      </c>
      <c r="E541" s="1" t="s">
        <v>43</v>
      </c>
      <c r="F541" s="2">
        <v>8</v>
      </c>
      <c r="G541" s="5">
        <v>280</v>
      </c>
      <c r="H541" s="24">
        <f t="shared" si="40"/>
        <v>2240</v>
      </c>
      <c r="I541" s="7">
        <v>0</v>
      </c>
      <c r="J541" s="5">
        <f t="shared" si="41"/>
        <v>0</v>
      </c>
      <c r="K541" s="5">
        <f t="shared" si="42"/>
        <v>2240</v>
      </c>
      <c r="L541" s="5">
        <v>210</v>
      </c>
      <c r="M541" s="5">
        <f t="shared" si="43"/>
        <v>560</v>
      </c>
      <c r="N541" s="7">
        <f t="shared" si="44"/>
        <v>0.25</v>
      </c>
      <c r="O541" s="1" t="s">
        <v>22</v>
      </c>
      <c r="P541" s="1" t="s">
        <v>31</v>
      </c>
      <c r="Q541" s="1" t="s">
        <v>37</v>
      </c>
      <c r="R541" s="1" t="s">
        <v>33</v>
      </c>
      <c r="S541" s="1" t="s">
        <v>129</v>
      </c>
      <c r="T541" s="15" t="s">
        <v>35</v>
      </c>
    </row>
    <row r="542" spans="1:20" x14ac:dyDescent="0.3">
      <c r="A542" s="14">
        <v>541</v>
      </c>
      <c r="B542" s="4">
        <v>44301</v>
      </c>
      <c r="C542" s="1" t="s">
        <v>530</v>
      </c>
      <c r="D542" s="1" t="s">
        <v>20</v>
      </c>
      <c r="E542" s="1" t="s">
        <v>36</v>
      </c>
      <c r="F542" s="2">
        <v>5</v>
      </c>
      <c r="G542" s="5">
        <v>1220</v>
      </c>
      <c r="H542" s="24">
        <f t="shared" si="40"/>
        <v>6100</v>
      </c>
      <c r="I542" s="7">
        <v>0.15</v>
      </c>
      <c r="J542" s="5">
        <f t="shared" si="41"/>
        <v>915</v>
      </c>
      <c r="K542" s="5">
        <f t="shared" si="42"/>
        <v>5185</v>
      </c>
      <c r="L542" s="5">
        <v>1000</v>
      </c>
      <c r="M542" s="5">
        <f t="shared" si="43"/>
        <v>185</v>
      </c>
      <c r="N542" s="7">
        <f t="shared" si="44"/>
        <v>3.5679845708775311E-2</v>
      </c>
      <c r="O542" s="1" t="s">
        <v>22</v>
      </c>
      <c r="P542" s="1" t="s">
        <v>31</v>
      </c>
      <c r="Q542" s="1" t="s">
        <v>32</v>
      </c>
      <c r="R542" s="1" t="s">
        <v>50</v>
      </c>
      <c r="S542" s="1" t="s">
        <v>340</v>
      </c>
      <c r="T542" s="15" t="s">
        <v>53</v>
      </c>
    </row>
    <row r="543" spans="1:20" x14ac:dyDescent="0.3">
      <c r="A543" s="14">
        <v>542</v>
      </c>
      <c r="B543" s="4">
        <v>44311</v>
      </c>
      <c r="C543" s="1" t="s">
        <v>529</v>
      </c>
      <c r="D543" s="1" t="s">
        <v>28</v>
      </c>
      <c r="E543" s="1" t="s">
        <v>36</v>
      </c>
      <c r="F543" s="2">
        <v>4</v>
      </c>
      <c r="G543" s="5">
        <v>1320</v>
      </c>
      <c r="H543" s="24">
        <f t="shared" si="40"/>
        <v>5280</v>
      </c>
      <c r="I543" s="7">
        <v>0.05</v>
      </c>
      <c r="J543" s="5">
        <f t="shared" si="41"/>
        <v>264</v>
      </c>
      <c r="K543" s="5">
        <f t="shared" si="42"/>
        <v>5016</v>
      </c>
      <c r="L543" s="5">
        <v>850</v>
      </c>
      <c r="M543" s="5">
        <f t="shared" si="43"/>
        <v>1616</v>
      </c>
      <c r="N543" s="7">
        <f t="shared" si="44"/>
        <v>0.32216905901116427</v>
      </c>
      <c r="O543" s="1" t="s">
        <v>54</v>
      </c>
      <c r="P543" s="1" t="s">
        <v>31</v>
      </c>
      <c r="Q543" s="1" t="s">
        <v>37</v>
      </c>
      <c r="R543" s="1" t="s">
        <v>66</v>
      </c>
      <c r="S543" s="1" t="s">
        <v>351</v>
      </c>
      <c r="T543" s="15" t="s">
        <v>53</v>
      </c>
    </row>
    <row r="544" spans="1:20" x14ac:dyDescent="0.3">
      <c r="A544" s="14">
        <v>543</v>
      </c>
      <c r="B544" s="4">
        <v>44409</v>
      </c>
      <c r="C544" s="1" t="s">
        <v>531</v>
      </c>
      <c r="D544" s="1" t="s">
        <v>28</v>
      </c>
      <c r="E544" s="1" t="s">
        <v>43</v>
      </c>
      <c r="F544" s="2">
        <v>6</v>
      </c>
      <c r="G544" s="5">
        <v>310</v>
      </c>
      <c r="H544" s="24">
        <f t="shared" si="40"/>
        <v>1860</v>
      </c>
      <c r="I544" s="7">
        <v>0.1</v>
      </c>
      <c r="J544" s="5">
        <f t="shared" si="41"/>
        <v>186</v>
      </c>
      <c r="K544" s="5">
        <f t="shared" si="42"/>
        <v>1674</v>
      </c>
      <c r="L544" s="5">
        <v>190</v>
      </c>
      <c r="M544" s="5">
        <f t="shared" si="43"/>
        <v>534</v>
      </c>
      <c r="N544" s="7">
        <f t="shared" si="44"/>
        <v>0.31899641577060933</v>
      </c>
      <c r="O544" s="1" t="s">
        <v>22</v>
      </c>
      <c r="P544" s="1" t="s">
        <v>31</v>
      </c>
      <c r="Q544" s="1" t="s">
        <v>32</v>
      </c>
      <c r="R544" s="1" t="s">
        <v>66</v>
      </c>
      <c r="S544" s="1" t="s">
        <v>352</v>
      </c>
      <c r="T544" s="15" t="s">
        <v>35</v>
      </c>
    </row>
    <row r="545" spans="1:20" x14ac:dyDescent="0.3">
      <c r="A545" s="14">
        <v>544</v>
      </c>
      <c r="B545" s="4">
        <v>44483</v>
      </c>
      <c r="C545" s="1" t="s">
        <v>534</v>
      </c>
      <c r="D545" s="1" t="s">
        <v>82</v>
      </c>
      <c r="E545" s="1" t="s">
        <v>21</v>
      </c>
      <c r="F545" s="2">
        <v>7</v>
      </c>
      <c r="G545" s="5">
        <v>180</v>
      </c>
      <c r="H545" s="24">
        <f t="shared" si="40"/>
        <v>1260</v>
      </c>
      <c r="I545" s="7">
        <v>0.15</v>
      </c>
      <c r="J545" s="5">
        <f t="shared" si="41"/>
        <v>189</v>
      </c>
      <c r="K545" s="5">
        <f t="shared" si="42"/>
        <v>1071</v>
      </c>
      <c r="L545" s="5">
        <v>120</v>
      </c>
      <c r="M545" s="5">
        <f t="shared" si="43"/>
        <v>231</v>
      </c>
      <c r="N545" s="7">
        <f t="shared" si="44"/>
        <v>0.21568627450980393</v>
      </c>
      <c r="O545" s="1" t="s">
        <v>22</v>
      </c>
      <c r="P545" s="1" t="s">
        <v>31</v>
      </c>
      <c r="Q545" s="1" t="s">
        <v>37</v>
      </c>
      <c r="R545" s="1" t="s">
        <v>46</v>
      </c>
      <c r="S545" s="1" t="s">
        <v>119</v>
      </c>
      <c r="T545" s="15" t="s">
        <v>53</v>
      </c>
    </row>
    <row r="546" spans="1:20" x14ac:dyDescent="0.3">
      <c r="A546" s="14">
        <v>545</v>
      </c>
      <c r="B546" s="4">
        <v>44292</v>
      </c>
      <c r="C546" s="1" t="s">
        <v>533</v>
      </c>
      <c r="D546" s="1" t="s">
        <v>20</v>
      </c>
      <c r="E546" s="1" t="s">
        <v>29</v>
      </c>
      <c r="F546" s="2">
        <v>8</v>
      </c>
      <c r="G546" s="5">
        <v>2340</v>
      </c>
      <c r="H546" s="24">
        <f t="shared" si="40"/>
        <v>18720</v>
      </c>
      <c r="I546" s="7">
        <v>0.15</v>
      </c>
      <c r="J546" s="5">
        <f t="shared" si="41"/>
        <v>2808</v>
      </c>
      <c r="K546" s="5">
        <f t="shared" si="42"/>
        <v>15912</v>
      </c>
      <c r="L546" s="5">
        <v>1610</v>
      </c>
      <c r="M546" s="5">
        <f t="shared" si="43"/>
        <v>3032</v>
      </c>
      <c r="N546" s="7">
        <f t="shared" si="44"/>
        <v>0.19054801407742583</v>
      </c>
      <c r="O546" s="1" t="s">
        <v>22</v>
      </c>
      <c r="P546" s="1" t="s">
        <v>31</v>
      </c>
      <c r="Q546" s="1" t="s">
        <v>24</v>
      </c>
      <c r="R546" s="1" t="s">
        <v>66</v>
      </c>
      <c r="S546" s="1" t="s">
        <v>240</v>
      </c>
      <c r="T546" s="15" t="s">
        <v>27</v>
      </c>
    </row>
    <row r="547" spans="1:20" x14ac:dyDescent="0.3">
      <c r="A547" s="14">
        <v>546</v>
      </c>
      <c r="B547" s="4">
        <v>44301</v>
      </c>
      <c r="C547" s="1" t="s">
        <v>533</v>
      </c>
      <c r="D547" s="1" t="s">
        <v>20</v>
      </c>
      <c r="E547" s="1" t="s">
        <v>29</v>
      </c>
      <c r="F547" s="2">
        <v>7</v>
      </c>
      <c r="G547" s="5">
        <v>2400</v>
      </c>
      <c r="H547" s="24">
        <f t="shared" si="40"/>
        <v>16800</v>
      </c>
      <c r="I547" s="7">
        <v>0.05</v>
      </c>
      <c r="J547" s="5">
        <f t="shared" si="41"/>
        <v>840</v>
      </c>
      <c r="K547" s="5">
        <f t="shared" si="42"/>
        <v>15960</v>
      </c>
      <c r="L547" s="5">
        <v>1740</v>
      </c>
      <c r="M547" s="5">
        <f t="shared" si="43"/>
        <v>3780</v>
      </c>
      <c r="N547" s="7">
        <f t="shared" si="44"/>
        <v>0.23684210526315788</v>
      </c>
      <c r="O547" s="1" t="s">
        <v>41</v>
      </c>
      <c r="P547" s="1" t="s">
        <v>31</v>
      </c>
      <c r="Q547" s="1" t="s">
        <v>32</v>
      </c>
      <c r="R547" s="1" t="s">
        <v>50</v>
      </c>
      <c r="S547" s="1" t="s">
        <v>352</v>
      </c>
      <c r="T547" s="15" t="s">
        <v>53</v>
      </c>
    </row>
    <row r="548" spans="1:20" x14ac:dyDescent="0.3">
      <c r="A548" s="14">
        <v>547</v>
      </c>
      <c r="B548" s="4">
        <v>44281</v>
      </c>
      <c r="C548" s="1" t="s">
        <v>533</v>
      </c>
      <c r="D548" s="1" t="s">
        <v>82</v>
      </c>
      <c r="E548" s="1" t="s">
        <v>40</v>
      </c>
      <c r="F548" s="2">
        <v>2</v>
      </c>
      <c r="G548" s="5">
        <v>1600</v>
      </c>
      <c r="H548" s="24">
        <f t="shared" si="40"/>
        <v>3200</v>
      </c>
      <c r="I548" s="7">
        <v>0.15</v>
      </c>
      <c r="J548" s="5">
        <f t="shared" si="41"/>
        <v>480</v>
      </c>
      <c r="K548" s="5">
        <f t="shared" si="42"/>
        <v>2720</v>
      </c>
      <c r="L548" s="5">
        <v>1020</v>
      </c>
      <c r="M548" s="5">
        <f t="shared" si="43"/>
        <v>680</v>
      </c>
      <c r="N548" s="7">
        <f t="shared" si="44"/>
        <v>0.25</v>
      </c>
      <c r="O548" s="1" t="s">
        <v>41</v>
      </c>
      <c r="P548" s="1" t="s">
        <v>31</v>
      </c>
      <c r="Q548" s="1" t="s">
        <v>37</v>
      </c>
      <c r="R548" s="1" t="s">
        <v>56</v>
      </c>
      <c r="S548" s="1" t="s">
        <v>353</v>
      </c>
      <c r="T548" s="15" t="s">
        <v>53</v>
      </c>
    </row>
    <row r="549" spans="1:20" x14ac:dyDescent="0.3">
      <c r="A549" s="14">
        <v>548</v>
      </c>
      <c r="B549" s="4">
        <v>44481</v>
      </c>
      <c r="C549" s="1" t="s">
        <v>534</v>
      </c>
      <c r="D549" s="1" t="s">
        <v>80</v>
      </c>
      <c r="E549" s="1" t="s">
        <v>43</v>
      </c>
      <c r="F549" s="2">
        <v>4</v>
      </c>
      <c r="G549" s="5">
        <v>330</v>
      </c>
      <c r="H549" s="24">
        <f t="shared" si="40"/>
        <v>1320</v>
      </c>
      <c r="I549" s="7">
        <v>0.15</v>
      </c>
      <c r="J549" s="5">
        <f t="shared" si="41"/>
        <v>198</v>
      </c>
      <c r="K549" s="5">
        <f t="shared" si="42"/>
        <v>1122</v>
      </c>
      <c r="L549" s="5">
        <v>250</v>
      </c>
      <c r="M549" s="5">
        <f t="shared" si="43"/>
        <v>122</v>
      </c>
      <c r="N549" s="7">
        <f t="shared" si="44"/>
        <v>0.10873440285204991</v>
      </c>
      <c r="O549" s="1" t="s">
        <v>41</v>
      </c>
      <c r="P549" s="1" t="s">
        <v>31</v>
      </c>
      <c r="Q549" s="1" t="s">
        <v>48</v>
      </c>
      <c r="R549" s="1" t="s">
        <v>88</v>
      </c>
      <c r="S549" s="1" t="s">
        <v>283</v>
      </c>
      <c r="T549" s="15" t="s">
        <v>27</v>
      </c>
    </row>
    <row r="550" spans="1:20" x14ac:dyDescent="0.3">
      <c r="A550" s="14">
        <v>549</v>
      </c>
      <c r="B550" s="4">
        <v>44460</v>
      </c>
      <c r="C550" s="1" t="s">
        <v>530</v>
      </c>
      <c r="D550" s="1" t="s">
        <v>20</v>
      </c>
      <c r="E550" s="1" t="s">
        <v>43</v>
      </c>
      <c r="F550" s="2">
        <v>2</v>
      </c>
      <c r="G550" s="5">
        <v>280</v>
      </c>
      <c r="H550" s="24">
        <f t="shared" si="40"/>
        <v>560</v>
      </c>
      <c r="I550" s="7">
        <v>0</v>
      </c>
      <c r="J550" s="5">
        <f t="shared" si="41"/>
        <v>0</v>
      </c>
      <c r="K550" s="5">
        <f t="shared" si="42"/>
        <v>560</v>
      </c>
      <c r="L550" s="5">
        <v>230</v>
      </c>
      <c r="M550" s="5">
        <f t="shared" si="43"/>
        <v>100</v>
      </c>
      <c r="N550" s="7">
        <f t="shared" si="44"/>
        <v>0.17857142857142858</v>
      </c>
      <c r="O550" s="1" t="s">
        <v>22</v>
      </c>
      <c r="P550" s="1" t="s">
        <v>31</v>
      </c>
      <c r="Q550" s="1" t="s">
        <v>37</v>
      </c>
      <c r="R550" s="1" t="s">
        <v>50</v>
      </c>
      <c r="S550" s="1" t="s">
        <v>354</v>
      </c>
      <c r="T550" s="15" t="s">
        <v>61</v>
      </c>
    </row>
    <row r="551" spans="1:20" x14ac:dyDescent="0.3">
      <c r="A551" s="14">
        <v>550</v>
      </c>
      <c r="B551" s="4">
        <v>44230</v>
      </c>
      <c r="C551" s="1" t="s">
        <v>529</v>
      </c>
      <c r="D551" s="1" t="s">
        <v>20</v>
      </c>
      <c r="E551" s="1" t="s">
        <v>36</v>
      </c>
      <c r="F551" s="2">
        <v>12</v>
      </c>
      <c r="G551" s="5">
        <v>1230</v>
      </c>
      <c r="H551" s="24">
        <f t="shared" si="40"/>
        <v>14760</v>
      </c>
      <c r="I551" s="7">
        <v>0</v>
      </c>
      <c r="J551" s="5">
        <f t="shared" si="41"/>
        <v>0</v>
      </c>
      <c r="K551" s="5">
        <f t="shared" si="42"/>
        <v>14760</v>
      </c>
      <c r="L551" s="5">
        <v>900</v>
      </c>
      <c r="M551" s="5">
        <f t="shared" si="43"/>
        <v>3960</v>
      </c>
      <c r="N551" s="7">
        <f t="shared" si="44"/>
        <v>0.26829268292682928</v>
      </c>
      <c r="O551" s="1" t="s">
        <v>22</v>
      </c>
      <c r="P551" s="1" t="s">
        <v>23</v>
      </c>
      <c r="Q551" s="1" t="s">
        <v>37</v>
      </c>
      <c r="R551" s="1" t="s">
        <v>25</v>
      </c>
      <c r="S551" s="1" t="s">
        <v>81</v>
      </c>
      <c r="T551" s="15" t="s">
        <v>61</v>
      </c>
    </row>
    <row r="552" spans="1:20" x14ac:dyDescent="0.3">
      <c r="A552" s="14">
        <v>551</v>
      </c>
      <c r="B552" s="4">
        <v>44209</v>
      </c>
      <c r="C552" s="1" t="s">
        <v>533</v>
      </c>
      <c r="D552" s="1" t="s">
        <v>28</v>
      </c>
      <c r="E552" s="1" t="s">
        <v>36</v>
      </c>
      <c r="F552" s="2">
        <v>10</v>
      </c>
      <c r="G552" s="5">
        <v>1290</v>
      </c>
      <c r="H552" s="24">
        <f t="shared" si="40"/>
        <v>12900</v>
      </c>
      <c r="I552" s="7">
        <v>0.1</v>
      </c>
      <c r="J552" s="5">
        <f t="shared" si="41"/>
        <v>1290</v>
      </c>
      <c r="K552" s="5">
        <f t="shared" si="42"/>
        <v>11610</v>
      </c>
      <c r="L552" s="5">
        <v>1010</v>
      </c>
      <c r="M552" s="5">
        <f t="shared" si="43"/>
        <v>1510</v>
      </c>
      <c r="N552" s="7">
        <f t="shared" si="44"/>
        <v>0.13006029285099052</v>
      </c>
      <c r="O552" s="1" t="s">
        <v>59</v>
      </c>
      <c r="P552" s="1" t="s">
        <v>31</v>
      </c>
      <c r="Q552" s="1" t="s">
        <v>32</v>
      </c>
      <c r="R552" s="1" t="s">
        <v>33</v>
      </c>
      <c r="S552" s="1" t="s">
        <v>355</v>
      </c>
      <c r="T552" s="15" t="s">
        <v>27</v>
      </c>
    </row>
    <row r="553" spans="1:20" x14ac:dyDescent="0.3">
      <c r="A553" s="14">
        <v>552</v>
      </c>
      <c r="B553" s="4">
        <v>44479</v>
      </c>
      <c r="C553" s="1" t="s">
        <v>529</v>
      </c>
      <c r="D553" s="1" t="s">
        <v>20</v>
      </c>
      <c r="E553" s="1" t="s">
        <v>43</v>
      </c>
      <c r="F553" s="2">
        <v>11</v>
      </c>
      <c r="G553" s="5">
        <v>340</v>
      </c>
      <c r="H553" s="24">
        <f t="shared" si="40"/>
        <v>3740</v>
      </c>
      <c r="I553" s="7">
        <v>0.05</v>
      </c>
      <c r="J553" s="5">
        <f t="shared" si="41"/>
        <v>187</v>
      </c>
      <c r="K553" s="5">
        <f t="shared" si="42"/>
        <v>3553</v>
      </c>
      <c r="L553" s="5">
        <v>220</v>
      </c>
      <c r="M553" s="5">
        <f t="shared" si="43"/>
        <v>1133</v>
      </c>
      <c r="N553" s="7">
        <f t="shared" si="44"/>
        <v>0.31888544891640869</v>
      </c>
      <c r="O553" s="1" t="s">
        <v>54</v>
      </c>
      <c r="P553" s="1" t="s">
        <v>31</v>
      </c>
      <c r="Q553" s="1" t="s">
        <v>48</v>
      </c>
      <c r="R553" s="1" t="s">
        <v>63</v>
      </c>
      <c r="S553" s="1" t="s">
        <v>103</v>
      </c>
      <c r="T553" s="15" t="s">
        <v>61</v>
      </c>
    </row>
    <row r="554" spans="1:20" x14ac:dyDescent="0.3">
      <c r="A554" s="14">
        <v>553</v>
      </c>
      <c r="B554" s="4">
        <v>44364</v>
      </c>
      <c r="C554" s="1" t="s">
        <v>533</v>
      </c>
      <c r="D554" s="1" t="s">
        <v>20</v>
      </c>
      <c r="E554" s="1" t="s">
        <v>21</v>
      </c>
      <c r="F554" s="2">
        <v>3</v>
      </c>
      <c r="G554" s="5">
        <v>210</v>
      </c>
      <c r="H554" s="24">
        <f t="shared" si="40"/>
        <v>630</v>
      </c>
      <c r="I554" s="7">
        <v>0.1</v>
      </c>
      <c r="J554" s="5">
        <f t="shared" si="41"/>
        <v>63</v>
      </c>
      <c r="K554" s="5">
        <f t="shared" si="42"/>
        <v>567</v>
      </c>
      <c r="L554" s="5">
        <v>140</v>
      </c>
      <c r="M554" s="5">
        <f t="shared" si="43"/>
        <v>147</v>
      </c>
      <c r="N554" s="7">
        <f t="shared" si="44"/>
        <v>0.25925925925925924</v>
      </c>
      <c r="O554" s="1" t="s">
        <v>30</v>
      </c>
      <c r="P554" s="1" t="s">
        <v>31</v>
      </c>
      <c r="Q554" s="1" t="s">
        <v>32</v>
      </c>
      <c r="R554" s="1" t="s">
        <v>88</v>
      </c>
      <c r="S554" s="1" t="s">
        <v>244</v>
      </c>
      <c r="T554" s="15" t="s">
        <v>61</v>
      </c>
    </row>
    <row r="555" spans="1:20" x14ac:dyDescent="0.3">
      <c r="A555" s="14">
        <v>554</v>
      </c>
      <c r="B555" s="4">
        <v>44376</v>
      </c>
      <c r="C555" s="1" t="s">
        <v>534</v>
      </c>
      <c r="D555" s="1" t="s">
        <v>82</v>
      </c>
      <c r="E555" s="1" t="s">
        <v>36</v>
      </c>
      <c r="F555" s="2">
        <v>7</v>
      </c>
      <c r="G555" s="5">
        <v>1350</v>
      </c>
      <c r="H555" s="24">
        <f t="shared" si="40"/>
        <v>9450</v>
      </c>
      <c r="I555" s="7">
        <v>0</v>
      </c>
      <c r="J555" s="5">
        <f t="shared" si="41"/>
        <v>0</v>
      </c>
      <c r="K555" s="5">
        <f t="shared" si="42"/>
        <v>9450</v>
      </c>
      <c r="L555" s="5">
        <v>1070</v>
      </c>
      <c r="M555" s="5">
        <f t="shared" si="43"/>
        <v>1960</v>
      </c>
      <c r="N555" s="7">
        <f t="shared" si="44"/>
        <v>0.2074074074074074</v>
      </c>
      <c r="O555" s="1" t="s">
        <v>30</v>
      </c>
      <c r="P555" s="1" t="s">
        <v>31</v>
      </c>
      <c r="Q555" s="1" t="s">
        <v>48</v>
      </c>
      <c r="R555" s="1" t="s">
        <v>50</v>
      </c>
      <c r="S555" s="1" t="s">
        <v>356</v>
      </c>
      <c r="T555" s="15" t="s">
        <v>35</v>
      </c>
    </row>
    <row r="556" spans="1:20" x14ac:dyDescent="0.3">
      <c r="A556" s="14">
        <v>555</v>
      </c>
      <c r="B556" s="4">
        <v>44322</v>
      </c>
      <c r="C556" s="1" t="s">
        <v>533</v>
      </c>
      <c r="D556" s="1" t="s">
        <v>28</v>
      </c>
      <c r="E556" s="1" t="s">
        <v>36</v>
      </c>
      <c r="F556" s="2">
        <v>2</v>
      </c>
      <c r="G556" s="5">
        <v>1350</v>
      </c>
      <c r="H556" s="24">
        <f t="shared" si="40"/>
        <v>2700</v>
      </c>
      <c r="I556" s="7">
        <v>0</v>
      </c>
      <c r="J556" s="5">
        <f t="shared" si="41"/>
        <v>0</v>
      </c>
      <c r="K556" s="5">
        <f t="shared" si="42"/>
        <v>2700</v>
      </c>
      <c r="L556" s="5">
        <v>990</v>
      </c>
      <c r="M556" s="5">
        <f t="shared" si="43"/>
        <v>720</v>
      </c>
      <c r="N556" s="7">
        <f t="shared" si="44"/>
        <v>0.26666666666666666</v>
      </c>
      <c r="O556" s="1" t="s">
        <v>41</v>
      </c>
      <c r="P556" s="1" t="s">
        <v>31</v>
      </c>
      <c r="Q556" s="1" t="s">
        <v>32</v>
      </c>
      <c r="R556" s="1" t="s">
        <v>63</v>
      </c>
      <c r="S556" s="1" t="s">
        <v>283</v>
      </c>
      <c r="T556" s="15" t="s">
        <v>61</v>
      </c>
    </row>
    <row r="557" spans="1:20" x14ac:dyDescent="0.3">
      <c r="A557" s="14">
        <v>556</v>
      </c>
      <c r="B557" s="4">
        <v>44534</v>
      </c>
      <c r="C557" s="1" t="s">
        <v>530</v>
      </c>
      <c r="D557" s="1" t="s">
        <v>20</v>
      </c>
      <c r="E557" s="1" t="s">
        <v>45</v>
      </c>
      <c r="F557" s="2">
        <v>6</v>
      </c>
      <c r="G557" s="5">
        <v>180</v>
      </c>
      <c r="H557" s="24">
        <f t="shared" si="40"/>
        <v>1080</v>
      </c>
      <c r="I557" s="7">
        <v>0</v>
      </c>
      <c r="J557" s="5">
        <f t="shared" si="41"/>
        <v>0</v>
      </c>
      <c r="K557" s="5">
        <f t="shared" si="42"/>
        <v>1080</v>
      </c>
      <c r="L557" s="5">
        <v>110</v>
      </c>
      <c r="M557" s="5">
        <f t="shared" si="43"/>
        <v>420</v>
      </c>
      <c r="N557" s="7">
        <f t="shared" si="44"/>
        <v>0.3888888888888889</v>
      </c>
      <c r="O557" s="1" t="s">
        <v>59</v>
      </c>
      <c r="P557" s="1" t="s">
        <v>31</v>
      </c>
      <c r="Q557" s="1" t="s">
        <v>48</v>
      </c>
      <c r="R557" s="1" t="s">
        <v>25</v>
      </c>
      <c r="S557" s="1" t="s">
        <v>131</v>
      </c>
      <c r="T557" s="15" t="s">
        <v>53</v>
      </c>
    </row>
    <row r="558" spans="1:20" x14ac:dyDescent="0.3">
      <c r="A558" s="14">
        <v>557</v>
      </c>
      <c r="B558" s="4">
        <v>44288</v>
      </c>
      <c r="C558" s="1" t="s">
        <v>529</v>
      </c>
      <c r="D558" s="1" t="s">
        <v>28</v>
      </c>
      <c r="E558" s="1" t="s">
        <v>43</v>
      </c>
      <c r="F558" s="2">
        <v>11</v>
      </c>
      <c r="G558" s="5">
        <v>280</v>
      </c>
      <c r="H558" s="24">
        <f t="shared" si="40"/>
        <v>3080</v>
      </c>
      <c r="I558" s="7">
        <v>0</v>
      </c>
      <c r="J558" s="5">
        <f t="shared" si="41"/>
        <v>0</v>
      </c>
      <c r="K558" s="5">
        <f t="shared" si="42"/>
        <v>3080</v>
      </c>
      <c r="L558" s="5">
        <v>210</v>
      </c>
      <c r="M558" s="5">
        <f t="shared" si="43"/>
        <v>770</v>
      </c>
      <c r="N558" s="7">
        <f t="shared" si="44"/>
        <v>0.25</v>
      </c>
      <c r="O558" s="1" t="s">
        <v>41</v>
      </c>
      <c r="P558" s="1" t="s">
        <v>31</v>
      </c>
      <c r="Q558" s="1" t="s">
        <v>32</v>
      </c>
      <c r="R558" s="1" t="s">
        <v>33</v>
      </c>
      <c r="S558" s="1" t="s">
        <v>357</v>
      </c>
      <c r="T558" s="15" t="s">
        <v>35</v>
      </c>
    </row>
    <row r="559" spans="1:20" x14ac:dyDescent="0.3">
      <c r="A559" s="14">
        <v>558</v>
      </c>
      <c r="B559" s="4">
        <v>44346</v>
      </c>
      <c r="C559" s="1" t="s">
        <v>534</v>
      </c>
      <c r="D559" s="1" t="s">
        <v>82</v>
      </c>
      <c r="E559" s="1" t="s">
        <v>40</v>
      </c>
      <c r="F559" s="2">
        <v>9</v>
      </c>
      <c r="G559" s="5">
        <v>1580</v>
      </c>
      <c r="H559" s="24">
        <f t="shared" si="40"/>
        <v>14220</v>
      </c>
      <c r="I559" s="7">
        <v>0</v>
      </c>
      <c r="J559" s="5">
        <f t="shared" si="41"/>
        <v>0</v>
      </c>
      <c r="K559" s="5">
        <f t="shared" si="42"/>
        <v>14220</v>
      </c>
      <c r="L559" s="5">
        <v>940</v>
      </c>
      <c r="M559" s="5">
        <f t="shared" si="43"/>
        <v>5760</v>
      </c>
      <c r="N559" s="7">
        <f t="shared" si="44"/>
        <v>0.4050632911392405</v>
      </c>
      <c r="O559" s="1" t="s">
        <v>54</v>
      </c>
      <c r="P559" s="1" t="s">
        <v>31</v>
      </c>
      <c r="Q559" s="1" t="s">
        <v>37</v>
      </c>
      <c r="R559" s="1" t="s">
        <v>63</v>
      </c>
      <c r="S559" s="1" t="s">
        <v>358</v>
      </c>
      <c r="T559" s="15" t="s">
        <v>61</v>
      </c>
    </row>
    <row r="560" spans="1:20" x14ac:dyDescent="0.3">
      <c r="A560" s="14">
        <v>559</v>
      </c>
      <c r="B560" s="4">
        <v>44461</v>
      </c>
      <c r="C560" s="1" t="s">
        <v>534</v>
      </c>
      <c r="D560" s="1" t="s">
        <v>20</v>
      </c>
      <c r="E560" s="1" t="s">
        <v>43</v>
      </c>
      <c r="F560" s="2">
        <v>8</v>
      </c>
      <c r="G560" s="5">
        <v>270</v>
      </c>
      <c r="H560" s="24">
        <f t="shared" si="40"/>
        <v>2160</v>
      </c>
      <c r="I560" s="7">
        <v>0</v>
      </c>
      <c r="J560" s="5">
        <f t="shared" si="41"/>
        <v>0</v>
      </c>
      <c r="K560" s="5">
        <f t="shared" si="42"/>
        <v>2160</v>
      </c>
      <c r="L560" s="5">
        <v>210</v>
      </c>
      <c r="M560" s="5">
        <f t="shared" si="43"/>
        <v>480</v>
      </c>
      <c r="N560" s="7">
        <f t="shared" si="44"/>
        <v>0.22222222222222221</v>
      </c>
      <c r="O560" s="1" t="s">
        <v>30</v>
      </c>
      <c r="P560" s="1" t="s">
        <v>31</v>
      </c>
      <c r="Q560" s="1" t="s">
        <v>32</v>
      </c>
      <c r="R560" s="1" t="s">
        <v>66</v>
      </c>
      <c r="S560" s="1" t="s">
        <v>231</v>
      </c>
      <c r="T560" s="15" t="s">
        <v>61</v>
      </c>
    </row>
    <row r="561" spans="1:20" x14ac:dyDescent="0.3">
      <c r="A561" s="14">
        <v>560</v>
      </c>
      <c r="B561" s="4">
        <v>44384</v>
      </c>
      <c r="C561" s="1" t="s">
        <v>530</v>
      </c>
      <c r="D561" s="1" t="s">
        <v>80</v>
      </c>
      <c r="E561" s="1" t="s">
        <v>21</v>
      </c>
      <c r="F561" s="2">
        <v>10</v>
      </c>
      <c r="G561" s="5">
        <v>180</v>
      </c>
      <c r="H561" s="24">
        <f t="shared" si="40"/>
        <v>1800</v>
      </c>
      <c r="I561" s="7">
        <v>0</v>
      </c>
      <c r="J561" s="5">
        <f t="shared" si="41"/>
        <v>0</v>
      </c>
      <c r="K561" s="5">
        <f t="shared" si="42"/>
        <v>1800</v>
      </c>
      <c r="L561" s="5">
        <v>150</v>
      </c>
      <c r="M561" s="5">
        <f t="shared" si="43"/>
        <v>300</v>
      </c>
      <c r="N561" s="7">
        <f t="shared" si="44"/>
        <v>0.16666666666666666</v>
      </c>
      <c r="O561" s="1" t="s">
        <v>30</v>
      </c>
      <c r="P561" s="1" t="s">
        <v>31</v>
      </c>
      <c r="Q561" s="1" t="s">
        <v>37</v>
      </c>
      <c r="R561" s="1" t="s">
        <v>49</v>
      </c>
      <c r="S561" s="1" t="s">
        <v>359</v>
      </c>
      <c r="T561" s="15" t="s">
        <v>53</v>
      </c>
    </row>
    <row r="562" spans="1:20" x14ac:dyDescent="0.3">
      <c r="A562" s="14">
        <v>561</v>
      </c>
      <c r="B562" s="4">
        <v>44523</v>
      </c>
      <c r="C562" s="1" t="s">
        <v>530</v>
      </c>
      <c r="D562" s="1" t="s">
        <v>20</v>
      </c>
      <c r="E562" s="1" t="s">
        <v>36</v>
      </c>
      <c r="F562" s="2">
        <v>4</v>
      </c>
      <c r="G562" s="5">
        <v>1260</v>
      </c>
      <c r="H562" s="24">
        <f t="shared" si="40"/>
        <v>5040</v>
      </c>
      <c r="I562" s="7">
        <v>0</v>
      </c>
      <c r="J562" s="5">
        <f t="shared" si="41"/>
        <v>0</v>
      </c>
      <c r="K562" s="5">
        <f t="shared" si="42"/>
        <v>5040</v>
      </c>
      <c r="L562" s="5">
        <v>840</v>
      </c>
      <c r="M562" s="5">
        <f t="shared" si="43"/>
        <v>1680</v>
      </c>
      <c r="N562" s="7">
        <f t="shared" si="44"/>
        <v>0.33333333333333331</v>
      </c>
      <c r="O562" s="1" t="s">
        <v>41</v>
      </c>
      <c r="P562" s="1" t="s">
        <v>31</v>
      </c>
      <c r="Q562" s="1" t="s">
        <v>37</v>
      </c>
      <c r="R562" s="1" t="s">
        <v>50</v>
      </c>
      <c r="S562" s="1" t="s">
        <v>308</v>
      </c>
      <c r="T562" s="15" t="s">
        <v>53</v>
      </c>
    </row>
    <row r="563" spans="1:20" x14ac:dyDescent="0.3">
      <c r="A563" s="14">
        <v>562</v>
      </c>
      <c r="B563" s="4">
        <v>44302</v>
      </c>
      <c r="C563" s="1" t="s">
        <v>529</v>
      </c>
      <c r="D563" s="1" t="s">
        <v>28</v>
      </c>
      <c r="E563" s="1" t="s">
        <v>36</v>
      </c>
      <c r="F563" s="2">
        <v>4</v>
      </c>
      <c r="G563" s="5">
        <v>1130</v>
      </c>
      <c r="H563" s="24">
        <f t="shared" si="40"/>
        <v>4520</v>
      </c>
      <c r="I563" s="7">
        <v>0.02</v>
      </c>
      <c r="J563" s="5">
        <f t="shared" si="41"/>
        <v>90.4</v>
      </c>
      <c r="K563" s="5">
        <f t="shared" si="42"/>
        <v>4429.6000000000004</v>
      </c>
      <c r="L563" s="5">
        <v>660</v>
      </c>
      <c r="M563" s="5">
        <f t="shared" si="43"/>
        <v>1789.6000000000004</v>
      </c>
      <c r="N563" s="7">
        <f t="shared" si="44"/>
        <v>0.4040093913671664</v>
      </c>
      <c r="O563" s="1" t="s">
        <v>59</v>
      </c>
      <c r="P563" s="1" t="s">
        <v>31</v>
      </c>
      <c r="Q563" s="1" t="s">
        <v>37</v>
      </c>
      <c r="R563" s="1" t="s">
        <v>46</v>
      </c>
      <c r="S563" s="1" t="s">
        <v>360</v>
      </c>
      <c r="T563" s="15" t="s">
        <v>27</v>
      </c>
    </row>
    <row r="564" spans="1:20" x14ac:dyDescent="0.3">
      <c r="A564" s="14">
        <v>563</v>
      </c>
      <c r="B564" s="4">
        <v>44437</v>
      </c>
      <c r="C564" s="1" t="s">
        <v>533</v>
      </c>
      <c r="D564" s="1" t="s">
        <v>28</v>
      </c>
      <c r="E564" s="1" t="s">
        <v>36</v>
      </c>
      <c r="F564" s="2">
        <v>7</v>
      </c>
      <c r="G564" s="5">
        <v>2270</v>
      </c>
      <c r="H564" s="24">
        <f t="shared" si="40"/>
        <v>15890</v>
      </c>
      <c r="I564" s="7">
        <v>0.1</v>
      </c>
      <c r="J564" s="5">
        <f t="shared" si="41"/>
        <v>1589</v>
      </c>
      <c r="K564" s="5">
        <f t="shared" si="42"/>
        <v>14301</v>
      </c>
      <c r="L564" s="5">
        <v>1800</v>
      </c>
      <c r="M564" s="5">
        <f t="shared" si="43"/>
        <v>1701</v>
      </c>
      <c r="N564" s="7">
        <f t="shared" si="44"/>
        <v>0.11894273127753303</v>
      </c>
      <c r="O564" s="1" t="s">
        <v>41</v>
      </c>
      <c r="P564" s="1" t="s">
        <v>31</v>
      </c>
      <c r="Q564" s="1" t="s">
        <v>24</v>
      </c>
      <c r="R564" s="1" t="s">
        <v>38</v>
      </c>
      <c r="S564" s="1" t="s">
        <v>361</v>
      </c>
      <c r="T564" s="15" t="s">
        <v>27</v>
      </c>
    </row>
    <row r="565" spans="1:20" x14ac:dyDescent="0.3">
      <c r="A565" s="14">
        <v>564</v>
      </c>
      <c r="B565" s="4">
        <v>44297</v>
      </c>
      <c r="C565" s="1" t="s">
        <v>533</v>
      </c>
      <c r="D565" s="1" t="s">
        <v>20</v>
      </c>
      <c r="E565" s="1" t="s">
        <v>45</v>
      </c>
      <c r="F565" s="2">
        <v>6</v>
      </c>
      <c r="G565" s="5">
        <v>200</v>
      </c>
      <c r="H565" s="24">
        <f t="shared" si="40"/>
        <v>1200</v>
      </c>
      <c r="I565" s="7">
        <v>0.15</v>
      </c>
      <c r="J565" s="5">
        <f t="shared" si="41"/>
        <v>180</v>
      </c>
      <c r="K565" s="5">
        <f t="shared" si="42"/>
        <v>1020</v>
      </c>
      <c r="L565" s="5">
        <v>150</v>
      </c>
      <c r="M565" s="5">
        <f t="shared" si="43"/>
        <v>120</v>
      </c>
      <c r="N565" s="7">
        <f t="shared" si="44"/>
        <v>0.11764705882352941</v>
      </c>
      <c r="O565" s="1" t="s">
        <v>30</v>
      </c>
      <c r="P565" s="1" t="s">
        <v>31</v>
      </c>
      <c r="Q565" s="1" t="s">
        <v>48</v>
      </c>
      <c r="R565" s="1" t="s">
        <v>25</v>
      </c>
      <c r="S565" s="1" t="s">
        <v>340</v>
      </c>
      <c r="T565" s="15" t="s">
        <v>27</v>
      </c>
    </row>
    <row r="566" spans="1:20" x14ac:dyDescent="0.3">
      <c r="A566" s="14">
        <v>565</v>
      </c>
      <c r="B566" s="4">
        <v>44373</v>
      </c>
      <c r="C566" s="1" t="s">
        <v>530</v>
      </c>
      <c r="D566" s="1" t="s">
        <v>28</v>
      </c>
      <c r="E566" s="1" t="s">
        <v>29</v>
      </c>
      <c r="F566" s="2">
        <v>10</v>
      </c>
      <c r="G566" s="5">
        <v>2240</v>
      </c>
      <c r="H566" s="24">
        <f t="shared" si="40"/>
        <v>22400</v>
      </c>
      <c r="I566" s="7">
        <v>0.1</v>
      </c>
      <c r="J566" s="5">
        <f t="shared" si="41"/>
        <v>2240</v>
      </c>
      <c r="K566" s="5">
        <f t="shared" si="42"/>
        <v>20160</v>
      </c>
      <c r="L566" s="5">
        <v>1690</v>
      </c>
      <c r="M566" s="5">
        <f t="shared" si="43"/>
        <v>3260</v>
      </c>
      <c r="N566" s="7">
        <f t="shared" si="44"/>
        <v>0.16170634920634921</v>
      </c>
      <c r="O566" s="1" t="s">
        <v>30</v>
      </c>
      <c r="P566" s="1" t="s">
        <v>31</v>
      </c>
      <c r="Q566" s="1" t="s">
        <v>37</v>
      </c>
      <c r="R566" s="1" t="s">
        <v>25</v>
      </c>
      <c r="S566" s="1" t="s">
        <v>362</v>
      </c>
      <c r="T566" s="15" t="s">
        <v>53</v>
      </c>
    </row>
    <row r="567" spans="1:20" x14ac:dyDescent="0.3">
      <c r="A567" s="14">
        <v>566</v>
      </c>
      <c r="B567" s="4">
        <v>44271</v>
      </c>
      <c r="C567" s="1" t="s">
        <v>529</v>
      </c>
      <c r="D567" s="1" t="s">
        <v>82</v>
      </c>
      <c r="E567" s="1" t="s">
        <v>40</v>
      </c>
      <c r="F567" s="2">
        <v>11</v>
      </c>
      <c r="G567" s="5">
        <v>1530</v>
      </c>
      <c r="H567" s="24">
        <f t="shared" si="40"/>
        <v>16830</v>
      </c>
      <c r="I567" s="7">
        <v>0</v>
      </c>
      <c r="J567" s="5">
        <f t="shared" si="41"/>
        <v>0</v>
      </c>
      <c r="K567" s="5">
        <f t="shared" si="42"/>
        <v>16830</v>
      </c>
      <c r="L567" s="5">
        <v>1080</v>
      </c>
      <c r="M567" s="5">
        <f t="shared" si="43"/>
        <v>4950</v>
      </c>
      <c r="N567" s="7">
        <f t="shared" si="44"/>
        <v>0.29411764705882354</v>
      </c>
      <c r="O567" s="1" t="s">
        <v>30</v>
      </c>
      <c r="P567" s="1" t="s">
        <v>62</v>
      </c>
      <c r="Q567" s="1" t="s">
        <v>32</v>
      </c>
      <c r="R567" s="1" t="s">
        <v>38</v>
      </c>
      <c r="S567" s="1" t="s">
        <v>363</v>
      </c>
      <c r="T567" s="15" t="s">
        <v>61</v>
      </c>
    </row>
    <row r="568" spans="1:20" x14ac:dyDescent="0.3">
      <c r="A568" s="14">
        <v>567</v>
      </c>
      <c r="B568" s="4">
        <v>44443</v>
      </c>
      <c r="C568" s="1" t="s">
        <v>533</v>
      </c>
      <c r="D568" s="1" t="s">
        <v>80</v>
      </c>
      <c r="E568" s="1" t="s">
        <v>45</v>
      </c>
      <c r="F568" s="2">
        <v>8</v>
      </c>
      <c r="G568" s="5">
        <v>210</v>
      </c>
      <c r="H568" s="24">
        <f t="shared" si="40"/>
        <v>1680</v>
      </c>
      <c r="I568" s="7">
        <v>0.1</v>
      </c>
      <c r="J568" s="5">
        <f t="shared" si="41"/>
        <v>168</v>
      </c>
      <c r="K568" s="5">
        <f t="shared" si="42"/>
        <v>1512</v>
      </c>
      <c r="L568" s="5">
        <v>130</v>
      </c>
      <c r="M568" s="5">
        <f t="shared" si="43"/>
        <v>472</v>
      </c>
      <c r="N568" s="7">
        <f t="shared" si="44"/>
        <v>0.31216931216931215</v>
      </c>
      <c r="O568" s="1" t="s">
        <v>41</v>
      </c>
      <c r="P568" s="1" t="s">
        <v>31</v>
      </c>
      <c r="Q568" s="1" t="s">
        <v>24</v>
      </c>
      <c r="R568" s="1" t="s">
        <v>25</v>
      </c>
      <c r="S568" s="1" t="s">
        <v>142</v>
      </c>
      <c r="T568" s="15" t="s">
        <v>53</v>
      </c>
    </row>
    <row r="569" spans="1:20" x14ac:dyDescent="0.3">
      <c r="A569" s="14">
        <v>568</v>
      </c>
      <c r="B569" s="4">
        <v>44481</v>
      </c>
      <c r="C569" s="1" t="s">
        <v>529</v>
      </c>
      <c r="D569" s="1" t="s">
        <v>82</v>
      </c>
      <c r="E569" s="1" t="s">
        <v>21</v>
      </c>
      <c r="F569" s="2">
        <v>2</v>
      </c>
      <c r="G569" s="5">
        <v>200</v>
      </c>
      <c r="H569" s="24">
        <f t="shared" si="40"/>
        <v>400</v>
      </c>
      <c r="I569" s="7">
        <v>0</v>
      </c>
      <c r="J569" s="5">
        <f t="shared" si="41"/>
        <v>0</v>
      </c>
      <c r="K569" s="5">
        <f t="shared" si="42"/>
        <v>400</v>
      </c>
      <c r="L569" s="5">
        <v>140</v>
      </c>
      <c r="M569" s="5">
        <f t="shared" si="43"/>
        <v>120</v>
      </c>
      <c r="N569" s="7">
        <f t="shared" si="44"/>
        <v>0.3</v>
      </c>
      <c r="O569" s="1" t="s">
        <v>59</v>
      </c>
      <c r="P569" s="1" t="s">
        <v>31</v>
      </c>
      <c r="Q569" s="1" t="s">
        <v>48</v>
      </c>
      <c r="R569" s="1" t="s">
        <v>66</v>
      </c>
      <c r="S569" s="1" t="s">
        <v>74</v>
      </c>
      <c r="T569" s="15" t="s">
        <v>61</v>
      </c>
    </row>
    <row r="570" spans="1:20" x14ac:dyDescent="0.3">
      <c r="A570" s="14">
        <v>569</v>
      </c>
      <c r="B570" s="4">
        <v>44201</v>
      </c>
      <c r="C570" s="1" t="s">
        <v>532</v>
      </c>
      <c r="D570" s="1" t="s">
        <v>28</v>
      </c>
      <c r="E570" s="1" t="s">
        <v>21</v>
      </c>
      <c r="F570" s="2">
        <v>8</v>
      </c>
      <c r="G570" s="5">
        <v>190</v>
      </c>
      <c r="H570" s="24">
        <f t="shared" si="40"/>
        <v>1520</v>
      </c>
      <c r="I570" s="7">
        <v>0.02</v>
      </c>
      <c r="J570" s="5">
        <f t="shared" si="41"/>
        <v>30.400000000000002</v>
      </c>
      <c r="K570" s="5">
        <f t="shared" si="42"/>
        <v>1489.6</v>
      </c>
      <c r="L570" s="5">
        <v>130</v>
      </c>
      <c r="M570" s="5">
        <f t="shared" si="43"/>
        <v>449.59999999999991</v>
      </c>
      <c r="N570" s="7">
        <f t="shared" si="44"/>
        <v>0.30182599355531681</v>
      </c>
      <c r="O570" s="1" t="s">
        <v>30</v>
      </c>
      <c r="P570" s="1" t="s">
        <v>31</v>
      </c>
      <c r="Q570" s="1" t="s">
        <v>24</v>
      </c>
      <c r="R570" s="1" t="s">
        <v>66</v>
      </c>
      <c r="S570" s="1" t="s">
        <v>364</v>
      </c>
      <c r="T570" s="15" t="s">
        <v>27</v>
      </c>
    </row>
    <row r="571" spans="1:20" x14ac:dyDescent="0.3">
      <c r="A571" s="14">
        <v>570</v>
      </c>
      <c r="B571" s="4">
        <v>44272</v>
      </c>
      <c r="C571" s="1" t="s">
        <v>530</v>
      </c>
      <c r="D571" s="1" t="s">
        <v>20</v>
      </c>
      <c r="E571" s="1" t="s">
        <v>40</v>
      </c>
      <c r="F571" s="2">
        <v>1</v>
      </c>
      <c r="G571" s="5">
        <v>1240</v>
      </c>
      <c r="H571" s="24">
        <f t="shared" si="40"/>
        <v>1240</v>
      </c>
      <c r="I571" s="7">
        <v>0.15</v>
      </c>
      <c r="J571" s="5">
        <f t="shared" si="41"/>
        <v>186</v>
      </c>
      <c r="K571" s="5">
        <f t="shared" si="42"/>
        <v>1054</v>
      </c>
      <c r="L571" s="5">
        <v>940</v>
      </c>
      <c r="M571" s="5">
        <f t="shared" si="43"/>
        <v>114</v>
      </c>
      <c r="N571" s="7">
        <f t="shared" si="44"/>
        <v>0.10815939278937381</v>
      </c>
      <c r="O571" s="1" t="s">
        <v>30</v>
      </c>
      <c r="P571" s="1" t="s">
        <v>31</v>
      </c>
      <c r="Q571" s="1" t="s">
        <v>32</v>
      </c>
      <c r="R571" s="1" t="s">
        <v>50</v>
      </c>
      <c r="S571" s="1" t="s">
        <v>340</v>
      </c>
      <c r="T571" s="15" t="s">
        <v>35</v>
      </c>
    </row>
    <row r="572" spans="1:20" x14ac:dyDescent="0.3">
      <c r="A572" s="14">
        <v>571</v>
      </c>
      <c r="B572" s="4">
        <v>44233</v>
      </c>
      <c r="C572" s="1" t="s">
        <v>530</v>
      </c>
      <c r="D572" s="1" t="s">
        <v>20</v>
      </c>
      <c r="E572" s="1" t="s">
        <v>40</v>
      </c>
      <c r="F572" s="2">
        <v>1</v>
      </c>
      <c r="G572" s="5">
        <v>1420</v>
      </c>
      <c r="H572" s="24">
        <f t="shared" si="40"/>
        <v>1420</v>
      </c>
      <c r="I572" s="7">
        <v>0.02</v>
      </c>
      <c r="J572" s="5">
        <f t="shared" si="41"/>
        <v>28.400000000000002</v>
      </c>
      <c r="K572" s="5">
        <f t="shared" si="42"/>
        <v>1391.6</v>
      </c>
      <c r="L572" s="5">
        <v>1130</v>
      </c>
      <c r="M572" s="5">
        <f t="shared" si="43"/>
        <v>261.59999999999991</v>
      </c>
      <c r="N572" s="7">
        <f t="shared" si="44"/>
        <v>0.18798505317620001</v>
      </c>
      <c r="O572" s="1" t="s">
        <v>30</v>
      </c>
      <c r="P572" s="1" t="s">
        <v>76</v>
      </c>
      <c r="Q572" s="1" t="s">
        <v>32</v>
      </c>
      <c r="R572" s="1" t="s">
        <v>63</v>
      </c>
      <c r="S572" s="1" t="s">
        <v>365</v>
      </c>
      <c r="T572" s="15" t="s">
        <v>27</v>
      </c>
    </row>
    <row r="573" spans="1:20" x14ac:dyDescent="0.3">
      <c r="A573" s="14">
        <v>572</v>
      </c>
      <c r="B573" s="4">
        <v>44305</v>
      </c>
      <c r="C573" s="1" t="s">
        <v>533</v>
      </c>
      <c r="D573" s="1" t="s">
        <v>28</v>
      </c>
      <c r="E573" s="1" t="s">
        <v>29</v>
      </c>
      <c r="F573" s="2">
        <v>7</v>
      </c>
      <c r="G573" s="5">
        <v>2020</v>
      </c>
      <c r="H573" s="24">
        <f t="shared" si="40"/>
        <v>14140</v>
      </c>
      <c r="I573" s="7">
        <v>0</v>
      </c>
      <c r="J573" s="5">
        <f t="shared" si="41"/>
        <v>0</v>
      </c>
      <c r="K573" s="5">
        <f t="shared" si="42"/>
        <v>14140</v>
      </c>
      <c r="L573" s="5">
        <v>1250</v>
      </c>
      <c r="M573" s="5">
        <f t="shared" si="43"/>
        <v>5390</v>
      </c>
      <c r="N573" s="7">
        <f t="shared" si="44"/>
        <v>0.38118811881188119</v>
      </c>
      <c r="O573" s="1" t="s">
        <v>59</v>
      </c>
      <c r="P573" s="1" t="s">
        <v>31</v>
      </c>
      <c r="Q573" s="1" t="s">
        <v>24</v>
      </c>
      <c r="R573" s="1" t="s">
        <v>38</v>
      </c>
      <c r="S573" s="1" t="s">
        <v>366</v>
      </c>
      <c r="T573" s="15" t="s">
        <v>61</v>
      </c>
    </row>
    <row r="574" spans="1:20" x14ac:dyDescent="0.3">
      <c r="A574" s="14">
        <v>573</v>
      </c>
      <c r="B574" s="4">
        <v>44303</v>
      </c>
      <c r="C574" s="1" t="s">
        <v>533</v>
      </c>
      <c r="D574" s="1" t="s">
        <v>20</v>
      </c>
      <c r="E574" s="1" t="s">
        <v>45</v>
      </c>
      <c r="F574" s="2">
        <v>9</v>
      </c>
      <c r="G574" s="5">
        <v>170</v>
      </c>
      <c r="H574" s="24">
        <f t="shared" si="40"/>
        <v>1530</v>
      </c>
      <c r="I574" s="7">
        <v>0</v>
      </c>
      <c r="J574" s="5">
        <f t="shared" si="41"/>
        <v>0</v>
      </c>
      <c r="K574" s="5">
        <f t="shared" si="42"/>
        <v>1530</v>
      </c>
      <c r="L574" s="5">
        <v>100</v>
      </c>
      <c r="M574" s="5">
        <f t="shared" si="43"/>
        <v>630</v>
      </c>
      <c r="N574" s="7">
        <f t="shared" si="44"/>
        <v>0.41176470588235292</v>
      </c>
      <c r="O574" s="1" t="s">
        <v>41</v>
      </c>
      <c r="P574" s="1" t="s">
        <v>31</v>
      </c>
      <c r="Q574" s="1" t="s">
        <v>32</v>
      </c>
      <c r="R574" s="1" t="s">
        <v>66</v>
      </c>
      <c r="S574" s="1" t="s">
        <v>367</v>
      </c>
      <c r="T574" s="15" t="s">
        <v>61</v>
      </c>
    </row>
    <row r="575" spans="1:20" x14ac:dyDescent="0.3">
      <c r="A575" s="14">
        <v>574</v>
      </c>
      <c r="B575" s="4">
        <v>44222</v>
      </c>
      <c r="C575" s="1" t="s">
        <v>530</v>
      </c>
      <c r="D575" s="1" t="s">
        <v>20</v>
      </c>
      <c r="E575" s="1" t="s">
        <v>43</v>
      </c>
      <c r="F575" s="2">
        <v>12</v>
      </c>
      <c r="G575" s="5">
        <v>320</v>
      </c>
      <c r="H575" s="24">
        <f t="shared" si="40"/>
        <v>3840</v>
      </c>
      <c r="I575" s="7">
        <v>0.1</v>
      </c>
      <c r="J575" s="5">
        <f t="shared" si="41"/>
        <v>384</v>
      </c>
      <c r="K575" s="5">
        <f t="shared" si="42"/>
        <v>3456</v>
      </c>
      <c r="L575" s="5">
        <v>190</v>
      </c>
      <c r="M575" s="5">
        <f t="shared" si="43"/>
        <v>1176</v>
      </c>
      <c r="N575" s="7">
        <f t="shared" si="44"/>
        <v>0.34027777777777779</v>
      </c>
      <c r="O575" s="1" t="s">
        <v>30</v>
      </c>
      <c r="P575" s="1" t="s">
        <v>31</v>
      </c>
      <c r="Q575" s="1" t="s">
        <v>24</v>
      </c>
      <c r="R575" s="1" t="s">
        <v>56</v>
      </c>
      <c r="S575" s="1" t="s">
        <v>277</v>
      </c>
      <c r="T575" s="15" t="s">
        <v>27</v>
      </c>
    </row>
    <row r="576" spans="1:20" x14ac:dyDescent="0.3">
      <c r="A576" s="14">
        <v>575</v>
      </c>
      <c r="B576" s="4">
        <v>44307</v>
      </c>
      <c r="C576" s="1" t="s">
        <v>532</v>
      </c>
      <c r="D576" s="1" t="s">
        <v>28</v>
      </c>
      <c r="E576" s="1" t="s">
        <v>40</v>
      </c>
      <c r="F576" s="2">
        <v>1</v>
      </c>
      <c r="G576" s="5">
        <v>1510</v>
      </c>
      <c r="H576" s="24">
        <f t="shared" si="40"/>
        <v>1510</v>
      </c>
      <c r="I576" s="7">
        <v>0.05</v>
      </c>
      <c r="J576" s="5">
        <f t="shared" si="41"/>
        <v>75.5</v>
      </c>
      <c r="K576" s="5">
        <f t="shared" si="42"/>
        <v>1434.5</v>
      </c>
      <c r="L576" s="5">
        <v>960</v>
      </c>
      <c r="M576" s="5">
        <f t="shared" si="43"/>
        <v>474.5</v>
      </c>
      <c r="N576" s="7">
        <f t="shared" si="44"/>
        <v>0.33077727431160681</v>
      </c>
      <c r="O576" s="1" t="s">
        <v>54</v>
      </c>
      <c r="P576" s="1" t="s">
        <v>31</v>
      </c>
      <c r="Q576" s="1" t="s">
        <v>37</v>
      </c>
      <c r="R576" s="1" t="s">
        <v>63</v>
      </c>
      <c r="S576" s="1" t="s">
        <v>278</v>
      </c>
      <c r="T576" s="15" t="s">
        <v>35</v>
      </c>
    </row>
    <row r="577" spans="1:20" x14ac:dyDescent="0.3">
      <c r="A577" s="14">
        <v>576</v>
      </c>
      <c r="B577" s="4">
        <v>44475</v>
      </c>
      <c r="C577" s="1" t="s">
        <v>534</v>
      </c>
      <c r="D577" s="1" t="s">
        <v>28</v>
      </c>
      <c r="E577" s="1" t="s">
        <v>40</v>
      </c>
      <c r="F577" s="2">
        <v>3</v>
      </c>
      <c r="G577" s="5">
        <v>1470</v>
      </c>
      <c r="H577" s="24">
        <f t="shared" si="40"/>
        <v>4410</v>
      </c>
      <c r="I577" s="7">
        <v>0.05</v>
      </c>
      <c r="J577" s="5">
        <f t="shared" si="41"/>
        <v>220.5</v>
      </c>
      <c r="K577" s="5">
        <f t="shared" si="42"/>
        <v>4189.5</v>
      </c>
      <c r="L577" s="5">
        <v>1100</v>
      </c>
      <c r="M577" s="5">
        <f t="shared" si="43"/>
        <v>889.5</v>
      </c>
      <c r="N577" s="7">
        <f t="shared" si="44"/>
        <v>0.21231650554958825</v>
      </c>
      <c r="O577" s="1" t="s">
        <v>22</v>
      </c>
      <c r="P577" s="1" t="s">
        <v>31</v>
      </c>
      <c r="Q577" s="1" t="s">
        <v>48</v>
      </c>
      <c r="R577" s="1" t="s">
        <v>88</v>
      </c>
      <c r="S577" s="1" t="s">
        <v>368</v>
      </c>
      <c r="T577" s="15" t="s">
        <v>35</v>
      </c>
    </row>
    <row r="578" spans="1:20" x14ac:dyDescent="0.3">
      <c r="A578" s="14">
        <v>577</v>
      </c>
      <c r="B578" s="4">
        <v>44542</v>
      </c>
      <c r="C578" s="1" t="s">
        <v>534</v>
      </c>
      <c r="D578" s="1" t="s">
        <v>20</v>
      </c>
      <c r="E578" s="1" t="s">
        <v>21</v>
      </c>
      <c r="F578" s="2">
        <v>7</v>
      </c>
      <c r="G578" s="5">
        <v>240</v>
      </c>
      <c r="H578" s="24">
        <f t="shared" ref="H578:H641" si="45">F578*G578</f>
        <v>1680</v>
      </c>
      <c r="I578" s="7">
        <v>0.05</v>
      </c>
      <c r="J578" s="5">
        <f t="shared" ref="J578:J641" si="46">H578*I578</f>
        <v>84</v>
      </c>
      <c r="K578" s="5">
        <f t="shared" ref="K578:K641" si="47">H578-J578</f>
        <v>1596</v>
      </c>
      <c r="L578" s="5">
        <v>170</v>
      </c>
      <c r="M578" s="5">
        <f t="shared" ref="M578:M641" si="48">K578-(F578*L578)</f>
        <v>406</v>
      </c>
      <c r="N578" s="7">
        <f t="shared" ref="N578:N641" si="49">IFERROR(M578/K578,0)</f>
        <v>0.25438596491228072</v>
      </c>
      <c r="O578" s="1" t="s">
        <v>54</v>
      </c>
      <c r="P578" s="1" t="s">
        <v>31</v>
      </c>
      <c r="Q578" s="1" t="s">
        <v>48</v>
      </c>
      <c r="R578" s="1" t="s">
        <v>25</v>
      </c>
      <c r="S578" s="1" t="s">
        <v>357</v>
      </c>
      <c r="T578" s="15" t="s">
        <v>35</v>
      </c>
    </row>
    <row r="579" spans="1:20" x14ac:dyDescent="0.3">
      <c r="A579" s="14">
        <v>578</v>
      </c>
      <c r="B579" s="4">
        <v>44211</v>
      </c>
      <c r="C579" s="1" t="s">
        <v>529</v>
      </c>
      <c r="D579" s="1" t="s">
        <v>28</v>
      </c>
      <c r="E579" s="1" t="s">
        <v>21</v>
      </c>
      <c r="F579" s="2">
        <v>1</v>
      </c>
      <c r="G579" s="5">
        <v>200</v>
      </c>
      <c r="H579" s="24">
        <f t="shared" si="45"/>
        <v>200</v>
      </c>
      <c r="I579" s="7">
        <v>0</v>
      </c>
      <c r="J579" s="5">
        <f t="shared" si="46"/>
        <v>0</v>
      </c>
      <c r="K579" s="5">
        <f t="shared" si="47"/>
        <v>200</v>
      </c>
      <c r="L579" s="5">
        <v>140</v>
      </c>
      <c r="M579" s="5">
        <f t="shared" si="48"/>
        <v>60</v>
      </c>
      <c r="N579" s="7">
        <f t="shared" si="49"/>
        <v>0.3</v>
      </c>
      <c r="O579" s="1" t="s">
        <v>41</v>
      </c>
      <c r="P579" s="1" t="s">
        <v>31</v>
      </c>
      <c r="Q579" s="1" t="s">
        <v>37</v>
      </c>
      <c r="R579" s="1" t="s">
        <v>50</v>
      </c>
      <c r="S579" s="1" t="s">
        <v>369</v>
      </c>
      <c r="T579" s="15" t="s">
        <v>35</v>
      </c>
    </row>
    <row r="580" spans="1:20" x14ac:dyDescent="0.3">
      <c r="A580" s="14">
        <v>579</v>
      </c>
      <c r="B580" s="4">
        <v>44302</v>
      </c>
      <c r="C580" s="1" t="s">
        <v>530</v>
      </c>
      <c r="D580" s="1" t="s">
        <v>20</v>
      </c>
      <c r="E580" s="1" t="s">
        <v>45</v>
      </c>
      <c r="F580" s="2">
        <v>1</v>
      </c>
      <c r="G580" s="5">
        <v>190</v>
      </c>
      <c r="H580" s="24">
        <f t="shared" si="45"/>
        <v>190</v>
      </c>
      <c r="I580" s="7">
        <v>0</v>
      </c>
      <c r="J580" s="5">
        <f t="shared" si="46"/>
        <v>0</v>
      </c>
      <c r="K580" s="5">
        <f t="shared" si="47"/>
        <v>190</v>
      </c>
      <c r="L580" s="5">
        <v>140</v>
      </c>
      <c r="M580" s="5">
        <f t="shared" si="48"/>
        <v>50</v>
      </c>
      <c r="N580" s="7">
        <f t="shared" si="49"/>
        <v>0.26315789473684209</v>
      </c>
      <c r="O580" s="1" t="s">
        <v>54</v>
      </c>
      <c r="P580" s="1" t="s">
        <v>31</v>
      </c>
      <c r="Q580" s="1" t="s">
        <v>24</v>
      </c>
      <c r="R580" s="1" t="s">
        <v>56</v>
      </c>
      <c r="S580" s="1" t="s">
        <v>84</v>
      </c>
      <c r="T580" s="15" t="s">
        <v>35</v>
      </c>
    </row>
    <row r="581" spans="1:20" x14ac:dyDescent="0.3">
      <c r="A581" s="14">
        <v>580</v>
      </c>
      <c r="B581" s="4">
        <v>44203</v>
      </c>
      <c r="C581" s="1" t="s">
        <v>533</v>
      </c>
      <c r="D581" s="1" t="s">
        <v>20</v>
      </c>
      <c r="E581" s="1" t="s">
        <v>43</v>
      </c>
      <c r="F581" s="2">
        <v>3</v>
      </c>
      <c r="G581" s="5">
        <v>270</v>
      </c>
      <c r="H581" s="24">
        <f t="shared" si="45"/>
        <v>810</v>
      </c>
      <c r="I581" s="7">
        <v>0</v>
      </c>
      <c r="J581" s="5">
        <f t="shared" si="46"/>
        <v>0</v>
      </c>
      <c r="K581" s="5">
        <f t="shared" si="47"/>
        <v>810</v>
      </c>
      <c r="L581" s="5">
        <v>180</v>
      </c>
      <c r="M581" s="5">
        <f t="shared" si="48"/>
        <v>270</v>
      </c>
      <c r="N581" s="7">
        <f t="shared" si="49"/>
        <v>0.33333333333333331</v>
      </c>
      <c r="O581" s="1" t="s">
        <v>59</v>
      </c>
      <c r="P581" s="1" t="s">
        <v>31</v>
      </c>
      <c r="Q581" s="1" t="s">
        <v>24</v>
      </c>
      <c r="R581" s="1" t="s">
        <v>46</v>
      </c>
      <c r="S581" s="1" t="s">
        <v>370</v>
      </c>
      <c r="T581" s="15" t="s">
        <v>27</v>
      </c>
    </row>
    <row r="582" spans="1:20" x14ac:dyDescent="0.3">
      <c r="A582" s="14">
        <v>581</v>
      </c>
      <c r="B582" s="4">
        <v>44521</v>
      </c>
      <c r="C582" s="1" t="s">
        <v>534</v>
      </c>
      <c r="D582" s="1" t="s">
        <v>20</v>
      </c>
      <c r="E582" s="1" t="s">
        <v>40</v>
      </c>
      <c r="F582" s="2">
        <v>8</v>
      </c>
      <c r="G582" s="5">
        <v>1080</v>
      </c>
      <c r="H582" s="24">
        <f t="shared" si="45"/>
        <v>8640</v>
      </c>
      <c r="I582" s="7">
        <v>0.05</v>
      </c>
      <c r="J582" s="5">
        <f t="shared" si="46"/>
        <v>432</v>
      </c>
      <c r="K582" s="5">
        <f t="shared" si="47"/>
        <v>8208</v>
      </c>
      <c r="L582" s="5">
        <v>640</v>
      </c>
      <c r="M582" s="5">
        <f t="shared" si="48"/>
        <v>3088</v>
      </c>
      <c r="N582" s="7">
        <f t="shared" si="49"/>
        <v>0.37621832358674462</v>
      </c>
      <c r="O582" s="1" t="s">
        <v>41</v>
      </c>
      <c r="P582" s="1" t="s">
        <v>31</v>
      </c>
      <c r="Q582" s="1" t="s">
        <v>32</v>
      </c>
      <c r="R582" s="1" t="s">
        <v>33</v>
      </c>
      <c r="S582" s="1" t="s">
        <v>171</v>
      </c>
      <c r="T582" s="15" t="s">
        <v>27</v>
      </c>
    </row>
    <row r="583" spans="1:20" x14ac:dyDescent="0.3">
      <c r="A583" s="14">
        <v>582</v>
      </c>
      <c r="B583" s="4">
        <v>44351</v>
      </c>
      <c r="C583" s="1" t="s">
        <v>529</v>
      </c>
      <c r="D583" s="1" t="s">
        <v>20</v>
      </c>
      <c r="E583" s="1" t="s">
        <v>45</v>
      </c>
      <c r="F583" s="2">
        <v>12</v>
      </c>
      <c r="G583" s="5">
        <v>210</v>
      </c>
      <c r="H583" s="24">
        <f t="shared" si="45"/>
        <v>2520</v>
      </c>
      <c r="I583" s="7">
        <v>0.15</v>
      </c>
      <c r="J583" s="5">
        <f t="shared" si="46"/>
        <v>378</v>
      </c>
      <c r="K583" s="5">
        <f t="shared" si="47"/>
        <v>2142</v>
      </c>
      <c r="L583" s="5">
        <v>140</v>
      </c>
      <c r="M583" s="5">
        <f t="shared" si="48"/>
        <v>462</v>
      </c>
      <c r="N583" s="7">
        <f t="shared" si="49"/>
        <v>0.21568627450980393</v>
      </c>
      <c r="O583" s="1" t="s">
        <v>59</v>
      </c>
      <c r="P583" s="1" t="s">
        <v>31</v>
      </c>
      <c r="Q583" s="1" t="s">
        <v>37</v>
      </c>
      <c r="R583" s="1" t="s">
        <v>50</v>
      </c>
      <c r="S583" s="1" t="s">
        <v>297</v>
      </c>
      <c r="T583" s="15" t="s">
        <v>27</v>
      </c>
    </row>
    <row r="584" spans="1:20" x14ac:dyDescent="0.3">
      <c r="A584" s="14">
        <v>583</v>
      </c>
      <c r="B584" s="4">
        <v>44277</v>
      </c>
      <c r="C584" s="1" t="s">
        <v>529</v>
      </c>
      <c r="D584" s="1" t="s">
        <v>82</v>
      </c>
      <c r="E584" s="1" t="s">
        <v>36</v>
      </c>
      <c r="F584" s="2">
        <v>11</v>
      </c>
      <c r="G584" s="5">
        <v>1280</v>
      </c>
      <c r="H584" s="24">
        <f t="shared" si="45"/>
        <v>14080</v>
      </c>
      <c r="I584" s="7">
        <v>0.02</v>
      </c>
      <c r="J584" s="5">
        <f t="shared" si="46"/>
        <v>281.60000000000002</v>
      </c>
      <c r="K584" s="5">
        <f t="shared" si="47"/>
        <v>13798.4</v>
      </c>
      <c r="L584" s="5">
        <v>900</v>
      </c>
      <c r="M584" s="5">
        <f t="shared" si="48"/>
        <v>3898.3999999999996</v>
      </c>
      <c r="N584" s="7">
        <f t="shared" si="49"/>
        <v>0.28252551020408162</v>
      </c>
      <c r="O584" s="1" t="s">
        <v>22</v>
      </c>
      <c r="P584" s="1" t="s">
        <v>31</v>
      </c>
      <c r="Q584" s="1" t="s">
        <v>32</v>
      </c>
      <c r="R584" s="1" t="s">
        <v>38</v>
      </c>
      <c r="S584" s="1" t="s">
        <v>290</v>
      </c>
      <c r="T584" s="15" t="s">
        <v>61</v>
      </c>
    </row>
    <row r="585" spans="1:20" x14ac:dyDescent="0.3">
      <c r="A585" s="14">
        <v>584</v>
      </c>
      <c r="B585" s="4">
        <v>44543</v>
      </c>
      <c r="C585" s="1" t="s">
        <v>532</v>
      </c>
      <c r="D585" s="1" t="s">
        <v>20</v>
      </c>
      <c r="E585" s="1" t="s">
        <v>21</v>
      </c>
      <c r="F585" s="2">
        <v>10</v>
      </c>
      <c r="G585" s="5">
        <v>190</v>
      </c>
      <c r="H585" s="24">
        <f t="shared" si="45"/>
        <v>1900</v>
      </c>
      <c r="I585" s="7">
        <v>0.02</v>
      </c>
      <c r="J585" s="5">
        <f t="shared" si="46"/>
        <v>38</v>
      </c>
      <c r="K585" s="5">
        <f t="shared" si="47"/>
        <v>1862</v>
      </c>
      <c r="L585" s="5">
        <v>120</v>
      </c>
      <c r="M585" s="5">
        <f t="shared" si="48"/>
        <v>662</v>
      </c>
      <c r="N585" s="7">
        <f t="shared" si="49"/>
        <v>0.35553168635875404</v>
      </c>
      <c r="O585" s="1" t="s">
        <v>41</v>
      </c>
      <c r="P585" s="1" t="s">
        <v>31</v>
      </c>
      <c r="Q585" s="1" t="s">
        <v>48</v>
      </c>
      <c r="R585" s="1" t="s">
        <v>63</v>
      </c>
      <c r="S585" s="1" t="s">
        <v>268</v>
      </c>
      <c r="T585" s="15" t="s">
        <v>27</v>
      </c>
    </row>
    <row r="586" spans="1:20" x14ac:dyDescent="0.3">
      <c r="A586" s="14">
        <v>585</v>
      </c>
      <c r="B586" s="4">
        <v>44251</v>
      </c>
      <c r="C586" s="1" t="s">
        <v>532</v>
      </c>
      <c r="D586" s="1" t="s">
        <v>82</v>
      </c>
      <c r="E586" s="1" t="s">
        <v>21</v>
      </c>
      <c r="F586" s="2">
        <v>12</v>
      </c>
      <c r="G586" s="5">
        <v>180</v>
      </c>
      <c r="H586" s="24">
        <f t="shared" si="45"/>
        <v>2160</v>
      </c>
      <c r="I586" s="7">
        <v>0</v>
      </c>
      <c r="J586" s="5">
        <f t="shared" si="46"/>
        <v>0</v>
      </c>
      <c r="K586" s="5">
        <f t="shared" si="47"/>
        <v>2160</v>
      </c>
      <c r="L586" s="5">
        <v>130</v>
      </c>
      <c r="M586" s="5">
        <f t="shared" si="48"/>
        <v>600</v>
      </c>
      <c r="N586" s="7">
        <f t="shared" si="49"/>
        <v>0.27777777777777779</v>
      </c>
      <c r="O586" s="1" t="s">
        <v>54</v>
      </c>
      <c r="P586" s="1" t="s">
        <v>31</v>
      </c>
      <c r="Q586" s="1" t="s">
        <v>32</v>
      </c>
      <c r="R586" s="1" t="s">
        <v>33</v>
      </c>
      <c r="S586" s="1" t="s">
        <v>115</v>
      </c>
      <c r="T586" s="15" t="s">
        <v>35</v>
      </c>
    </row>
    <row r="587" spans="1:20" x14ac:dyDescent="0.3">
      <c r="A587" s="14">
        <v>586</v>
      </c>
      <c r="B587" s="4">
        <v>44323</v>
      </c>
      <c r="C587" s="1" t="s">
        <v>532</v>
      </c>
      <c r="D587" s="1" t="s">
        <v>28</v>
      </c>
      <c r="E587" s="1" t="s">
        <v>40</v>
      </c>
      <c r="F587" s="2">
        <v>9</v>
      </c>
      <c r="G587" s="5">
        <v>1660</v>
      </c>
      <c r="H587" s="24">
        <f t="shared" si="45"/>
        <v>14940</v>
      </c>
      <c r="I587" s="7">
        <v>0</v>
      </c>
      <c r="J587" s="5">
        <f t="shared" si="46"/>
        <v>0</v>
      </c>
      <c r="K587" s="5">
        <f t="shared" si="47"/>
        <v>14940</v>
      </c>
      <c r="L587" s="5">
        <v>980</v>
      </c>
      <c r="M587" s="5">
        <f t="shared" si="48"/>
        <v>6120</v>
      </c>
      <c r="N587" s="7">
        <f t="shared" si="49"/>
        <v>0.40963855421686746</v>
      </c>
      <c r="O587" s="1" t="s">
        <v>22</v>
      </c>
      <c r="P587" s="1" t="s">
        <v>31</v>
      </c>
      <c r="Q587" s="1" t="s">
        <v>48</v>
      </c>
      <c r="R587" s="1" t="s">
        <v>33</v>
      </c>
      <c r="S587" s="1" t="s">
        <v>92</v>
      </c>
      <c r="T587" s="15" t="s">
        <v>61</v>
      </c>
    </row>
    <row r="588" spans="1:20" x14ac:dyDescent="0.3">
      <c r="A588" s="14">
        <v>587</v>
      </c>
      <c r="B588" s="4">
        <v>44384</v>
      </c>
      <c r="C588" s="1" t="s">
        <v>534</v>
      </c>
      <c r="D588" s="1" t="s">
        <v>82</v>
      </c>
      <c r="E588" s="1" t="s">
        <v>29</v>
      </c>
      <c r="F588" s="2">
        <v>2</v>
      </c>
      <c r="G588" s="5">
        <v>2280</v>
      </c>
      <c r="H588" s="24">
        <f t="shared" si="45"/>
        <v>4560</v>
      </c>
      <c r="I588" s="7">
        <v>0.05</v>
      </c>
      <c r="J588" s="5">
        <f t="shared" si="46"/>
        <v>228</v>
      </c>
      <c r="K588" s="5">
        <f t="shared" si="47"/>
        <v>4332</v>
      </c>
      <c r="L588" s="5">
        <v>1590</v>
      </c>
      <c r="M588" s="5">
        <f t="shared" si="48"/>
        <v>1152</v>
      </c>
      <c r="N588" s="7">
        <f t="shared" si="49"/>
        <v>0.26592797783933519</v>
      </c>
      <c r="O588" s="1" t="s">
        <v>54</v>
      </c>
      <c r="P588" s="1" t="s">
        <v>31</v>
      </c>
      <c r="Q588" s="1" t="s">
        <v>48</v>
      </c>
      <c r="R588" s="1" t="s">
        <v>63</v>
      </c>
      <c r="S588" s="1" t="s">
        <v>187</v>
      </c>
      <c r="T588" s="15" t="s">
        <v>27</v>
      </c>
    </row>
    <row r="589" spans="1:20" x14ac:dyDescent="0.3">
      <c r="A589" s="14">
        <v>588</v>
      </c>
      <c r="B589" s="4">
        <v>44352</v>
      </c>
      <c r="C589" s="1" t="s">
        <v>530</v>
      </c>
      <c r="D589" s="1" t="s">
        <v>20</v>
      </c>
      <c r="E589" s="1" t="s">
        <v>29</v>
      </c>
      <c r="F589" s="2">
        <v>11</v>
      </c>
      <c r="G589" s="5">
        <v>2210</v>
      </c>
      <c r="H589" s="24">
        <f t="shared" si="45"/>
        <v>24310</v>
      </c>
      <c r="I589" s="7">
        <v>0.15</v>
      </c>
      <c r="J589" s="5">
        <f t="shared" si="46"/>
        <v>3646.5</v>
      </c>
      <c r="K589" s="5">
        <f t="shared" si="47"/>
        <v>20663.5</v>
      </c>
      <c r="L589" s="5">
        <v>1380</v>
      </c>
      <c r="M589" s="5">
        <f t="shared" si="48"/>
        <v>5483.5</v>
      </c>
      <c r="N589" s="7">
        <f t="shared" si="49"/>
        <v>0.26537130689379823</v>
      </c>
      <c r="O589" s="1" t="s">
        <v>22</v>
      </c>
      <c r="P589" s="1" t="s">
        <v>31</v>
      </c>
      <c r="Q589" s="1" t="s">
        <v>32</v>
      </c>
      <c r="R589" s="1" t="s">
        <v>38</v>
      </c>
      <c r="S589" s="1" t="s">
        <v>371</v>
      </c>
      <c r="T589" s="15" t="s">
        <v>35</v>
      </c>
    </row>
    <row r="590" spans="1:20" x14ac:dyDescent="0.3">
      <c r="A590" s="14">
        <v>589</v>
      </c>
      <c r="B590" s="4">
        <v>44267</v>
      </c>
      <c r="C590" s="1" t="s">
        <v>529</v>
      </c>
      <c r="D590" s="1" t="s">
        <v>80</v>
      </c>
      <c r="E590" s="1" t="s">
        <v>36</v>
      </c>
      <c r="F590" s="2">
        <v>3</v>
      </c>
      <c r="G590" s="5">
        <v>1160</v>
      </c>
      <c r="H590" s="24">
        <f t="shared" si="45"/>
        <v>3480</v>
      </c>
      <c r="I590" s="7">
        <v>0.05</v>
      </c>
      <c r="J590" s="5">
        <f t="shared" si="46"/>
        <v>174</v>
      </c>
      <c r="K590" s="5">
        <f t="shared" si="47"/>
        <v>3306</v>
      </c>
      <c r="L590" s="5">
        <v>900</v>
      </c>
      <c r="M590" s="5">
        <f t="shared" si="48"/>
        <v>606</v>
      </c>
      <c r="N590" s="7">
        <f t="shared" si="49"/>
        <v>0.18330308529945555</v>
      </c>
      <c r="O590" s="1" t="s">
        <v>59</v>
      </c>
      <c r="P590" s="1" t="s">
        <v>31</v>
      </c>
      <c r="Q590" s="1" t="s">
        <v>48</v>
      </c>
      <c r="R590" s="1" t="s">
        <v>50</v>
      </c>
      <c r="S590" s="1" t="s">
        <v>372</v>
      </c>
      <c r="T590" s="15" t="s">
        <v>35</v>
      </c>
    </row>
    <row r="591" spans="1:20" x14ac:dyDescent="0.3">
      <c r="A591" s="14">
        <v>590</v>
      </c>
      <c r="B591" s="4">
        <v>44533</v>
      </c>
      <c r="C591" s="1" t="s">
        <v>529</v>
      </c>
      <c r="D591" s="1" t="s">
        <v>20</v>
      </c>
      <c r="E591" s="1" t="s">
        <v>36</v>
      </c>
      <c r="F591" s="2">
        <v>2</v>
      </c>
      <c r="G591" s="5">
        <v>2290</v>
      </c>
      <c r="H591" s="24">
        <f t="shared" si="45"/>
        <v>4580</v>
      </c>
      <c r="I591" s="7">
        <v>0</v>
      </c>
      <c r="J591" s="5">
        <f t="shared" si="46"/>
        <v>0</v>
      </c>
      <c r="K591" s="5">
        <f t="shared" si="47"/>
        <v>4580</v>
      </c>
      <c r="L591" s="5">
        <v>1580</v>
      </c>
      <c r="M591" s="5">
        <f t="shared" si="48"/>
        <v>1420</v>
      </c>
      <c r="N591" s="7">
        <f t="shared" si="49"/>
        <v>0.31004366812227074</v>
      </c>
      <c r="O591" s="1" t="s">
        <v>22</v>
      </c>
      <c r="P591" s="1" t="s">
        <v>23</v>
      </c>
      <c r="Q591" s="1" t="s">
        <v>48</v>
      </c>
      <c r="R591" s="1" t="s">
        <v>50</v>
      </c>
      <c r="S591" s="1" t="s">
        <v>373</v>
      </c>
      <c r="T591" s="15" t="s">
        <v>53</v>
      </c>
    </row>
    <row r="592" spans="1:20" x14ac:dyDescent="0.3">
      <c r="A592" s="14">
        <v>591</v>
      </c>
      <c r="B592" s="4">
        <v>44219</v>
      </c>
      <c r="C592" s="1" t="s">
        <v>529</v>
      </c>
      <c r="D592" s="1" t="s">
        <v>82</v>
      </c>
      <c r="E592" s="1" t="s">
        <v>40</v>
      </c>
      <c r="F592" s="2">
        <v>7</v>
      </c>
      <c r="G592" s="5">
        <v>1460</v>
      </c>
      <c r="H592" s="24">
        <f t="shared" si="45"/>
        <v>10220</v>
      </c>
      <c r="I592" s="7">
        <v>0</v>
      </c>
      <c r="J592" s="5">
        <f t="shared" si="46"/>
        <v>0</v>
      </c>
      <c r="K592" s="5">
        <f t="shared" si="47"/>
        <v>10220</v>
      </c>
      <c r="L592" s="5">
        <v>1130</v>
      </c>
      <c r="M592" s="5">
        <f t="shared" si="48"/>
        <v>2310</v>
      </c>
      <c r="N592" s="7">
        <f t="shared" si="49"/>
        <v>0.22602739726027396</v>
      </c>
      <c r="O592" s="1" t="s">
        <v>41</v>
      </c>
      <c r="P592" s="1" t="s">
        <v>31</v>
      </c>
      <c r="Q592" s="1" t="s">
        <v>32</v>
      </c>
      <c r="R592" s="1" t="s">
        <v>63</v>
      </c>
      <c r="S592" s="1" t="s">
        <v>193</v>
      </c>
      <c r="T592" s="15" t="s">
        <v>53</v>
      </c>
    </row>
    <row r="593" spans="1:20" x14ac:dyDescent="0.3">
      <c r="A593" s="14">
        <v>592</v>
      </c>
      <c r="B593" s="4">
        <v>44402</v>
      </c>
      <c r="C593" s="1" t="s">
        <v>530</v>
      </c>
      <c r="D593" s="1" t="s">
        <v>82</v>
      </c>
      <c r="E593" s="1" t="s">
        <v>29</v>
      </c>
      <c r="F593" s="2">
        <v>12</v>
      </c>
      <c r="G593" s="5">
        <v>2360</v>
      </c>
      <c r="H593" s="24">
        <f t="shared" si="45"/>
        <v>28320</v>
      </c>
      <c r="I593" s="7">
        <v>0</v>
      </c>
      <c r="J593" s="5">
        <f t="shared" si="46"/>
        <v>0</v>
      </c>
      <c r="K593" s="5">
        <f t="shared" si="47"/>
        <v>28320</v>
      </c>
      <c r="L593" s="5">
        <v>1760</v>
      </c>
      <c r="M593" s="5">
        <f t="shared" si="48"/>
        <v>7200</v>
      </c>
      <c r="N593" s="7">
        <f t="shared" si="49"/>
        <v>0.25423728813559321</v>
      </c>
      <c r="O593" s="1" t="s">
        <v>59</v>
      </c>
      <c r="P593" s="1" t="s">
        <v>31</v>
      </c>
      <c r="Q593" s="1" t="s">
        <v>24</v>
      </c>
      <c r="R593" s="1" t="s">
        <v>38</v>
      </c>
      <c r="S593" s="1" t="s">
        <v>130</v>
      </c>
      <c r="T593" s="15" t="s">
        <v>61</v>
      </c>
    </row>
    <row r="594" spans="1:20" x14ac:dyDescent="0.3">
      <c r="A594" s="14">
        <v>593</v>
      </c>
      <c r="B594" s="4">
        <v>44276</v>
      </c>
      <c r="C594" s="1" t="s">
        <v>529</v>
      </c>
      <c r="D594" s="1" t="s">
        <v>28</v>
      </c>
      <c r="E594" s="1" t="s">
        <v>40</v>
      </c>
      <c r="F594" s="2">
        <v>8</v>
      </c>
      <c r="G594" s="5">
        <v>1610</v>
      </c>
      <c r="H594" s="24">
        <f t="shared" si="45"/>
        <v>12880</v>
      </c>
      <c r="I594" s="7">
        <v>0.1</v>
      </c>
      <c r="J594" s="5">
        <f t="shared" si="46"/>
        <v>1288</v>
      </c>
      <c r="K594" s="5">
        <f t="shared" si="47"/>
        <v>11592</v>
      </c>
      <c r="L594" s="5">
        <v>1030</v>
      </c>
      <c r="M594" s="5">
        <f t="shared" si="48"/>
        <v>3352</v>
      </c>
      <c r="N594" s="7">
        <f t="shared" si="49"/>
        <v>0.2891649413388544</v>
      </c>
      <c r="O594" s="1" t="s">
        <v>30</v>
      </c>
      <c r="P594" s="1" t="s">
        <v>31</v>
      </c>
      <c r="Q594" s="1" t="s">
        <v>24</v>
      </c>
      <c r="R594" s="1" t="s">
        <v>46</v>
      </c>
      <c r="S594" s="1" t="s">
        <v>374</v>
      </c>
      <c r="T594" s="15" t="s">
        <v>61</v>
      </c>
    </row>
    <row r="595" spans="1:20" x14ac:dyDescent="0.3">
      <c r="A595" s="14">
        <v>594</v>
      </c>
      <c r="B595" s="4">
        <v>44552</v>
      </c>
      <c r="C595" s="1" t="s">
        <v>532</v>
      </c>
      <c r="D595" s="1" t="s">
        <v>82</v>
      </c>
      <c r="E595" s="1" t="s">
        <v>45</v>
      </c>
      <c r="F595" s="2">
        <v>8</v>
      </c>
      <c r="G595" s="5">
        <v>170</v>
      </c>
      <c r="H595" s="24">
        <f t="shared" si="45"/>
        <v>1360</v>
      </c>
      <c r="I595" s="7">
        <v>0.1</v>
      </c>
      <c r="J595" s="5">
        <f t="shared" si="46"/>
        <v>136</v>
      </c>
      <c r="K595" s="5">
        <f t="shared" si="47"/>
        <v>1224</v>
      </c>
      <c r="L595" s="5">
        <v>130</v>
      </c>
      <c r="M595" s="5">
        <f t="shared" si="48"/>
        <v>184</v>
      </c>
      <c r="N595" s="7">
        <f t="shared" si="49"/>
        <v>0.15032679738562091</v>
      </c>
      <c r="O595" s="1" t="s">
        <v>41</v>
      </c>
      <c r="P595" s="1" t="s">
        <v>31</v>
      </c>
      <c r="Q595" s="1" t="s">
        <v>32</v>
      </c>
      <c r="R595" s="1" t="s">
        <v>50</v>
      </c>
      <c r="S595" s="1" t="s">
        <v>375</v>
      </c>
      <c r="T595" s="15" t="s">
        <v>27</v>
      </c>
    </row>
    <row r="596" spans="1:20" x14ac:dyDescent="0.3">
      <c r="A596" s="14">
        <v>595</v>
      </c>
      <c r="B596" s="4">
        <v>44322</v>
      </c>
      <c r="C596" s="1" t="s">
        <v>532</v>
      </c>
      <c r="D596" s="1" t="s">
        <v>80</v>
      </c>
      <c r="E596" s="1" t="s">
        <v>43</v>
      </c>
      <c r="F596" s="2">
        <v>8</v>
      </c>
      <c r="G596" s="5">
        <v>280</v>
      </c>
      <c r="H596" s="24">
        <f t="shared" si="45"/>
        <v>2240</v>
      </c>
      <c r="I596" s="7">
        <v>0.15</v>
      </c>
      <c r="J596" s="5">
        <f t="shared" si="46"/>
        <v>336</v>
      </c>
      <c r="K596" s="5">
        <f t="shared" si="47"/>
        <v>1904</v>
      </c>
      <c r="L596" s="5">
        <v>190</v>
      </c>
      <c r="M596" s="5">
        <f t="shared" si="48"/>
        <v>384</v>
      </c>
      <c r="N596" s="7">
        <f t="shared" si="49"/>
        <v>0.20168067226890757</v>
      </c>
      <c r="O596" s="1" t="s">
        <v>41</v>
      </c>
      <c r="P596" s="1" t="s">
        <v>31</v>
      </c>
      <c r="Q596" s="1" t="s">
        <v>48</v>
      </c>
      <c r="R596" s="1" t="s">
        <v>66</v>
      </c>
      <c r="S596" s="1" t="s">
        <v>218</v>
      </c>
      <c r="T596" s="15" t="s">
        <v>61</v>
      </c>
    </row>
    <row r="597" spans="1:20" x14ac:dyDescent="0.3">
      <c r="A597" s="14">
        <v>596</v>
      </c>
      <c r="B597" s="4">
        <v>44522</v>
      </c>
      <c r="C597" s="1" t="s">
        <v>533</v>
      </c>
      <c r="D597" s="1" t="s">
        <v>82</v>
      </c>
      <c r="E597" s="1" t="s">
        <v>21</v>
      </c>
      <c r="F597" s="2">
        <v>2</v>
      </c>
      <c r="G597" s="5">
        <v>190</v>
      </c>
      <c r="H597" s="24">
        <f t="shared" si="45"/>
        <v>380</v>
      </c>
      <c r="I597" s="7">
        <v>0.1</v>
      </c>
      <c r="J597" s="5">
        <f t="shared" si="46"/>
        <v>38</v>
      </c>
      <c r="K597" s="5">
        <f t="shared" si="47"/>
        <v>342</v>
      </c>
      <c r="L597" s="5">
        <v>110</v>
      </c>
      <c r="M597" s="5">
        <f t="shared" si="48"/>
        <v>122</v>
      </c>
      <c r="N597" s="7">
        <f t="shared" si="49"/>
        <v>0.35672514619883039</v>
      </c>
      <c r="O597" s="1" t="s">
        <v>22</v>
      </c>
      <c r="P597" s="1" t="s">
        <v>31</v>
      </c>
      <c r="Q597" s="1" t="s">
        <v>48</v>
      </c>
      <c r="R597" s="1" t="s">
        <v>25</v>
      </c>
      <c r="S597" s="1" t="s">
        <v>109</v>
      </c>
      <c r="T597" s="15" t="s">
        <v>35</v>
      </c>
    </row>
    <row r="598" spans="1:20" x14ac:dyDescent="0.3">
      <c r="A598" s="14">
        <v>597</v>
      </c>
      <c r="B598" s="4">
        <v>44268</v>
      </c>
      <c r="C598" s="1" t="s">
        <v>532</v>
      </c>
      <c r="D598" s="1" t="s">
        <v>20</v>
      </c>
      <c r="E598" s="1" t="s">
        <v>21</v>
      </c>
      <c r="F598" s="2">
        <v>8</v>
      </c>
      <c r="G598" s="5">
        <v>200</v>
      </c>
      <c r="H598" s="24">
        <f t="shared" si="45"/>
        <v>1600</v>
      </c>
      <c r="I598" s="7">
        <v>0.02</v>
      </c>
      <c r="J598" s="5">
        <f t="shared" si="46"/>
        <v>32</v>
      </c>
      <c r="K598" s="5">
        <f t="shared" si="47"/>
        <v>1568</v>
      </c>
      <c r="L598" s="5">
        <v>130</v>
      </c>
      <c r="M598" s="5">
        <f t="shared" si="48"/>
        <v>528</v>
      </c>
      <c r="N598" s="7">
        <f t="shared" si="49"/>
        <v>0.33673469387755101</v>
      </c>
      <c r="O598" s="1" t="s">
        <v>59</v>
      </c>
      <c r="P598" s="1" t="s">
        <v>31</v>
      </c>
      <c r="Q598" s="1" t="s">
        <v>48</v>
      </c>
      <c r="R598" s="1" t="s">
        <v>49</v>
      </c>
      <c r="S598" s="1" t="s">
        <v>291</v>
      </c>
      <c r="T598" s="15" t="s">
        <v>27</v>
      </c>
    </row>
    <row r="599" spans="1:20" x14ac:dyDescent="0.3">
      <c r="A599" s="14">
        <v>598</v>
      </c>
      <c r="B599" s="4">
        <v>44244</v>
      </c>
      <c r="C599" s="1" t="s">
        <v>529</v>
      </c>
      <c r="D599" s="1" t="s">
        <v>20</v>
      </c>
      <c r="E599" s="1" t="s">
        <v>21</v>
      </c>
      <c r="F599" s="2">
        <v>6</v>
      </c>
      <c r="G599" s="5">
        <v>230</v>
      </c>
      <c r="H599" s="24">
        <f t="shared" si="45"/>
        <v>1380</v>
      </c>
      <c r="I599" s="7">
        <v>0</v>
      </c>
      <c r="J599" s="5">
        <f t="shared" si="46"/>
        <v>0</v>
      </c>
      <c r="K599" s="5">
        <f t="shared" si="47"/>
        <v>1380</v>
      </c>
      <c r="L599" s="5">
        <v>150</v>
      </c>
      <c r="M599" s="5">
        <f t="shared" si="48"/>
        <v>480</v>
      </c>
      <c r="N599" s="7">
        <f t="shared" si="49"/>
        <v>0.34782608695652173</v>
      </c>
      <c r="O599" s="1" t="s">
        <v>54</v>
      </c>
      <c r="P599" s="1" t="s">
        <v>31</v>
      </c>
      <c r="Q599" s="1" t="s">
        <v>24</v>
      </c>
      <c r="R599" s="1" t="s">
        <v>88</v>
      </c>
      <c r="S599" s="1" t="s">
        <v>64</v>
      </c>
      <c r="T599" s="15" t="s">
        <v>35</v>
      </c>
    </row>
    <row r="600" spans="1:20" x14ac:dyDescent="0.3">
      <c r="A600" s="14">
        <v>599</v>
      </c>
      <c r="B600" s="4">
        <v>44241</v>
      </c>
      <c r="C600" s="1" t="s">
        <v>534</v>
      </c>
      <c r="D600" s="1" t="s">
        <v>20</v>
      </c>
      <c r="E600" s="1" t="s">
        <v>29</v>
      </c>
      <c r="F600" s="2">
        <v>12</v>
      </c>
      <c r="G600" s="5">
        <v>2240</v>
      </c>
      <c r="H600" s="24">
        <f t="shared" si="45"/>
        <v>26880</v>
      </c>
      <c r="I600" s="7">
        <v>0.05</v>
      </c>
      <c r="J600" s="5">
        <f t="shared" si="46"/>
        <v>1344</v>
      </c>
      <c r="K600" s="5">
        <f t="shared" si="47"/>
        <v>25536</v>
      </c>
      <c r="L600" s="5">
        <v>1770</v>
      </c>
      <c r="M600" s="5">
        <f t="shared" si="48"/>
        <v>4296</v>
      </c>
      <c r="N600" s="7">
        <f t="shared" si="49"/>
        <v>0.16823308270676693</v>
      </c>
      <c r="O600" s="1" t="s">
        <v>41</v>
      </c>
      <c r="P600" s="1" t="s">
        <v>31</v>
      </c>
      <c r="Q600" s="1" t="s">
        <v>24</v>
      </c>
      <c r="R600" s="1" t="s">
        <v>56</v>
      </c>
      <c r="S600" s="1" t="s">
        <v>376</v>
      </c>
      <c r="T600" s="15" t="s">
        <v>53</v>
      </c>
    </row>
    <row r="601" spans="1:20" x14ac:dyDescent="0.3">
      <c r="A601" s="14">
        <v>600</v>
      </c>
      <c r="B601" s="4">
        <v>44221</v>
      </c>
      <c r="C601" s="1" t="s">
        <v>533</v>
      </c>
      <c r="D601" s="1" t="s">
        <v>20</v>
      </c>
      <c r="E601" s="1" t="s">
        <v>29</v>
      </c>
      <c r="F601" s="2">
        <v>3</v>
      </c>
      <c r="G601" s="5">
        <v>2000</v>
      </c>
      <c r="H601" s="24">
        <f t="shared" si="45"/>
        <v>6000</v>
      </c>
      <c r="I601" s="7">
        <v>0.15</v>
      </c>
      <c r="J601" s="5">
        <f t="shared" si="46"/>
        <v>900</v>
      </c>
      <c r="K601" s="5">
        <f t="shared" si="47"/>
        <v>5100</v>
      </c>
      <c r="L601" s="5">
        <v>1360</v>
      </c>
      <c r="M601" s="5">
        <f t="shared" si="48"/>
        <v>1020</v>
      </c>
      <c r="N601" s="7">
        <f t="shared" si="49"/>
        <v>0.2</v>
      </c>
      <c r="O601" s="1" t="s">
        <v>30</v>
      </c>
      <c r="P601" s="1" t="s">
        <v>31</v>
      </c>
      <c r="Q601" s="1" t="s">
        <v>24</v>
      </c>
      <c r="R601" s="1" t="s">
        <v>38</v>
      </c>
      <c r="S601" s="1" t="s">
        <v>113</v>
      </c>
      <c r="T601" s="15" t="s">
        <v>27</v>
      </c>
    </row>
    <row r="602" spans="1:20" x14ac:dyDescent="0.3">
      <c r="A602" s="14">
        <v>601</v>
      </c>
      <c r="B602" s="4">
        <v>44472</v>
      </c>
      <c r="C602" s="1" t="s">
        <v>529</v>
      </c>
      <c r="D602" s="1" t="s">
        <v>82</v>
      </c>
      <c r="E602" s="1" t="s">
        <v>40</v>
      </c>
      <c r="F602" s="2">
        <v>8</v>
      </c>
      <c r="G602" s="5">
        <v>1170</v>
      </c>
      <c r="H602" s="24">
        <f t="shared" si="45"/>
        <v>9360</v>
      </c>
      <c r="I602" s="7">
        <v>0.15</v>
      </c>
      <c r="J602" s="5">
        <f t="shared" si="46"/>
        <v>1404</v>
      </c>
      <c r="K602" s="5">
        <f t="shared" si="47"/>
        <v>7956</v>
      </c>
      <c r="L602" s="5">
        <v>690</v>
      </c>
      <c r="M602" s="5">
        <f t="shared" si="48"/>
        <v>2436</v>
      </c>
      <c r="N602" s="7">
        <f t="shared" si="49"/>
        <v>0.30618401206636503</v>
      </c>
      <c r="O602" s="1" t="s">
        <v>41</v>
      </c>
      <c r="P602" s="1" t="s">
        <v>31</v>
      </c>
      <c r="Q602" s="1" t="s">
        <v>32</v>
      </c>
      <c r="R602" s="1" t="s">
        <v>33</v>
      </c>
      <c r="S602" s="1" t="s">
        <v>183</v>
      </c>
      <c r="T602" s="15" t="s">
        <v>53</v>
      </c>
    </row>
    <row r="603" spans="1:20" x14ac:dyDescent="0.3">
      <c r="A603" s="14">
        <v>602</v>
      </c>
      <c r="B603" s="4">
        <v>44301</v>
      </c>
      <c r="C603" s="1" t="s">
        <v>533</v>
      </c>
      <c r="D603" s="1" t="s">
        <v>20</v>
      </c>
      <c r="E603" s="1" t="s">
        <v>45</v>
      </c>
      <c r="F603" s="2">
        <v>8</v>
      </c>
      <c r="G603" s="5">
        <v>190</v>
      </c>
      <c r="H603" s="24">
        <f t="shared" si="45"/>
        <v>1520</v>
      </c>
      <c r="I603" s="7">
        <v>0.15</v>
      </c>
      <c r="J603" s="5">
        <f t="shared" si="46"/>
        <v>228</v>
      </c>
      <c r="K603" s="5">
        <f t="shared" si="47"/>
        <v>1292</v>
      </c>
      <c r="L603" s="5">
        <v>130</v>
      </c>
      <c r="M603" s="5">
        <f t="shared" si="48"/>
        <v>252</v>
      </c>
      <c r="N603" s="7">
        <f t="shared" si="49"/>
        <v>0.19504643962848298</v>
      </c>
      <c r="O603" s="1" t="s">
        <v>30</v>
      </c>
      <c r="P603" s="1" t="s">
        <v>31</v>
      </c>
      <c r="Q603" s="1" t="s">
        <v>37</v>
      </c>
      <c r="R603" s="1" t="s">
        <v>33</v>
      </c>
      <c r="S603" s="1" t="s">
        <v>213</v>
      </c>
      <c r="T603" s="15" t="s">
        <v>27</v>
      </c>
    </row>
    <row r="604" spans="1:20" x14ac:dyDescent="0.3">
      <c r="A604" s="14">
        <v>603</v>
      </c>
      <c r="B604" s="4">
        <v>44446</v>
      </c>
      <c r="C604" s="1" t="s">
        <v>529</v>
      </c>
      <c r="D604" s="1" t="s">
        <v>80</v>
      </c>
      <c r="E604" s="1" t="s">
        <v>43</v>
      </c>
      <c r="F604" s="2">
        <v>3</v>
      </c>
      <c r="G604" s="5">
        <v>340</v>
      </c>
      <c r="H604" s="24">
        <f t="shared" si="45"/>
        <v>1020</v>
      </c>
      <c r="I604" s="7">
        <v>0.15</v>
      </c>
      <c r="J604" s="5">
        <f t="shared" si="46"/>
        <v>153</v>
      </c>
      <c r="K604" s="5">
        <f t="shared" si="47"/>
        <v>867</v>
      </c>
      <c r="L604" s="5">
        <v>250</v>
      </c>
      <c r="M604" s="5">
        <f t="shared" si="48"/>
        <v>117</v>
      </c>
      <c r="N604" s="7">
        <f t="shared" si="49"/>
        <v>0.13494809688581316</v>
      </c>
      <c r="O604" s="1" t="s">
        <v>59</v>
      </c>
      <c r="P604" s="1" t="s">
        <v>31</v>
      </c>
      <c r="Q604" s="1" t="s">
        <v>48</v>
      </c>
      <c r="R604" s="1" t="s">
        <v>46</v>
      </c>
      <c r="S604" s="1" t="s">
        <v>151</v>
      </c>
      <c r="T604" s="15" t="s">
        <v>35</v>
      </c>
    </row>
    <row r="605" spans="1:20" x14ac:dyDescent="0.3">
      <c r="A605" s="14">
        <v>604</v>
      </c>
      <c r="B605" s="4">
        <v>44330</v>
      </c>
      <c r="C605" s="1" t="s">
        <v>533</v>
      </c>
      <c r="D605" s="1" t="s">
        <v>28</v>
      </c>
      <c r="E605" s="1" t="s">
        <v>45</v>
      </c>
      <c r="F605" s="2">
        <v>6</v>
      </c>
      <c r="G605" s="5">
        <v>210</v>
      </c>
      <c r="H605" s="24">
        <f t="shared" si="45"/>
        <v>1260</v>
      </c>
      <c r="I605" s="7">
        <v>0.02</v>
      </c>
      <c r="J605" s="5">
        <f t="shared" si="46"/>
        <v>25.2</v>
      </c>
      <c r="K605" s="5">
        <f t="shared" si="47"/>
        <v>1234.8</v>
      </c>
      <c r="L605" s="5">
        <v>140</v>
      </c>
      <c r="M605" s="5">
        <f t="shared" si="48"/>
        <v>394.79999999999995</v>
      </c>
      <c r="N605" s="7">
        <f t="shared" si="49"/>
        <v>0.31972789115646255</v>
      </c>
      <c r="O605" s="1" t="s">
        <v>30</v>
      </c>
      <c r="P605" s="1" t="s">
        <v>31</v>
      </c>
      <c r="Q605" s="1" t="s">
        <v>32</v>
      </c>
      <c r="R605" s="1" t="s">
        <v>88</v>
      </c>
      <c r="S605" s="1" t="s">
        <v>60</v>
      </c>
      <c r="T605" s="15" t="s">
        <v>61</v>
      </c>
    </row>
    <row r="606" spans="1:20" x14ac:dyDescent="0.3">
      <c r="A606" s="14">
        <v>605</v>
      </c>
      <c r="B606" s="4">
        <v>44390</v>
      </c>
      <c r="C606" s="1" t="s">
        <v>532</v>
      </c>
      <c r="D606" s="1" t="s">
        <v>80</v>
      </c>
      <c r="E606" s="1" t="s">
        <v>36</v>
      </c>
      <c r="F606" s="2">
        <v>1</v>
      </c>
      <c r="G606" s="5">
        <v>1190</v>
      </c>
      <c r="H606" s="24">
        <f t="shared" si="45"/>
        <v>1190</v>
      </c>
      <c r="I606" s="7">
        <v>0.15</v>
      </c>
      <c r="J606" s="5">
        <f t="shared" si="46"/>
        <v>178.5</v>
      </c>
      <c r="K606" s="5">
        <f t="shared" si="47"/>
        <v>1011.5</v>
      </c>
      <c r="L606" s="5">
        <v>820</v>
      </c>
      <c r="M606" s="5">
        <f t="shared" si="48"/>
        <v>191.5</v>
      </c>
      <c r="N606" s="7">
        <f t="shared" si="49"/>
        <v>0.18932278793870488</v>
      </c>
      <c r="O606" s="1" t="s">
        <v>22</v>
      </c>
      <c r="P606" s="1" t="s">
        <v>31</v>
      </c>
      <c r="Q606" s="1" t="s">
        <v>48</v>
      </c>
      <c r="R606" s="1" t="s">
        <v>63</v>
      </c>
      <c r="S606" s="1" t="s">
        <v>377</v>
      </c>
      <c r="T606" s="15" t="s">
        <v>35</v>
      </c>
    </row>
    <row r="607" spans="1:20" x14ac:dyDescent="0.3">
      <c r="A607" s="14">
        <v>606</v>
      </c>
      <c r="B607" s="4">
        <v>44391</v>
      </c>
      <c r="C607" s="1" t="s">
        <v>529</v>
      </c>
      <c r="D607" s="1" t="s">
        <v>20</v>
      </c>
      <c r="E607" s="1" t="s">
        <v>45</v>
      </c>
      <c r="F607" s="2">
        <v>10</v>
      </c>
      <c r="G607" s="5">
        <v>210</v>
      </c>
      <c r="H607" s="24">
        <f t="shared" si="45"/>
        <v>2100</v>
      </c>
      <c r="I607" s="7">
        <v>0.1</v>
      </c>
      <c r="J607" s="5">
        <f t="shared" si="46"/>
        <v>210</v>
      </c>
      <c r="K607" s="5">
        <f t="shared" si="47"/>
        <v>1890</v>
      </c>
      <c r="L607" s="5">
        <v>150</v>
      </c>
      <c r="M607" s="5">
        <f t="shared" si="48"/>
        <v>390</v>
      </c>
      <c r="N607" s="7">
        <f t="shared" si="49"/>
        <v>0.20634920634920634</v>
      </c>
      <c r="O607" s="1" t="s">
        <v>54</v>
      </c>
      <c r="P607" s="1" t="s">
        <v>31</v>
      </c>
      <c r="Q607" s="1" t="s">
        <v>24</v>
      </c>
      <c r="R607" s="1" t="s">
        <v>49</v>
      </c>
      <c r="S607" s="1" t="s">
        <v>237</v>
      </c>
      <c r="T607" s="15" t="s">
        <v>61</v>
      </c>
    </row>
    <row r="608" spans="1:20" x14ac:dyDescent="0.3">
      <c r="A608" s="14">
        <v>607</v>
      </c>
      <c r="B608" s="4">
        <v>44218</v>
      </c>
      <c r="C608" s="1" t="s">
        <v>534</v>
      </c>
      <c r="D608" s="1" t="s">
        <v>20</v>
      </c>
      <c r="E608" s="1" t="s">
        <v>29</v>
      </c>
      <c r="F608" s="2">
        <v>3</v>
      </c>
      <c r="G608" s="5">
        <v>2260</v>
      </c>
      <c r="H608" s="24">
        <f t="shared" si="45"/>
        <v>6780</v>
      </c>
      <c r="I608" s="7">
        <v>0</v>
      </c>
      <c r="J608" s="5">
        <f t="shared" si="46"/>
        <v>0</v>
      </c>
      <c r="K608" s="5">
        <f t="shared" si="47"/>
        <v>6780</v>
      </c>
      <c r="L608" s="5">
        <v>1640</v>
      </c>
      <c r="M608" s="5">
        <f t="shared" si="48"/>
        <v>1860</v>
      </c>
      <c r="N608" s="7">
        <f t="shared" si="49"/>
        <v>0.27433628318584069</v>
      </c>
      <c r="O608" s="1" t="s">
        <v>59</v>
      </c>
      <c r="P608" s="1" t="s">
        <v>31</v>
      </c>
      <c r="Q608" s="1" t="s">
        <v>32</v>
      </c>
      <c r="R608" s="1" t="s">
        <v>25</v>
      </c>
      <c r="S608" s="1" t="s">
        <v>270</v>
      </c>
      <c r="T608" s="15" t="s">
        <v>61</v>
      </c>
    </row>
    <row r="609" spans="1:20" x14ac:dyDescent="0.3">
      <c r="A609" s="14">
        <v>608</v>
      </c>
      <c r="B609" s="4">
        <v>44358</v>
      </c>
      <c r="C609" s="1" t="s">
        <v>533</v>
      </c>
      <c r="D609" s="1" t="s">
        <v>80</v>
      </c>
      <c r="E609" s="1" t="s">
        <v>21</v>
      </c>
      <c r="F609" s="2">
        <v>4</v>
      </c>
      <c r="G609" s="5">
        <v>220</v>
      </c>
      <c r="H609" s="24">
        <f t="shared" si="45"/>
        <v>880</v>
      </c>
      <c r="I609" s="7">
        <v>0</v>
      </c>
      <c r="J609" s="5">
        <f t="shared" si="46"/>
        <v>0</v>
      </c>
      <c r="K609" s="5">
        <f t="shared" si="47"/>
        <v>880</v>
      </c>
      <c r="L609" s="5">
        <v>150</v>
      </c>
      <c r="M609" s="5">
        <f t="shared" si="48"/>
        <v>280</v>
      </c>
      <c r="N609" s="7">
        <f t="shared" si="49"/>
        <v>0.31818181818181818</v>
      </c>
      <c r="O609" s="1" t="s">
        <v>59</v>
      </c>
      <c r="P609" s="1" t="s">
        <v>31</v>
      </c>
      <c r="Q609" s="1" t="s">
        <v>24</v>
      </c>
      <c r="R609" s="1" t="s">
        <v>88</v>
      </c>
      <c r="S609" s="1" t="s">
        <v>336</v>
      </c>
      <c r="T609" s="15" t="s">
        <v>53</v>
      </c>
    </row>
    <row r="610" spans="1:20" x14ac:dyDescent="0.3">
      <c r="A610" s="14">
        <v>609</v>
      </c>
      <c r="B610" s="4">
        <v>44238</v>
      </c>
      <c r="C610" s="1" t="s">
        <v>531</v>
      </c>
      <c r="D610" s="1" t="s">
        <v>20</v>
      </c>
      <c r="E610" s="1" t="s">
        <v>29</v>
      </c>
      <c r="F610" s="2">
        <v>4</v>
      </c>
      <c r="G610" s="5">
        <v>2010</v>
      </c>
      <c r="H610" s="24">
        <f t="shared" si="45"/>
        <v>8040</v>
      </c>
      <c r="I610" s="7">
        <v>0</v>
      </c>
      <c r="J610" s="5">
        <f t="shared" si="46"/>
        <v>0</v>
      </c>
      <c r="K610" s="5">
        <f t="shared" si="47"/>
        <v>8040</v>
      </c>
      <c r="L610" s="5">
        <v>1620</v>
      </c>
      <c r="M610" s="5">
        <f t="shared" si="48"/>
        <v>1560</v>
      </c>
      <c r="N610" s="7">
        <f t="shared" si="49"/>
        <v>0.19402985074626866</v>
      </c>
      <c r="O610" s="1" t="s">
        <v>22</v>
      </c>
      <c r="P610" s="1" t="s">
        <v>31</v>
      </c>
      <c r="Q610" s="1" t="s">
        <v>32</v>
      </c>
      <c r="R610" s="1" t="s">
        <v>50</v>
      </c>
      <c r="S610" s="1" t="s">
        <v>378</v>
      </c>
      <c r="T610" s="15" t="s">
        <v>53</v>
      </c>
    </row>
    <row r="611" spans="1:20" x14ac:dyDescent="0.3">
      <c r="A611" s="14">
        <v>610</v>
      </c>
      <c r="B611" s="4">
        <v>44427</v>
      </c>
      <c r="C611" s="1" t="s">
        <v>530</v>
      </c>
      <c r="D611" s="1" t="s">
        <v>28</v>
      </c>
      <c r="E611" s="1" t="s">
        <v>21</v>
      </c>
      <c r="F611" s="2">
        <v>1</v>
      </c>
      <c r="G611" s="5">
        <v>190</v>
      </c>
      <c r="H611" s="24">
        <f t="shared" si="45"/>
        <v>190</v>
      </c>
      <c r="I611" s="7">
        <v>0.02</v>
      </c>
      <c r="J611" s="5">
        <f t="shared" si="46"/>
        <v>3.8000000000000003</v>
      </c>
      <c r="K611" s="5">
        <f t="shared" si="47"/>
        <v>186.2</v>
      </c>
      <c r="L611" s="5">
        <v>140</v>
      </c>
      <c r="M611" s="5">
        <f t="shared" si="48"/>
        <v>46.199999999999989</v>
      </c>
      <c r="N611" s="7">
        <f t="shared" si="49"/>
        <v>0.24812030075187966</v>
      </c>
      <c r="O611" s="1" t="s">
        <v>41</v>
      </c>
      <c r="P611" s="1" t="s">
        <v>31</v>
      </c>
      <c r="Q611" s="1" t="s">
        <v>24</v>
      </c>
      <c r="R611" s="1" t="s">
        <v>49</v>
      </c>
      <c r="S611" s="1" t="s">
        <v>270</v>
      </c>
      <c r="T611" s="15" t="s">
        <v>61</v>
      </c>
    </row>
    <row r="612" spans="1:20" x14ac:dyDescent="0.3">
      <c r="A612" s="14">
        <v>611</v>
      </c>
      <c r="B612" s="4">
        <v>44255</v>
      </c>
      <c r="C612" s="1" t="s">
        <v>533</v>
      </c>
      <c r="D612" s="1" t="s">
        <v>28</v>
      </c>
      <c r="E612" s="1" t="s">
        <v>36</v>
      </c>
      <c r="F612" s="2">
        <v>1</v>
      </c>
      <c r="G612" s="5">
        <v>1330</v>
      </c>
      <c r="H612" s="24">
        <f t="shared" si="45"/>
        <v>1330</v>
      </c>
      <c r="I612" s="7">
        <v>0.1</v>
      </c>
      <c r="J612" s="5">
        <f t="shared" si="46"/>
        <v>133</v>
      </c>
      <c r="K612" s="5">
        <f t="shared" si="47"/>
        <v>1197</v>
      </c>
      <c r="L612" s="5">
        <v>800</v>
      </c>
      <c r="M612" s="5">
        <f t="shared" si="48"/>
        <v>397</v>
      </c>
      <c r="N612" s="7">
        <f t="shared" si="49"/>
        <v>0.33166248955722638</v>
      </c>
      <c r="O612" s="1" t="s">
        <v>59</v>
      </c>
      <c r="P612" s="1" t="s">
        <v>31</v>
      </c>
      <c r="Q612" s="1" t="s">
        <v>32</v>
      </c>
      <c r="R612" s="1" t="s">
        <v>49</v>
      </c>
      <c r="S612" s="1" t="s">
        <v>379</v>
      </c>
      <c r="T612" s="15" t="s">
        <v>61</v>
      </c>
    </row>
    <row r="613" spans="1:20" x14ac:dyDescent="0.3">
      <c r="A613" s="14">
        <v>612</v>
      </c>
      <c r="B613" s="4">
        <v>44499</v>
      </c>
      <c r="C613" s="1" t="s">
        <v>530</v>
      </c>
      <c r="D613" s="1" t="s">
        <v>20</v>
      </c>
      <c r="E613" s="1" t="s">
        <v>45</v>
      </c>
      <c r="F613" s="2">
        <v>6</v>
      </c>
      <c r="G613" s="5">
        <v>210</v>
      </c>
      <c r="H613" s="24">
        <f t="shared" si="45"/>
        <v>1260</v>
      </c>
      <c r="I613" s="7">
        <v>0</v>
      </c>
      <c r="J613" s="5">
        <f t="shared" si="46"/>
        <v>0</v>
      </c>
      <c r="K613" s="5">
        <f t="shared" si="47"/>
        <v>1260</v>
      </c>
      <c r="L613" s="5">
        <v>120</v>
      </c>
      <c r="M613" s="5">
        <f t="shared" si="48"/>
        <v>540</v>
      </c>
      <c r="N613" s="7">
        <f t="shared" si="49"/>
        <v>0.42857142857142855</v>
      </c>
      <c r="O613" s="1" t="s">
        <v>59</v>
      </c>
      <c r="P613" s="1" t="s">
        <v>62</v>
      </c>
      <c r="Q613" s="1" t="s">
        <v>24</v>
      </c>
      <c r="R613" s="1" t="s">
        <v>63</v>
      </c>
      <c r="S613" s="1" t="s">
        <v>380</v>
      </c>
      <c r="T613" s="15" t="s">
        <v>27</v>
      </c>
    </row>
    <row r="614" spans="1:20" x14ac:dyDescent="0.3">
      <c r="A614" s="14">
        <v>613</v>
      </c>
      <c r="B614" s="4">
        <v>44467</v>
      </c>
      <c r="C614" s="1" t="s">
        <v>529</v>
      </c>
      <c r="D614" s="1" t="s">
        <v>82</v>
      </c>
      <c r="E614" s="1" t="s">
        <v>45</v>
      </c>
      <c r="F614" s="2">
        <v>9</v>
      </c>
      <c r="G614" s="5">
        <v>200</v>
      </c>
      <c r="H614" s="24">
        <f t="shared" si="45"/>
        <v>1800</v>
      </c>
      <c r="I614" s="7">
        <v>0.15</v>
      </c>
      <c r="J614" s="5">
        <f t="shared" si="46"/>
        <v>270</v>
      </c>
      <c r="K614" s="5">
        <f t="shared" si="47"/>
        <v>1530</v>
      </c>
      <c r="L614" s="5">
        <v>120</v>
      </c>
      <c r="M614" s="5">
        <f t="shared" si="48"/>
        <v>450</v>
      </c>
      <c r="N614" s="7">
        <f t="shared" si="49"/>
        <v>0.29411764705882354</v>
      </c>
      <c r="O614" s="1" t="s">
        <v>41</v>
      </c>
      <c r="P614" s="1" t="s">
        <v>31</v>
      </c>
      <c r="Q614" s="1" t="s">
        <v>48</v>
      </c>
      <c r="R614" s="1" t="s">
        <v>88</v>
      </c>
      <c r="S614" s="1" t="s">
        <v>164</v>
      </c>
      <c r="T614" s="15" t="s">
        <v>35</v>
      </c>
    </row>
    <row r="615" spans="1:20" x14ac:dyDescent="0.3">
      <c r="A615" s="14">
        <v>614</v>
      </c>
      <c r="B615" s="4">
        <v>44420</v>
      </c>
      <c r="C615" s="1" t="s">
        <v>530</v>
      </c>
      <c r="D615" s="1" t="s">
        <v>20</v>
      </c>
      <c r="E615" s="1" t="s">
        <v>43</v>
      </c>
      <c r="F615" s="2">
        <v>4</v>
      </c>
      <c r="G615" s="5">
        <v>300</v>
      </c>
      <c r="H615" s="24">
        <f t="shared" si="45"/>
        <v>1200</v>
      </c>
      <c r="I615" s="7">
        <v>0</v>
      </c>
      <c r="J615" s="5">
        <f t="shared" si="46"/>
        <v>0</v>
      </c>
      <c r="K615" s="5">
        <f t="shared" si="47"/>
        <v>1200</v>
      </c>
      <c r="L615" s="5">
        <v>180</v>
      </c>
      <c r="M615" s="5">
        <f t="shared" si="48"/>
        <v>480</v>
      </c>
      <c r="N615" s="7">
        <f t="shared" si="49"/>
        <v>0.4</v>
      </c>
      <c r="O615" s="1" t="s">
        <v>59</v>
      </c>
      <c r="P615" s="1" t="s">
        <v>31</v>
      </c>
      <c r="Q615" s="1" t="s">
        <v>48</v>
      </c>
      <c r="R615" s="1" t="s">
        <v>33</v>
      </c>
      <c r="S615" s="1" t="s">
        <v>381</v>
      </c>
      <c r="T615" s="15" t="s">
        <v>53</v>
      </c>
    </row>
    <row r="616" spans="1:20" x14ac:dyDescent="0.3">
      <c r="A616" s="14">
        <v>615</v>
      </c>
      <c r="B616" s="4">
        <v>44547</v>
      </c>
      <c r="C616" s="1" t="s">
        <v>533</v>
      </c>
      <c r="D616" s="1" t="s">
        <v>28</v>
      </c>
      <c r="E616" s="1" t="s">
        <v>45</v>
      </c>
      <c r="F616" s="2">
        <v>9</v>
      </c>
      <c r="G616" s="5">
        <v>190</v>
      </c>
      <c r="H616" s="24">
        <f t="shared" si="45"/>
        <v>1710</v>
      </c>
      <c r="I616" s="7">
        <v>0.1</v>
      </c>
      <c r="J616" s="5">
        <f t="shared" si="46"/>
        <v>171</v>
      </c>
      <c r="K616" s="5">
        <f t="shared" si="47"/>
        <v>1539</v>
      </c>
      <c r="L616" s="5">
        <v>150</v>
      </c>
      <c r="M616" s="5">
        <f t="shared" si="48"/>
        <v>189</v>
      </c>
      <c r="N616" s="7">
        <f t="shared" si="49"/>
        <v>0.12280701754385964</v>
      </c>
      <c r="O616" s="1" t="s">
        <v>41</v>
      </c>
      <c r="P616" s="1" t="s">
        <v>31</v>
      </c>
      <c r="Q616" s="1" t="s">
        <v>24</v>
      </c>
      <c r="R616" s="1" t="s">
        <v>50</v>
      </c>
      <c r="S616" s="1" t="s">
        <v>382</v>
      </c>
      <c r="T616" s="15" t="s">
        <v>27</v>
      </c>
    </row>
    <row r="617" spans="1:20" x14ac:dyDescent="0.3">
      <c r="A617" s="14">
        <v>616</v>
      </c>
      <c r="B617" s="4">
        <v>44519</v>
      </c>
      <c r="C617" s="1" t="s">
        <v>529</v>
      </c>
      <c r="D617" s="1" t="s">
        <v>20</v>
      </c>
      <c r="E617" s="1" t="s">
        <v>29</v>
      </c>
      <c r="F617" s="2">
        <v>12</v>
      </c>
      <c r="G617" s="5">
        <v>2040</v>
      </c>
      <c r="H617" s="24">
        <f t="shared" si="45"/>
        <v>24480</v>
      </c>
      <c r="I617" s="7">
        <v>0.1</v>
      </c>
      <c r="J617" s="5">
        <f t="shared" si="46"/>
        <v>2448</v>
      </c>
      <c r="K617" s="5">
        <f t="shared" si="47"/>
        <v>22032</v>
      </c>
      <c r="L617" s="5">
        <v>1660</v>
      </c>
      <c r="M617" s="5">
        <f t="shared" si="48"/>
        <v>2112</v>
      </c>
      <c r="N617" s="7">
        <f t="shared" si="49"/>
        <v>9.586056644880174E-2</v>
      </c>
      <c r="O617" s="1" t="s">
        <v>54</v>
      </c>
      <c r="P617" s="1" t="s">
        <v>31</v>
      </c>
      <c r="Q617" s="1" t="s">
        <v>37</v>
      </c>
      <c r="R617" s="1" t="s">
        <v>56</v>
      </c>
      <c r="S617" s="1" t="s">
        <v>383</v>
      </c>
      <c r="T617" s="15" t="s">
        <v>27</v>
      </c>
    </row>
    <row r="618" spans="1:20" x14ac:dyDescent="0.3">
      <c r="A618" s="14">
        <v>617</v>
      </c>
      <c r="B618" s="4">
        <v>44319</v>
      </c>
      <c r="C618" s="1" t="s">
        <v>533</v>
      </c>
      <c r="D618" s="1" t="s">
        <v>28</v>
      </c>
      <c r="E618" s="1" t="s">
        <v>36</v>
      </c>
      <c r="F618" s="2">
        <v>2</v>
      </c>
      <c r="G618" s="5">
        <v>1230</v>
      </c>
      <c r="H618" s="24">
        <f t="shared" si="45"/>
        <v>2460</v>
      </c>
      <c r="I618" s="7">
        <v>0</v>
      </c>
      <c r="J618" s="5">
        <f t="shared" si="46"/>
        <v>0</v>
      </c>
      <c r="K618" s="5">
        <f t="shared" si="47"/>
        <v>2460</v>
      </c>
      <c r="L618" s="5">
        <v>750</v>
      </c>
      <c r="M618" s="5">
        <f t="shared" si="48"/>
        <v>960</v>
      </c>
      <c r="N618" s="7">
        <f t="shared" si="49"/>
        <v>0.3902439024390244</v>
      </c>
      <c r="O618" s="1" t="s">
        <v>22</v>
      </c>
      <c r="P618" s="1" t="s">
        <v>31</v>
      </c>
      <c r="Q618" s="1" t="s">
        <v>32</v>
      </c>
      <c r="R618" s="1" t="s">
        <v>38</v>
      </c>
      <c r="S618" s="1" t="s">
        <v>191</v>
      </c>
      <c r="T618" s="15" t="s">
        <v>61</v>
      </c>
    </row>
    <row r="619" spans="1:20" x14ac:dyDescent="0.3">
      <c r="A619" s="14">
        <v>618</v>
      </c>
      <c r="B619" s="4">
        <v>44304</v>
      </c>
      <c r="C619" s="1" t="s">
        <v>530</v>
      </c>
      <c r="D619" s="1" t="s">
        <v>28</v>
      </c>
      <c r="E619" s="1" t="s">
        <v>43</v>
      </c>
      <c r="F619" s="2">
        <v>6</v>
      </c>
      <c r="G619" s="5">
        <v>340</v>
      </c>
      <c r="H619" s="24">
        <f t="shared" si="45"/>
        <v>2040</v>
      </c>
      <c r="I619" s="7">
        <v>0.05</v>
      </c>
      <c r="J619" s="5">
        <f t="shared" si="46"/>
        <v>102</v>
      </c>
      <c r="K619" s="5">
        <f t="shared" si="47"/>
        <v>1938</v>
      </c>
      <c r="L619" s="5">
        <v>280</v>
      </c>
      <c r="M619" s="5">
        <f t="shared" si="48"/>
        <v>258</v>
      </c>
      <c r="N619" s="7">
        <f t="shared" si="49"/>
        <v>0.13312693498452013</v>
      </c>
      <c r="O619" s="1" t="s">
        <v>41</v>
      </c>
      <c r="P619" s="1" t="s">
        <v>31</v>
      </c>
      <c r="Q619" s="1" t="s">
        <v>48</v>
      </c>
      <c r="R619" s="1" t="s">
        <v>50</v>
      </c>
      <c r="S619" s="1" t="s">
        <v>384</v>
      </c>
      <c r="T619" s="15" t="s">
        <v>35</v>
      </c>
    </row>
    <row r="620" spans="1:20" x14ac:dyDescent="0.3">
      <c r="A620" s="14">
        <v>619</v>
      </c>
      <c r="B620" s="4">
        <v>44408</v>
      </c>
      <c r="C620" s="1" t="s">
        <v>533</v>
      </c>
      <c r="D620" s="1" t="s">
        <v>20</v>
      </c>
      <c r="E620" s="1" t="s">
        <v>43</v>
      </c>
      <c r="F620" s="2">
        <v>8</v>
      </c>
      <c r="G620" s="5">
        <v>280</v>
      </c>
      <c r="H620" s="24">
        <f t="shared" si="45"/>
        <v>2240</v>
      </c>
      <c r="I620" s="7">
        <v>0.15</v>
      </c>
      <c r="J620" s="5">
        <f t="shared" si="46"/>
        <v>336</v>
      </c>
      <c r="K620" s="5">
        <f t="shared" si="47"/>
        <v>1904</v>
      </c>
      <c r="L620" s="5">
        <v>180</v>
      </c>
      <c r="M620" s="5">
        <f t="shared" si="48"/>
        <v>464</v>
      </c>
      <c r="N620" s="7">
        <f t="shared" si="49"/>
        <v>0.24369747899159663</v>
      </c>
      <c r="O620" s="1" t="s">
        <v>22</v>
      </c>
      <c r="P620" s="1" t="s">
        <v>31</v>
      </c>
      <c r="Q620" s="1" t="s">
        <v>48</v>
      </c>
      <c r="R620" s="1" t="s">
        <v>25</v>
      </c>
      <c r="S620" s="1" t="s">
        <v>344</v>
      </c>
      <c r="T620" s="15" t="s">
        <v>53</v>
      </c>
    </row>
    <row r="621" spans="1:20" x14ac:dyDescent="0.3">
      <c r="A621" s="14">
        <v>620</v>
      </c>
      <c r="B621" s="4">
        <v>44382</v>
      </c>
      <c r="C621" s="1" t="s">
        <v>533</v>
      </c>
      <c r="D621" s="1" t="s">
        <v>20</v>
      </c>
      <c r="E621" s="1" t="s">
        <v>29</v>
      </c>
      <c r="F621" s="2">
        <v>6</v>
      </c>
      <c r="G621" s="5">
        <v>2160</v>
      </c>
      <c r="H621" s="24">
        <f t="shared" si="45"/>
        <v>12960</v>
      </c>
      <c r="I621" s="7">
        <v>0</v>
      </c>
      <c r="J621" s="5">
        <f t="shared" si="46"/>
        <v>0</v>
      </c>
      <c r="K621" s="5">
        <f t="shared" si="47"/>
        <v>12960</v>
      </c>
      <c r="L621" s="5">
        <v>1470</v>
      </c>
      <c r="M621" s="5">
        <f t="shared" si="48"/>
        <v>4140</v>
      </c>
      <c r="N621" s="7">
        <f t="shared" si="49"/>
        <v>0.31944444444444442</v>
      </c>
      <c r="O621" s="1" t="s">
        <v>30</v>
      </c>
      <c r="P621" s="1" t="s">
        <v>31</v>
      </c>
      <c r="Q621" s="1" t="s">
        <v>48</v>
      </c>
      <c r="R621" s="1" t="s">
        <v>38</v>
      </c>
      <c r="S621" s="1" t="s">
        <v>327</v>
      </c>
      <c r="T621" s="15" t="s">
        <v>35</v>
      </c>
    </row>
    <row r="622" spans="1:20" x14ac:dyDescent="0.3">
      <c r="A622" s="14">
        <v>621</v>
      </c>
      <c r="B622" s="4">
        <v>44343</v>
      </c>
      <c r="C622" s="1" t="s">
        <v>529</v>
      </c>
      <c r="D622" s="1" t="s">
        <v>80</v>
      </c>
      <c r="E622" s="1" t="s">
        <v>36</v>
      </c>
      <c r="F622" s="2">
        <v>5</v>
      </c>
      <c r="G622" s="5">
        <v>2060</v>
      </c>
      <c r="H622" s="24">
        <f t="shared" si="45"/>
        <v>10300</v>
      </c>
      <c r="I622" s="7">
        <v>0</v>
      </c>
      <c r="J622" s="5">
        <f t="shared" si="46"/>
        <v>0</v>
      </c>
      <c r="K622" s="5">
        <f t="shared" si="47"/>
        <v>10300</v>
      </c>
      <c r="L622" s="5">
        <v>1210</v>
      </c>
      <c r="M622" s="5">
        <f t="shared" si="48"/>
        <v>4250</v>
      </c>
      <c r="N622" s="7">
        <f t="shared" si="49"/>
        <v>0.41262135922330095</v>
      </c>
      <c r="O622" s="1" t="s">
        <v>54</v>
      </c>
      <c r="P622" s="1" t="s">
        <v>31</v>
      </c>
      <c r="Q622" s="1" t="s">
        <v>48</v>
      </c>
      <c r="R622" s="1" t="s">
        <v>66</v>
      </c>
      <c r="S622" s="1" t="s">
        <v>78</v>
      </c>
      <c r="T622" s="15" t="s">
        <v>61</v>
      </c>
    </row>
    <row r="623" spans="1:20" x14ac:dyDescent="0.3">
      <c r="A623" s="14">
        <v>622</v>
      </c>
      <c r="B623" s="4">
        <v>44226</v>
      </c>
      <c r="C623" s="1" t="s">
        <v>529</v>
      </c>
      <c r="D623" s="1" t="s">
        <v>28</v>
      </c>
      <c r="E623" s="1" t="s">
        <v>40</v>
      </c>
      <c r="F623" s="2">
        <v>4</v>
      </c>
      <c r="G623" s="5">
        <v>1400</v>
      </c>
      <c r="H623" s="24">
        <f t="shared" si="45"/>
        <v>5600</v>
      </c>
      <c r="I623" s="7">
        <v>0</v>
      </c>
      <c r="J623" s="5">
        <f t="shared" si="46"/>
        <v>0</v>
      </c>
      <c r="K623" s="5">
        <f t="shared" si="47"/>
        <v>5600</v>
      </c>
      <c r="L623" s="5">
        <v>1060</v>
      </c>
      <c r="M623" s="5">
        <f t="shared" si="48"/>
        <v>1360</v>
      </c>
      <c r="N623" s="7">
        <f t="shared" si="49"/>
        <v>0.24285714285714285</v>
      </c>
      <c r="O623" s="1" t="s">
        <v>59</v>
      </c>
      <c r="P623" s="1" t="s">
        <v>23</v>
      </c>
      <c r="Q623" s="1" t="s">
        <v>37</v>
      </c>
      <c r="R623" s="1" t="s">
        <v>46</v>
      </c>
      <c r="S623" s="1" t="s">
        <v>385</v>
      </c>
      <c r="T623" s="15" t="s">
        <v>27</v>
      </c>
    </row>
    <row r="624" spans="1:20" x14ac:dyDescent="0.3">
      <c r="A624" s="14">
        <v>623</v>
      </c>
      <c r="B624" s="4">
        <v>44398</v>
      </c>
      <c r="C624" s="1" t="s">
        <v>533</v>
      </c>
      <c r="D624" s="1" t="s">
        <v>20</v>
      </c>
      <c r="E624" s="1" t="s">
        <v>21</v>
      </c>
      <c r="F624" s="2">
        <v>12</v>
      </c>
      <c r="G624" s="5">
        <v>240</v>
      </c>
      <c r="H624" s="24">
        <f t="shared" si="45"/>
        <v>2880</v>
      </c>
      <c r="I624" s="7">
        <v>0.1</v>
      </c>
      <c r="J624" s="5">
        <f t="shared" si="46"/>
        <v>288</v>
      </c>
      <c r="K624" s="5">
        <f t="shared" si="47"/>
        <v>2592</v>
      </c>
      <c r="L624" s="5">
        <v>140</v>
      </c>
      <c r="M624" s="5">
        <f t="shared" si="48"/>
        <v>912</v>
      </c>
      <c r="N624" s="7">
        <f t="shared" si="49"/>
        <v>0.35185185185185186</v>
      </c>
      <c r="O624" s="1" t="s">
        <v>59</v>
      </c>
      <c r="P624" s="1" t="s">
        <v>31</v>
      </c>
      <c r="Q624" s="1" t="s">
        <v>48</v>
      </c>
      <c r="R624" s="1" t="s">
        <v>25</v>
      </c>
      <c r="S624" s="1" t="s">
        <v>137</v>
      </c>
      <c r="T624" s="15" t="s">
        <v>27</v>
      </c>
    </row>
    <row r="625" spans="1:20" x14ac:dyDescent="0.3">
      <c r="A625" s="14">
        <v>624</v>
      </c>
      <c r="B625" s="4">
        <v>44255</v>
      </c>
      <c r="C625" s="1" t="s">
        <v>531</v>
      </c>
      <c r="D625" s="1" t="s">
        <v>20</v>
      </c>
      <c r="E625" s="1" t="s">
        <v>36</v>
      </c>
      <c r="F625" s="2">
        <v>1</v>
      </c>
      <c r="G625" s="5">
        <v>1250</v>
      </c>
      <c r="H625" s="24">
        <f t="shared" si="45"/>
        <v>1250</v>
      </c>
      <c r="I625" s="7">
        <v>0.02</v>
      </c>
      <c r="J625" s="5">
        <f t="shared" si="46"/>
        <v>25</v>
      </c>
      <c r="K625" s="5">
        <f t="shared" si="47"/>
        <v>1225</v>
      </c>
      <c r="L625" s="5">
        <v>820</v>
      </c>
      <c r="M625" s="5">
        <f t="shared" si="48"/>
        <v>405</v>
      </c>
      <c r="N625" s="7">
        <f t="shared" si="49"/>
        <v>0.33061224489795921</v>
      </c>
      <c r="O625" s="1" t="s">
        <v>41</v>
      </c>
      <c r="P625" s="1" t="s">
        <v>31</v>
      </c>
      <c r="Q625" s="1" t="s">
        <v>32</v>
      </c>
      <c r="R625" s="1" t="s">
        <v>33</v>
      </c>
      <c r="S625" s="1" t="s">
        <v>386</v>
      </c>
      <c r="T625" s="15" t="s">
        <v>53</v>
      </c>
    </row>
    <row r="626" spans="1:20" x14ac:dyDescent="0.3">
      <c r="A626" s="14">
        <v>625</v>
      </c>
      <c r="B626" s="4">
        <v>44327</v>
      </c>
      <c r="C626" s="1" t="s">
        <v>531</v>
      </c>
      <c r="D626" s="1" t="s">
        <v>82</v>
      </c>
      <c r="E626" s="1" t="s">
        <v>36</v>
      </c>
      <c r="F626" s="2">
        <v>10</v>
      </c>
      <c r="G626" s="5">
        <v>1210</v>
      </c>
      <c r="H626" s="24">
        <f t="shared" si="45"/>
        <v>12100</v>
      </c>
      <c r="I626" s="7">
        <v>0</v>
      </c>
      <c r="J626" s="5">
        <f t="shared" si="46"/>
        <v>0</v>
      </c>
      <c r="K626" s="5">
        <f t="shared" si="47"/>
        <v>12100</v>
      </c>
      <c r="L626" s="5">
        <v>760</v>
      </c>
      <c r="M626" s="5">
        <f t="shared" si="48"/>
        <v>4500</v>
      </c>
      <c r="N626" s="7">
        <f t="shared" si="49"/>
        <v>0.37190082644628097</v>
      </c>
      <c r="O626" s="1" t="s">
        <v>54</v>
      </c>
      <c r="P626" s="1" t="s">
        <v>76</v>
      </c>
      <c r="Q626" s="1" t="s">
        <v>32</v>
      </c>
      <c r="R626" s="1" t="s">
        <v>33</v>
      </c>
      <c r="S626" s="1" t="s">
        <v>292</v>
      </c>
      <c r="T626" s="15" t="s">
        <v>27</v>
      </c>
    </row>
    <row r="627" spans="1:20" x14ac:dyDescent="0.3">
      <c r="A627" s="14">
        <v>626</v>
      </c>
      <c r="B627" s="4">
        <v>44272</v>
      </c>
      <c r="C627" s="1" t="s">
        <v>529</v>
      </c>
      <c r="D627" s="1" t="s">
        <v>28</v>
      </c>
      <c r="E627" s="1" t="s">
        <v>29</v>
      </c>
      <c r="F627" s="2">
        <v>3</v>
      </c>
      <c r="G627" s="5">
        <v>2220</v>
      </c>
      <c r="H627" s="24">
        <f t="shared" si="45"/>
        <v>6660</v>
      </c>
      <c r="I627" s="7">
        <v>0.02</v>
      </c>
      <c r="J627" s="5">
        <f t="shared" si="46"/>
        <v>133.19999999999999</v>
      </c>
      <c r="K627" s="5">
        <f t="shared" si="47"/>
        <v>6526.8</v>
      </c>
      <c r="L627" s="5">
        <v>1750</v>
      </c>
      <c r="M627" s="5">
        <f t="shared" si="48"/>
        <v>1276.8000000000002</v>
      </c>
      <c r="N627" s="7">
        <f t="shared" si="49"/>
        <v>0.19562419562419564</v>
      </c>
      <c r="O627" s="1" t="s">
        <v>59</v>
      </c>
      <c r="P627" s="1" t="s">
        <v>31</v>
      </c>
      <c r="Q627" s="1" t="s">
        <v>32</v>
      </c>
      <c r="R627" s="1" t="s">
        <v>49</v>
      </c>
      <c r="S627" s="1" t="s">
        <v>387</v>
      </c>
      <c r="T627" s="15" t="s">
        <v>27</v>
      </c>
    </row>
    <row r="628" spans="1:20" x14ac:dyDescent="0.3">
      <c r="A628" s="14">
        <v>627</v>
      </c>
      <c r="B628" s="4">
        <v>44220</v>
      </c>
      <c r="C628" s="1" t="s">
        <v>534</v>
      </c>
      <c r="D628" s="1" t="s">
        <v>20</v>
      </c>
      <c r="E628" s="1" t="s">
        <v>45</v>
      </c>
      <c r="F628" s="2">
        <v>2</v>
      </c>
      <c r="G628" s="5">
        <v>190</v>
      </c>
      <c r="H628" s="24">
        <f t="shared" si="45"/>
        <v>380</v>
      </c>
      <c r="I628" s="7">
        <v>0.15</v>
      </c>
      <c r="J628" s="5">
        <f t="shared" si="46"/>
        <v>57</v>
      </c>
      <c r="K628" s="5">
        <f t="shared" si="47"/>
        <v>323</v>
      </c>
      <c r="L628" s="5">
        <v>110</v>
      </c>
      <c r="M628" s="5">
        <f t="shared" si="48"/>
        <v>103</v>
      </c>
      <c r="N628" s="7">
        <f t="shared" si="49"/>
        <v>0.31888544891640869</v>
      </c>
      <c r="O628" s="1" t="s">
        <v>22</v>
      </c>
      <c r="P628" s="1" t="s">
        <v>31</v>
      </c>
      <c r="Q628" s="1" t="s">
        <v>24</v>
      </c>
      <c r="R628" s="1" t="s">
        <v>56</v>
      </c>
      <c r="S628" s="1" t="s">
        <v>158</v>
      </c>
      <c r="T628" s="15" t="s">
        <v>35</v>
      </c>
    </row>
    <row r="629" spans="1:20" x14ac:dyDescent="0.3">
      <c r="A629" s="14">
        <v>628</v>
      </c>
      <c r="B629" s="4">
        <v>44559</v>
      </c>
      <c r="C629" s="1" t="s">
        <v>533</v>
      </c>
      <c r="D629" s="1" t="s">
        <v>20</v>
      </c>
      <c r="E629" s="1" t="s">
        <v>40</v>
      </c>
      <c r="F629" s="2">
        <v>12</v>
      </c>
      <c r="G629" s="5">
        <v>1430</v>
      </c>
      <c r="H629" s="24">
        <f t="shared" si="45"/>
        <v>17160</v>
      </c>
      <c r="I629" s="7">
        <v>0.05</v>
      </c>
      <c r="J629" s="5">
        <f t="shared" si="46"/>
        <v>858</v>
      </c>
      <c r="K629" s="5">
        <f t="shared" si="47"/>
        <v>16302</v>
      </c>
      <c r="L629" s="5">
        <v>930</v>
      </c>
      <c r="M629" s="5">
        <f t="shared" si="48"/>
        <v>5142</v>
      </c>
      <c r="N629" s="7">
        <f t="shared" si="49"/>
        <v>0.31542142068457857</v>
      </c>
      <c r="O629" s="1" t="s">
        <v>22</v>
      </c>
      <c r="P629" s="1" t="s">
        <v>31</v>
      </c>
      <c r="Q629" s="1" t="s">
        <v>37</v>
      </c>
      <c r="R629" s="1" t="s">
        <v>56</v>
      </c>
      <c r="S629" s="1" t="s">
        <v>195</v>
      </c>
      <c r="T629" s="15" t="s">
        <v>35</v>
      </c>
    </row>
    <row r="630" spans="1:20" x14ac:dyDescent="0.3">
      <c r="A630" s="14">
        <v>629</v>
      </c>
      <c r="B630" s="4">
        <v>44462</v>
      </c>
      <c r="C630" s="1" t="s">
        <v>533</v>
      </c>
      <c r="D630" s="1" t="s">
        <v>20</v>
      </c>
      <c r="E630" s="1" t="s">
        <v>21</v>
      </c>
      <c r="F630" s="2">
        <v>4</v>
      </c>
      <c r="G630" s="5">
        <v>210</v>
      </c>
      <c r="H630" s="24">
        <f t="shared" si="45"/>
        <v>840</v>
      </c>
      <c r="I630" s="7">
        <v>0</v>
      </c>
      <c r="J630" s="5">
        <f t="shared" si="46"/>
        <v>0</v>
      </c>
      <c r="K630" s="5">
        <f t="shared" si="47"/>
        <v>840</v>
      </c>
      <c r="L630" s="5">
        <v>150</v>
      </c>
      <c r="M630" s="5">
        <f t="shared" si="48"/>
        <v>240</v>
      </c>
      <c r="N630" s="7">
        <f t="shared" si="49"/>
        <v>0.2857142857142857</v>
      </c>
      <c r="O630" s="1" t="s">
        <v>22</v>
      </c>
      <c r="P630" s="1" t="s">
        <v>31</v>
      </c>
      <c r="Q630" s="1" t="s">
        <v>37</v>
      </c>
      <c r="R630" s="1" t="s">
        <v>88</v>
      </c>
      <c r="S630" s="1" t="s">
        <v>330</v>
      </c>
      <c r="T630" s="15" t="s">
        <v>53</v>
      </c>
    </row>
    <row r="631" spans="1:20" x14ac:dyDescent="0.3">
      <c r="A631" s="14">
        <v>630</v>
      </c>
      <c r="B631" s="4">
        <v>44400</v>
      </c>
      <c r="C631" s="1" t="s">
        <v>533</v>
      </c>
      <c r="D631" s="1" t="s">
        <v>20</v>
      </c>
      <c r="E631" s="1" t="s">
        <v>21</v>
      </c>
      <c r="F631" s="2">
        <v>11</v>
      </c>
      <c r="G631" s="5">
        <v>210</v>
      </c>
      <c r="H631" s="24">
        <f t="shared" si="45"/>
        <v>2310</v>
      </c>
      <c r="I631" s="7">
        <v>0.05</v>
      </c>
      <c r="J631" s="5">
        <f t="shared" si="46"/>
        <v>115.5</v>
      </c>
      <c r="K631" s="5">
        <f t="shared" si="47"/>
        <v>2194.5</v>
      </c>
      <c r="L631" s="5">
        <v>150</v>
      </c>
      <c r="M631" s="5">
        <f t="shared" si="48"/>
        <v>544.5</v>
      </c>
      <c r="N631" s="7">
        <f t="shared" si="49"/>
        <v>0.24812030075187969</v>
      </c>
      <c r="O631" s="1" t="s">
        <v>59</v>
      </c>
      <c r="P631" s="1" t="s">
        <v>31</v>
      </c>
      <c r="Q631" s="1" t="s">
        <v>24</v>
      </c>
      <c r="R631" s="1" t="s">
        <v>49</v>
      </c>
      <c r="S631" s="1" t="s">
        <v>257</v>
      </c>
      <c r="T631" s="15" t="s">
        <v>35</v>
      </c>
    </row>
    <row r="632" spans="1:20" x14ac:dyDescent="0.3">
      <c r="A632" s="14">
        <v>631</v>
      </c>
      <c r="B632" s="4">
        <v>44380</v>
      </c>
      <c r="C632" s="1" t="s">
        <v>531</v>
      </c>
      <c r="D632" s="1" t="s">
        <v>20</v>
      </c>
      <c r="E632" s="1" t="s">
        <v>40</v>
      </c>
      <c r="F632" s="2">
        <v>8</v>
      </c>
      <c r="G632" s="5">
        <v>1560</v>
      </c>
      <c r="H632" s="24">
        <f t="shared" si="45"/>
        <v>12480</v>
      </c>
      <c r="I632" s="7">
        <v>0.05</v>
      </c>
      <c r="J632" s="5">
        <f t="shared" si="46"/>
        <v>624</v>
      </c>
      <c r="K632" s="5">
        <f t="shared" si="47"/>
        <v>11856</v>
      </c>
      <c r="L632" s="5">
        <v>990</v>
      </c>
      <c r="M632" s="5">
        <f t="shared" si="48"/>
        <v>3936</v>
      </c>
      <c r="N632" s="7">
        <f t="shared" si="49"/>
        <v>0.33198380566801622</v>
      </c>
      <c r="O632" s="1" t="s">
        <v>54</v>
      </c>
      <c r="P632" s="1" t="s">
        <v>31</v>
      </c>
      <c r="Q632" s="1" t="s">
        <v>32</v>
      </c>
      <c r="R632" s="1" t="s">
        <v>56</v>
      </c>
      <c r="S632" s="1" t="s">
        <v>388</v>
      </c>
      <c r="T632" s="15" t="s">
        <v>35</v>
      </c>
    </row>
    <row r="633" spans="1:20" x14ac:dyDescent="0.3">
      <c r="A633" s="14">
        <v>632</v>
      </c>
      <c r="B633" s="4">
        <v>44230</v>
      </c>
      <c r="C633" s="1" t="s">
        <v>534</v>
      </c>
      <c r="D633" s="1" t="s">
        <v>20</v>
      </c>
      <c r="E633" s="1" t="s">
        <v>40</v>
      </c>
      <c r="F633" s="2">
        <v>8</v>
      </c>
      <c r="G633" s="5">
        <v>1580</v>
      </c>
      <c r="H633" s="24">
        <f t="shared" si="45"/>
        <v>12640</v>
      </c>
      <c r="I633" s="7">
        <v>0.15</v>
      </c>
      <c r="J633" s="5">
        <f t="shared" si="46"/>
        <v>1896</v>
      </c>
      <c r="K633" s="5">
        <f t="shared" si="47"/>
        <v>10744</v>
      </c>
      <c r="L633" s="5">
        <v>1020</v>
      </c>
      <c r="M633" s="5">
        <f t="shared" si="48"/>
        <v>2584</v>
      </c>
      <c r="N633" s="7">
        <f t="shared" si="49"/>
        <v>0.24050632911392406</v>
      </c>
      <c r="O633" s="1" t="s">
        <v>22</v>
      </c>
      <c r="P633" s="1" t="s">
        <v>31</v>
      </c>
      <c r="Q633" s="1" t="s">
        <v>32</v>
      </c>
      <c r="R633" s="1" t="s">
        <v>50</v>
      </c>
      <c r="S633" s="1" t="s">
        <v>44</v>
      </c>
      <c r="T633" s="15" t="s">
        <v>27</v>
      </c>
    </row>
    <row r="634" spans="1:20" x14ac:dyDescent="0.3">
      <c r="A634" s="14">
        <v>633</v>
      </c>
      <c r="B634" s="4">
        <v>44460</v>
      </c>
      <c r="C634" s="1" t="s">
        <v>530</v>
      </c>
      <c r="D634" s="1" t="s">
        <v>20</v>
      </c>
      <c r="E634" s="1" t="s">
        <v>45</v>
      </c>
      <c r="F634" s="2">
        <v>4</v>
      </c>
      <c r="G634" s="5">
        <v>170</v>
      </c>
      <c r="H634" s="24">
        <f t="shared" si="45"/>
        <v>680</v>
      </c>
      <c r="I634" s="7">
        <v>0.05</v>
      </c>
      <c r="J634" s="5">
        <f t="shared" si="46"/>
        <v>34</v>
      </c>
      <c r="K634" s="5">
        <f t="shared" si="47"/>
        <v>646</v>
      </c>
      <c r="L634" s="5">
        <v>140</v>
      </c>
      <c r="M634" s="5">
        <f t="shared" si="48"/>
        <v>86</v>
      </c>
      <c r="N634" s="7">
        <f t="shared" si="49"/>
        <v>0.13312693498452013</v>
      </c>
      <c r="O634" s="1" t="s">
        <v>41</v>
      </c>
      <c r="P634" s="1" t="s">
        <v>31</v>
      </c>
      <c r="Q634" s="1" t="s">
        <v>37</v>
      </c>
      <c r="R634" s="1" t="s">
        <v>66</v>
      </c>
      <c r="S634" s="1" t="s">
        <v>360</v>
      </c>
      <c r="T634" s="15" t="s">
        <v>27</v>
      </c>
    </row>
    <row r="635" spans="1:20" x14ac:dyDescent="0.3">
      <c r="A635" s="14">
        <v>634</v>
      </c>
      <c r="B635" s="4">
        <v>44233</v>
      </c>
      <c r="C635" s="1" t="s">
        <v>530</v>
      </c>
      <c r="D635" s="1" t="s">
        <v>80</v>
      </c>
      <c r="E635" s="1" t="s">
        <v>21</v>
      </c>
      <c r="F635" s="2">
        <v>6</v>
      </c>
      <c r="G635" s="5">
        <v>240</v>
      </c>
      <c r="H635" s="24">
        <f t="shared" si="45"/>
        <v>1440</v>
      </c>
      <c r="I635" s="7">
        <v>0</v>
      </c>
      <c r="J635" s="5">
        <f t="shared" si="46"/>
        <v>0</v>
      </c>
      <c r="K635" s="5">
        <f t="shared" si="47"/>
        <v>1440</v>
      </c>
      <c r="L635" s="5">
        <v>190</v>
      </c>
      <c r="M635" s="5">
        <f t="shared" si="48"/>
        <v>300</v>
      </c>
      <c r="N635" s="7">
        <f t="shared" si="49"/>
        <v>0.20833333333333334</v>
      </c>
      <c r="O635" s="1" t="s">
        <v>41</v>
      </c>
      <c r="P635" s="1" t="s">
        <v>31</v>
      </c>
      <c r="Q635" s="1" t="s">
        <v>24</v>
      </c>
      <c r="R635" s="1" t="s">
        <v>88</v>
      </c>
      <c r="S635" s="1" t="s">
        <v>389</v>
      </c>
      <c r="T635" s="15" t="s">
        <v>27</v>
      </c>
    </row>
    <row r="636" spans="1:20" x14ac:dyDescent="0.3">
      <c r="A636" s="14">
        <v>635</v>
      </c>
      <c r="B636" s="4">
        <v>44346</v>
      </c>
      <c r="C636" s="1" t="s">
        <v>529</v>
      </c>
      <c r="D636" s="1" t="s">
        <v>82</v>
      </c>
      <c r="E636" s="1" t="s">
        <v>43</v>
      </c>
      <c r="F636" s="2">
        <v>8</v>
      </c>
      <c r="G636" s="5">
        <v>340</v>
      </c>
      <c r="H636" s="24">
        <f t="shared" si="45"/>
        <v>2720</v>
      </c>
      <c r="I636" s="7">
        <v>0.02</v>
      </c>
      <c r="J636" s="5">
        <f t="shared" si="46"/>
        <v>54.4</v>
      </c>
      <c r="K636" s="5">
        <f t="shared" si="47"/>
        <v>2665.6</v>
      </c>
      <c r="L636" s="5">
        <v>220</v>
      </c>
      <c r="M636" s="5">
        <f t="shared" si="48"/>
        <v>905.59999999999991</v>
      </c>
      <c r="N636" s="7">
        <f t="shared" si="49"/>
        <v>0.3397358943577431</v>
      </c>
      <c r="O636" s="1" t="s">
        <v>41</v>
      </c>
      <c r="P636" s="1" t="s">
        <v>31</v>
      </c>
      <c r="Q636" s="1" t="s">
        <v>32</v>
      </c>
      <c r="R636" s="1" t="s">
        <v>63</v>
      </c>
      <c r="S636" s="1" t="s">
        <v>301</v>
      </c>
      <c r="T636" s="15" t="s">
        <v>53</v>
      </c>
    </row>
    <row r="637" spans="1:20" x14ac:dyDescent="0.3">
      <c r="A637" s="14">
        <v>636</v>
      </c>
      <c r="B637" s="4">
        <v>44287</v>
      </c>
      <c r="C637" s="1" t="s">
        <v>530</v>
      </c>
      <c r="D637" s="1" t="s">
        <v>20</v>
      </c>
      <c r="E637" s="1" t="s">
        <v>36</v>
      </c>
      <c r="F637" s="2">
        <v>11</v>
      </c>
      <c r="G637" s="5">
        <v>1200</v>
      </c>
      <c r="H637" s="24">
        <f t="shared" si="45"/>
        <v>13200</v>
      </c>
      <c r="I637" s="7">
        <v>0.05</v>
      </c>
      <c r="J637" s="5">
        <f t="shared" si="46"/>
        <v>660</v>
      </c>
      <c r="K637" s="5">
        <f t="shared" si="47"/>
        <v>12540</v>
      </c>
      <c r="L637" s="5">
        <v>800</v>
      </c>
      <c r="M637" s="5">
        <f t="shared" si="48"/>
        <v>3740</v>
      </c>
      <c r="N637" s="7">
        <f t="shared" si="49"/>
        <v>0.2982456140350877</v>
      </c>
      <c r="O637" s="1" t="s">
        <v>54</v>
      </c>
      <c r="P637" s="1" t="s">
        <v>31</v>
      </c>
      <c r="Q637" s="1" t="s">
        <v>48</v>
      </c>
      <c r="R637" s="1" t="s">
        <v>66</v>
      </c>
      <c r="S637" s="1" t="s">
        <v>262</v>
      </c>
      <c r="T637" s="15" t="s">
        <v>35</v>
      </c>
    </row>
    <row r="638" spans="1:20" x14ac:dyDescent="0.3">
      <c r="A638" s="14">
        <v>637</v>
      </c>
      <c r="B638" s="4">
        <v>44359</v>
      </c>
      <c r="C638" s="1" t="s">
        <v>532</v>
      </c>
      <c r="D638" s="1" t="s">
        <v>82</v>
      </c>
      <c r="E638" s="1" t="s">
        <v>45</v>
      </c>
      <c r="F638" s="2">
        <v>8</v>
      </c>
      <c r="G638" s="5">
        <v>180</v>
      </c>
      <c r="H638" s="24">
        <f t="shared" si="45"/>
        <v>1440</v>
      </c>
      <c r="I638" s="7">
        <v>0</v>
      </c>
      <c r="J638" s="5">
        <f t="shared" si="46"/>
        <v>0</v>
      </c>
      <c r="K638" s="5">
        <f t="shared" si="47"/>
        <v>1440</v>
      </c>
      <c r="L638" s="5">
        <v>130</v>
      </c>
      <c r="M638" s="5">
        <f t="shared" si="48"/>
        <v>400</v>
      </c>
      <c r="N638" s="7">
        <f t="shared" si="49"/>
        <v>0.27777777777777779</v>
      </c>
      <c r="O638" s="1" t="s">
        <v>22</v>
      </c>
      <c r="P638" s="1" t="s">
        <v>31</v>
      </c>
      <c r="Q638" s="1" t="s">
        <v>24</v>
      </c>
      <c r="R638" s="1" t="s">
        <v>46</v>
      </c>
      <c r="S638" s="1" t="s">
        <v>183</v>
      </c>
      <c r="T638" s="15" t="s">
        <v>35</v>
      </c>
    </row>
    <row r="639" spans="1:20" x14ac:dyDescent="0.3">
      <c r="A639" s="14">
        <v>638</v>
      </c>
      <c r="B639" s="4">
        <v>44383</v>
      </c>
      <c r="C639" s="1" t="s">
        <v>530</v>
      </c>
      <c r="D639" s="1" t="s">
        <v>80</v>
      </c>
      <c r="E639" s="1" t="s">
        <v>21</v>
      </c>
      <c r="F639" s="2">
        <v>7</v>
      </c>
      <c r="G639" s="5">
        <v>240</v>
      </c>
      <c r="H639" s="24">
        <f t="shared" si="45"/>
        <v>1680</v>
      </c>
      <c r="I639" s="7">
        <v>0.02</v>
      </c>
      <c r="J639" s="5">
        <f t="shared" si="46"/>
        <v>33.6</v>
      </c>
      <c r="K639" s="5">
        <f t="shared" si="47"/>
        <v>1646.4</v>
      </c>
      <c r="L639" s="5">
        <v>160</v>
      </c>
      <c r="M639" s="5">
        <f t="shared" si="48"/>
        <v>526.40000000000009</v>
      </c>
      <c r="N639" s="7">
        <f t="shared" si="49"/>
        <v>0.31972789115646261</v>
      </c>
      <c r="O639" s="1" t="s">
        <v>22</v>
      </c>
      <c r="P639" s="1" t="s">
        <v>31</v>
      </c>
      <c r="Q639" s="1" t="s">
        <v>24</v>
      </c>
      <c r="R639" s="1" t="s">
        <v>56</v>
      </c>
      <c r="S639" s="1" t="s">
        <v>116</v>
      </c>
      <c r="T639" s="15" t="s">
        <v>27</v>
      </c>
    </row>
    <row r="640" spans="1:20" x14ac:dyDescent="0.3">
      <c r="A640" s="14">
        <v>639</v>
      </c>
      <c r="B640" s="4">
        <v>44229</v>
      </c>
      <c r="C640" s="1" t="s">
        <v>533</v>
      </c>
      <c r="D640" s="1" t="s">
        <v>28</v>
      </c>
      <c r="E640" s="1" t="s">
        <v>45</v>
      </c>
      <c r="F640" s="2">
        <v>9</v>
      </c>
      <c r="G640" s="5">
        <v>210</v>
      </c>
      <c r="H640" s="24">
        <f t="shared" si="45"/>
        <v>1890</v>
      </c>
      <c r="I640" s="7">
        <v>0.05</v>
      </c>
      <c r="J640" s="5">
        <f t="shared" si="46"/>
        <v>94.5</v>
      </c>
      <c r="K640" s="5">
        <f t="shared" si="47"/>
        <v>1795.5</v>
      </c>
      <c r="L640" s="5">
        <v>170</v>
      </c>
      <c r="M640" s="5">
        <f t="shared" si="48"/>
        <v>265.5</v>
      </c>
      <c r="N640" s="7">
        <f t="shared" si="49"/>
        <v>0.14786967418546365</v>
      </c>
      <c r="O640" s="1" t="s">
        <v>59</v>
      </c>
      <c r="P640" s="1" t="s">
        <v>31</v>
      </c>
      <c r="Q640" s="1" t="s">
        <v>48</v>
      </c>
      <c r="R640" s="1" t="s">
        <v>49</v>
      </c>
      <c r="S640" s="1" t="s">
        <v>390</v>
      </c>
      <c r="T640" s="15" t="s">
        <v>35</v>
      </c>
    </row>
    <row r="641" spans="1:20" x14ac:dyDescent="0.3">
      <c r="A641" s="14">
        <v>640</v>
      </c>
      <c r="B641" s="4">
        <v>44555</v>
      </c>
      <c r="C641" s="1" t="s">
        <v>530</v>
      </c>
      <c r="D641" s="1" t="s">
        <v>20</v>
      </c>
      <c r="E641" s="1" t="s">
        <v>21</v>
      </c>
      <c r="F641" s="2">
        <v>8</v>
      </c>
      <c r="G641" s="5">
        <v>210</v>
      </c>
      <c r="H641" s="24">
        <f t="shared" si="45"/>
        <v>1680</v>
      </c>
      <c r="I641" s="7">
        <v>0</v>
      </c>
      <c r="J641" s="5">
        <f t="shared" si="46"/>
        <v>0</v>
      </c>
      <c r="K641" s="5">
        <f t="shared" si="47"/>
        <v>1680</v>
      </c>
      <c r="L641" s="5">
        <v>150</v>
      </c>
      <c r="M641" s="5">
        <f t="shared" si="48"/>
        <v>480</v>
      </c>
      <c r="N641" s="7">
        <f t="shared" si="49"/>
        <v>0.2857142857142857</v>
      </c>
      <c r="O641" s="1" t="s">
        <v>41</v>
      </c>
      <c r="P641" s="1" t="s">
        <v>31</v>
      </c>
      <c r="Q641" s="1" t="s">
        <v>37</v>
      </c>
      <c r="R641" s="1" t="s">
        <v>66</v>
      </c>
      <c r="S641" s="1" t="s">
        <v>202</v>
      </c>
      <c r="T641" s="15" t="s">
        <v>35</v>
      </c>
    </row>
    <row r="642" spans="1:20" x14ac:dyDescent="0.3">
      <c r="A642" s="14">
        <v>641</v>
      </c>
      <c r="B642" s="4">
        <v>44457</v>
      </c>
      <c r="C642" s="1" t="s">
        <v>530</v>
      </c>
      <c r="D642" s="1" t="s">
        <v>20</v>
      </c>
      <c r="E642" s="1" t="s">
        <v>29</v>
      </c>
      <c r="F642" s="2">
        <v>4</v>
      </c>
      <c r="G642" s="5">
        <v>2260</v>
      </c>
      <c r="H642" s="24">
        <f t="shared" ref="H642:H705" si="50">F642*G642</f>
        <v>9040</v>
      </c>
      <c r="I642" s="7">
        <v>0</v>
      </c>
      <c r="J642" s="5">
        <f t="shared" ref="J642:J705" si="51">H642*I642</f>
        <v>0</v>
      </c>
      <c r="K642" s="5">
        <f t="shared" ref="K642:K705" si="52">H642-J642</f>
        <v>9040</v>
      </c>
      <c r="L642" s="5">
        <v>1550</v>
      </c>
      <c r="M642" s="5">
        <f t="shared" ref="M642:M705" si="53">K642-(F642*L642)</f>
        <v>2840</v>
      </c>
      <c r="N642" s="7">
        <f t="shared" ref="N642:N705" si="54">IFERROR(M642/K642,0)</f>
        <v>0.31415929203539822</v>
      </c>
      <c r="O642" s="1" t="s">
        <v>59</v>
      </c>
      <c r="P642" s="1" t="s">
        <v>31</v>
      </c>
      <c r="Q642" s="1" t="s">
        <v>24</v>
      </c>
      <c r="R642" s="1" t="s">
        <v>66</v>
      </c>
      <c r="S642" s="1" t="s">
        <v>218</v>
      </c>
      <c r="T642" s="15" t="s">
        <v>53</v>
      </c>
    </row>
    <row r="643" spans="1:20" x14ac:dyDescent="0.3">
      <c r="A643" s="14">
        <v>642</v>
      </c>
      <c r="B643" s="4">
        <v>44355</v>
      </c>
      <c r="C643" s="1" t="s">
        <v>533</v>
      </c>
      <c r="D643" s="1" t="s">
        <v>82</v>
      </c>
      <c r="E643" s="1" t="s">
        <v>36</v>
      </c>
      <c r="F643" s="2">
        <v>2</v>
      </c>
      <c r="G643" s="5">
        <v>1260</v>
      </c>
      <c r="H643" s="24">
        <f t="shared" si="50"/>
        <v>2520</v>
      </c>
      <c r="I643" s="7">
        <v>0.05</v>
      </c>
      <c r="J643" s="5">
        <f t="shared" si="51"/>
        <v>126</v>
      </c>
      <c r="K643" s="5">
        <f t="shared" si="52"/>
        <v>2394</v>
      </c>
      <c r="L643" s="5">
        <v>820</v>
      </c>
      <c r="M643" s="5">
        <f t="shared" si="53"/>
        <v>754</v>
      </c>
      <c r="N643" s="7">
        <f t="shared" si="54"/>
        <v>0.31495405179615704</v>
      </c>
      <c r="O643" s="1" t="s">
        <v>59</v>
      </c>
      <c r="P643" s="1" t="s">
        <v>31</v>
      </c>
      <c r="Q643" s="1" t="s">
        <v>32</v>
      </c>
      <c r="R643" s="1" t="s">
        <v>49</v>
      </c>
      <c r="S643" s="1" t="s">
        <v>375</v>
      </c>
      <c r="T643" s="15" t="s">
        <v>35</v>
      </c>
    </row>
    <row r="644" spans="1:20" x14ac:dyDescent="0.3">
      <c r="A644" s="14">
        <v>643</v>
      </c>
      <c r="B644" s="4">
        <v>44421</v>
      </c>
      <c r="C644" s="1" t="s">
        <v>530</v>
      </c>
      <c r="D644" s="1" t="s">
        <v>20</v>
      </c>
      <c r="E644" s="1" t="s">
        <v>45</v>
      </c>
      <c r="F644" s="2">
        <v>11</v>
      </c>
      <c r="G644" s="5">
        <v>210</v>
      </c>
      <c r="H644" s="24">
        <f t="shared" si="50"/>
        <v>2310</v>
      </c>
      <c r="I644" s="7">
        <v>0.15</v>
      </c>
      <c r="J644" s="5">
        <f t="shared" si="51"/>
        <v>346.5</v>
      </c>
      <c r="K644" s="5">
        <f t="shared" si="52"/>
        <v>1963.5</v>
      </c>
      <c r="L644" s="5">
        <v>150</v>
      </c>
      <c r="M644" s="5">
        <f t="shared" si="53"/>
        <v>313.5</v>
      </c>
      <c r="N644" s="7">
        <f t="shared" si="54"/>
        <v>0.15966386554621848</v>
      </c>
      <c r="O644" s="1" t="s">
        <v>54</v>
      </c>
      <c r="P644" s="1" t="s">
        <v>31</v>
      </c>
      <c r="Q644" s="1" t="s">
        <v>24</v>
      </c>
      <c r="R644" s="1" t="s">
        <v>50</v>
      </c>
      <c r="S644" s="1" t="s">
        <v>135</v>
      </c>
      <c r="T644" s="15" t="s">
        <v>35</v>
      </c>
    </row>
    <row r="645" spans="1:20" x14ac:dyDescent="0.3">
      <c r="A645" s="14">
        <v>644</v>
      </c>
      <c r="B645" s="4">
        <v>44358</v>
      </c>
      <c r="C645" s="1" t="s">
        <v>533</v>
      </c>
      <c r="D645" s="1" t="s">
        <v>80</v>
      </c>
      <c r="E645" s="1" t="s">
        <v>45</v>
      </c>
      <c r="F645" s="2">
        <v>9</v>
      </c>
      <c r="G645" s="5">
        <v>190</v>
      </c>
      <c r="H645" s="24">
        <f t="shared" si="50"/>
        <v>1710</v>
      </c>
      <c r="I645" s="7">
        <v>0</v>
      </c>
      <c r="J645" s="5">
        <f t="shared" si="51"/>
        <v>0</v>
      </c>
      <c r="K645" s="5">
        <f t="shared" si="52"/>
        <v>1710</v>
      </c>
      <c r="L645" s="5">
        <v>140</v>
      </c>
      <c r="M645" s="5">
        <f t="shared" si="53"/>
        <v>450</v>
      </c>
      <c r="N645" s="7">
        <f t="shared" si="54"/>
        <v>0.26315789473684209</v>
      </c>
      <c r="O645" s="1" t="s">
        <v>54</v>
      </c>
      <c r="P645" s="1" t="s">
        <v>31</v>
      </c>
      <c r="Q645" s="1" t="s">
        <v>37</v>
      </c>
      <c r="R645" s="1" t="s">
        <v>38</v>
      </c>
      <c r="S645" s="1" t="s">
        <v>70</v>
      </c>
      <c r="T645" s="15" t="s">
        <v>53</v>
      </c>
    </row>
    <row r="646" spans="1:20" x14ac:dyDescent="0.3">
      <c r="A646" s="14">
        <v>645</v>
      </c>
      <c r="B646" s="4">
        <v>44347</v>
      </c>
      <c r="C646" s="1" t="s">
        <v>534</v>
      </c>
      <c r="D646" s="1" t="s">
        <v>28</v>
      </c>
      <c r="E646" s="1" t="s">
        <v>21</v>
      </c>
      <c r="F646" s="2">
        <v>1</v>
      </c>
      <c r="G646" s="5">
        <v>230</v>
      </c>
      <c r="H646" s="24">
        <f t="shared" si="50"/>
        <v>230</v>
      </c>
      <c r="I646" s="7">
        <v>0.1</v>
      </c>
      <c r="J646" s="5">
        <f t="shared" si="51"/>
        <v>23</v>
      </c>
      <c r="K646" s="5">
        <f t="shared" si="52"/>
        <v>207</v>
      </c>
      <c r="L646" s="5">
        <v>150</v>
      </c>
      <c r="M646" s="5">
        <f t="shared" si="53"/>
        <v>57</v>
      </c>
      <c r="N646" s="7">
        <f t="shared" si="54"/>
        <v>0.27536231884057971</v>
      </c>
      <c r="O646" s="1" t="s">
        <v>22</v>
      </c>
      <c r="P646" s="1" t="s">
        <v>23</v>
      </c>
      <c r="Q646" s="1" t="s">
        <v>24</v>
      </c>
      <c r="R646" s="1" t="s">
        <v>88</v>
      </c>
      <c r="S646" s="1" t="s">
        <v>391</v>
      </c>
      <c r="T646" s="15" t="s">
        <v>35</v>
      </c>
    </row>
    <row r="647" spans="1:20" x14ac:dyDescent="0.3">
      <c r="A647" s="14">
        <v>646</v>
      </c>
      <c r="B647" s="4">
        <v>44521</v>
      </c>
      <c r="C647" s="1" t="s">
        <v>533</v>
      </c>
      <c r="D647" s="1" t="s">
        <v>20</v>
      </c>
      <c r="E647" s="1" t="s">
        <v>43</v>
      </c>
      <c r="F647" s="2">
        <v>4</v>
      </c>
      <c r="G647" s="5">
        <v>310</v>
      </c>
      <c r="H647" s="24">
        <f t="shared" si="50"/>
        <v>1240</v>
      </c>
      <c r="I647" s="7">
        <v>0.1</v>
      </c>
      <c r="J647" s="5">
        <f t="shared" si="51"/>
        <v>124</v>
      </c>
      <c r="K647" s="5">
        <f t="shared" si="52"/>
        <v>1116</v>
      </c>
      <c r="L647" s="5">
        <v>220</v>
      </c>
      <c r="M647" s="5">
        <f t="shared" si="53"/>
        <v>236</v>
      </c>
      <c r="N647" s="7">
        <f t="shared" si="54"/>
        <v>0.21146953405017921</v>
      </c>
      <c r="O647" s="1" t="s">
        <v>22</v>
      </c>
      <c r="P647" s="1" t="s">
        <v>31</v>
      </c>
      <c r="Q647" s="1" t="s">
        <v>37</v>
      </c>
      <c r="R647" s="1" t="s">
        <v>25</v>
      </c>
      <c r="S647" s="1" t="s">
        <v>127</v>
      </c>
      <c r="T647" s="15" t="s">
        <v>61</v>
      </c>
    </row>
    <row r="648" spans="1:20" x14ac:dyDescent="0.3">
      <c r="A648" s="14">
        <v>647</v>
      </c>
      <c r="B648" s="4">
        <v>44382</v>
      </c>
      <c r="C648" s="1" t="s">
        <v>529</v>
      </c>
      <c r="D648" s="1" t="s">
        <v>82</v>
      </c>
      <c r="E648" s="1" t="s">
        <v>29</v>
      </c>
      <c r="F648" s="2">
        <v>12</v>
      </c>
      <c r="G648" s="5">
        <v>2140</v>
      </c>
      <c r="H648" s="24">
        <f t="shared" si="50"/>
        <v>25680</v>
      </c>
      <c r="I648" s="7">
        <v>0.05</v>
      </c>
      <c r="J648" s="5">
        <f t="shared" si="51"/>
        <v>1284</v>
      </c>
      <c r="K648" s="5">
        <f t="shared" si="52"/>
        <v>24396</v>
      </c>
      <c r="L648" s="5">
        <v>1460</v>
      </c>
      <c r="M648" s="5">
        <f t="shared" si="53"/>
        <v>6876</v>
      </c>
      <c r="N648" s="7">
        <f t="shared" si="54"/>
        <v>0.28184948352188882</v>
      </c>
      <c r="O648" s="1" t="s">
        <v>54</v>
      </c>
      <c r="P648" s="1" t="s">
        <v>31</v>
      </c>
      <c r="Q648" s="1" t="s">
        <v>37</v>
      </c>
      <c r="R648" s="1" t="s">
        <v>56</v>
      </c>
      <c r="S648" s="1" t="s">
        <v>392</v>
      </c>
      <c r="T648" s="15" t="s">
        <v>35</v>
      </c>
    </row>
    <row r="649" spans="1:20" x14ac:dyDescent="0.3">
      <c r="A649" s="14">
        <v>648</v>
      </c>
      <c r="B649" s="4">
        <v>44342</v>
      </c>
      <c r="C649" s="1" t="s">
        <v>532</v>
      </c>
      <c r="D649" s="1" t="s">
        <v>20</v>
      </c>
      <c r="E649" s="1" t="s">
        <v>21</v>
      </c>
      <c r="F649" s="2">
        <v>1</v>
      </c>
      <c r="G649" s="5">
        <v>210</v>
      </c>
      <c r="H649" s="24">
        <f t="shared" si="50"/>
        <v>210</v>
      </c>
      <c r="I649" s="7">
        <v>0.15</v>
      </c>
      <c r="J649" s="5">
        <f t="shared" si="51"/>
        <v>31.5</v>
      </c>
      <c r="K649" s="5">
        <f t="shared" si="52"/>
        <v>178.5</v>
      </c>
      <c r="L649" s="5">
        <v>120</v>
      </c>
      <c r="M649" s="5">
        <f t="shared" si="53"/>
        <v>58.5</v>
      </c>
      <c r="N649" s="7">
        <f t="shared" si="54"/>
        <v>0.32773109243697479</v>
      </c>
      <c r="O649" s="1" t="s">
        <v>54</v>
      </c>
      <c r="P649" s="1" t="s">
        <v>31</v>
      </c>
      <c r="Q649" s="1" t="s">
        <v>32</v>
      </c>
      <c r="R649" s="1" t="s">
        <v>88</v>
      </c>
      <c r="S649" s="1" t="s">
        <v>236</v>
      </c>
      <c r="T649" s="15" t="s">
        <v>35</v>
      </c>
    </row>
    <row r="650" spans="1:20" x14ac:dyDescent="0.3">
      <c r="A650" s="14">
        <v>649</v>
      </c>
      <c r="B650" s="4">
        <v>44374</v>
      </c>
      <c r="C650" s="1" t="s">
        <v>533</v>
      </c>
      <c r="D650" s="1" t="s">
        <v>20</v>
      </c>
      <c r="E650" s="1" t="s">
        <v>45</v>
      </c>
      <c r="F650" s="2">
        <v>5</v>
      </c>
      <c r="G650" s="5">
        <v>220</v>
      </c>
      <c r="H650" s="24">
        <f t="shared" si="50"/>
        <v>1100</v>
      </c>
      <c r="I650" s="7">
        <v>0</v>
      </c>
      <c r="J650" s="5">
        <f t="shared" si="51"/>
        <v>0</v>
      </c>
      <c r="K650" s="5">
        <f t="shared" si="52"/>
        <v>1100</v>
      </c>
      <c r="L650" s="5">
        <v>160</v>
      </c>
      <c r="M650" s="5">
        <f t="shared" si="53"/>
        <v>300</v>
      </c>
      <c r="N650" s="7">
        <f t="shared" si="54"/>
        <v>0.27272727272727271</v>
      </c>
      <c r="O650" s="1" t="s">
        <v>59</v>
      </c>
      <c r="P650" s="1" t="s">
        <v>31</v>
      </c>
      <c r="Q650" s="1" t="s">
        <v>37</v>
      </c>
      <c r="R650" s="1" t="s">
        <v>38</v>
      </c>
      <c r="S650" s="1" t="s">
        <v>393</v>
      </c>
      <c r="T650" s="15" t="s">
        <v>27</v>
      </c>
    </row>
    <row r="651" spans="1:20" x14ac:dyDescent="0.3">
      <c r="A651" s="14">
        <v>650</v>
      </c>
      <c r="B651" s="4">
        <v>44406</v>
      </c>
      <c r="C651" s="1" t="s">
        <v>529</v>
      </c>
      <c r="D651" s="1" t="s">
        <v>20</v>
      </c>
      <c r="E651" s="1" t="s">
        <v>43</v>
      </c>
      <c r="F651" s="2">
        <v>4</v>
      </c>
      <c r="G651" s="5">
        <v>290</v>
      </c>
      <c r="H651" s="24">
        <f t="shared" si="50"/>
        <v>1160</v>
      </c>
      <c r="I651" s="7">
        <v>0.15</v>
      </c>
      <c r="J651" s="5">
        <f t="shared" si="51"/>
        <v>174</v>
      </c>
      <c r="K651" s="5">
        <f t="shared" si="52"/>
        <v>986</v>
      </c>
      <c r="L651" s="5">
        <v>180</v>
      </c>
      <c r="M651" s="5">
        <f t="shared" si="53"/>
        <v>266</v>
      </c>
      <c r="N651" s="7">
        <f t="shared" si="54"/>
        <v>0.26977687626774849</v>
      </c>
      <c r="O651" s="1" t="s">
        <v>54</v>
      </c>
      <c r="P651" s="1" t="s">
        <v>31</v>
      </c>
      <c r="Q651" s="1" t="s">
        <v>48</v>
      </c>
      <c r="R651" s="1" t="s">
        <v>46</v>
      </c>
      <c r="S651" s="1" t="s">
        <v>138</v>
      </c>
      <c r="T651" s="15" t="s">
        <v>53</v>
      </c>
    </row>
    <row r="652" spans="1:20" x14ac:dyDescent="0.3">
      <c r="A652" s="14">
        <v>651</v>
      </c>
      <c r="B652" s="4">
        <v>44434</v>
      </c>
      <c r="C652" s="1" t="s">
        <v>530</v>
      </c>
      <c r="D652" s="1" t="s">
        <v>20</v>
      </c>
      <c r="E652" s="1" t="s">
        <v>43</v>
      </c>
      <c r="F652" s="2">
        <v>10</v>
      </c>
      <c r="G652" s="5">
        <v>280</v>
      </c>
      <c r="H652" s="24">
        <f t="shared" si="50"/>
        <v>2800</v>
      </c>
      <c r="I652" s="7">
        <v>0</v>
      </c>
      <c r="J652" s="5">
        <f t="shared" si="51"/>
        <v>0</v>
      </c>
      <c r="K652" s="5">
        <f t="shared" si="52"/>
        <v>2800</v>
      </c>
      <c r="L652" s="5">
        <v>190</v>
      </c>
      <c r="M652" s="5">
        <f t="shared" si="53"/>
        <v>900</v>
      </c>
      <c r="N652" s="7">
        <f t="shared" si="54"/>
        <v>0.32142857142857145</v>
      </c>
      <c r="O652" s="1" t="s">
        <v>41</v>
      </c>
      <c r="P652" s="1" t="s">
        <v>31</v>
      </c>
      <c r="Q652" s="1" t="s">
        <v>24</v>
      </c>
      <c r="R652" s="1" t="s">
        <v>66</v>
      </c>
      <c r="S652" s="1" t="s">
        <v>199</v>
      </c>
      <c r="T652" s="15" t="s">
        <v>35</v>
      </c>
    </row>
    <row r="653" spans="1:20" x14ac:dyDescent="0.3">
      <c r="A653" s="14">
        <v>652</v>
      </c>
      <c r="B653" s="4">
        <v>44290</v>
      </c>
      <c r="C653" s="1" t="s">
        <v>533</v>
      </c>
      <c r="D653" s="1" t="s">
        <v>28</v>
      </c>
      <c r="E653" s="1" t="s">
        <v>29</v>
      </c>
      <c r="F653" s="2">
        <v>8</v>
      </c>
      <c r="G653" s="5">
        <v>1890</v>
      </c>
      <c r="H653" s="24">
        <f t="shared" si="50"/>
        <v>15120</v>
      </c>
      <c r="I653" s="7">
        <v>0.1</v>
      </c>
      <c r="J653" s="5">
        <f t="shared" si="51"/>
        <v>1512</v>
      </c>
      <c r="K653" s="5">
        <f t="shared" si="52"/>
        <v>13608</v>
      </c>
      <c r="L653" s="5">
        <v>1480</v>
      </c>
      <c r="M653" s="5">
        <f t="shared" si="53"/>
        <v>1768</v>
      </c>
      <c r="N653" s="7">
        <f t="shared" si="54"/>
        <v>0.12992357436801882</v>
      </c>
      <c r="O653" s="1" t="s">
        <v>30</v>
      </c>
      <c r="P653" s="1" t="s">
        <v>31</v>
      </c>
      <c r="Q653" s="1" t="s">
        <v>24</v>
      </c>
      <c r="R653" s="1" t="s">
        <v>38</v>
      </c>
      <c r="S653" s="1" t="s">
        <v>180</v>
      </c>
      <c r="T653" s="15" t="s">
        <v>61</v>
      </c>
    </row>
    <row r="654" spans="1:20" x14ac:dyDescent="0.3">
      <c r="A654" s="14">
        <v>653</v>
      </c>
      <c r="B654" s="4">
        <v>44541</v>
      </c>
      <c r="C654" s="1" t="s">
        <v>530</v>
      </c>
      <c r="D654" s="1" t="s">
        <v>20</v>
      </c>
      <c r="E654" s="1" t="s">
        <v>36</v>
      </c>
      <c r="F654" s="2">
        <v>3</v>
      </c>
      <c r="G654" s="5">
        <v>1270</v>
      </c>
      <c r="H654" s="24">
        <f t="shared" si="50"/>
        <v>3810</v>
      </c>
      <c r="I654" s="7">
        <v>0</v>
      </c>
      <c r="J654" s="5">
        <f t="shared" si="51"/>
        <v>0</v>
      </c>
      <c r="K654" s="5">
        <f t="shared" si="52"/>
        <v>3810</v>
      </c>
      <c r="L654" s="5">
        <v>880</v>
      </c>
      <c r="M654" s="5">
        <f t="shared" si="53"/>
        <v>1170</v>
      </c>
      <c r="N654" s="7">
        <f t="shared" si="54"/>
        <v>0.30708661417322836</v>
      </c>
      <c r="O654" s="1" t="s">
        <v>41</v>
      </c>
      <c r="P654" s="1" t="s">
        <v>31</v>
      </c>
      <c r="Q654" s="1" t="s">
        <v>48</v>
      </c>
      <c r="R654" s="1" t="s">
        <v>25</v>
      </c>
      <c r="S654" s="1" t="s">
        <v>394</v>
      </c>
      <c r="T654" s="15" t="s">
        <v>61</v>
      </c>
    </row>
    <row r="655" spans="1:20" x14ac:dyDescent="0.3">
      <c r="A655" s="14">
        <v>654</v>
      </c>
      <c r="B655" s="4">
        <v>44251</v>
      </c>
      <c r="C655" s="1" t="s">
        <v>529</v>
      </c>
      <c r="D655" s="1" t="s">
        <v>28</v>
      </c>
      <c r="E655" s="1" t="s">
        <v>40</v>
      </c>
      <c r="F655" s="2">
        <v>11</v>
      </c>
      <c r="G655" s="5">
        <v>1440</v>
      </c>
      <c r="H655" s="24">
        <f t="shared" si="50"/>
        <v>15840</v>
      </c>
      <c r="I655" s="7">
        <v>0.15</v>
      </c>
      <c r="J655" s="5">
        <f t="shared" si="51"/>
        <v>2376</v>
      </c>
      <c r="K655" s="5">
        <f t="shared" si="52"/>
        <v>13464</v>
      </c>
      <c r="L655" s="5">
        <v>1170</v>
      </c>
      <c r="M655" s="5">
        <f t="shared" si="53"/>
        <v>594</v>
      </c>
      <c r="N655" s="7">
        <f t="shared" si="54"/>
        <v>4.4117647058823532E-2</v>
      </c>
      <c r="O655" s="1" t="s">
        <v>22</v>
      </c>
      <c r="P655" s="1" t="s">
        <v>31</v>
      </c>
      <c r="Q655" s="1" t="s">
        <v>48</v>
      </c>
      <c r="R655" s="1" t="s">
        <v>25</v>
      </c>
      <c r="S655" s="1" t="s">
        <v>335</v>
      </c>
      <c r="T655" s="15" t="s">
        <v>53</v>
      </c>
    </row>
    <row r="656" spans="1:20" x14ac:dyDescent="0.3">
      <c r="A656" s="14">
        <v>655</v>
      </c>
      <c r="B656" s="4">
        <v>44525</v>
      </c>
      <c r="C656" s="1" t="s">
        <v>529</v>
      </c>
      <c r="D656" s="1" t="s">
        <v>80</v>
      </c>
      <c r="E656" s="1" t="s">
        <v>45</v>
      </c>
      <c r="F656" s="2">
        <v>12</v>
      </c>
      <c r="G656" s="5">
        <v>180</v>
      </c>
      <c r="H656" s="24">
        <f t="shared" si="50"/>
        <v>2160</v>
      </c>
      <c r="I656" s="7">
        <v>0</v>
      </c>
      <c r="J656" s="5">
        <f t="shared" si="51"/>
        <v>0</v>
      </c>
      <c r="K656" s="5">
        <f t="shared" si="52"/>
        <v>2160</v>
      </c>
      <c r="L656" s="5">
        <v>130</v>
      </c>
      <c r="M656" s="5">
        <f t="shared" si="53"/>
        <v>600</v>
      </c>
      <c r="N656" s="7">
        <f t="shared" si="54"/>
        <v>0.27777777777777779</v>
      </c>
      <c r="O656" s="1" t="s">
        <v>59</v>
      </c>
      <c r="P656" s="1" t="s">
        <v>31</v>
      </c>
      <c r="Q656" s="1" t="s">
        <v>32</v>
      </c>
      <c r="R656" s="1" t="s">
        <v>46</v>
      </c>
      <c r="S656" s="1" t="s">
        <v>285</v>
      </c>
      <c r="T656" s="15" t="s">
        <v>53</v>
      </c>
    </row>
    <row r="657" spans="1:20" x14ac:dyDescent="0.3">
      <c r="A657" s="14">
        <v>656</v>
      </c>
      <c r="B657" s="4">
        <v>44244</v>
      </c>
      <c r="C657" s="1" t="s">
        <v>533</v>
      </c>
      <c r="D657" s="1" t="s">
        <v>80</v>
      </c>
      <c r="E657" s="1" t="s">
        <v>29</v>
      </c>
      <c r="F657" s="2">
        <v>3</v>
      </c>
      <c r="G657" s="5">
        <v>2200</v>
      </c>
      <c r="H657" s="24">
        <f t="shared" si="50"/>
        <v>6600</v>
      </c>
      <c r="I657" s="7">
        <v>0.05</v>
      </c>
      <c r="J657" s="5">
        <f t="shared" si="51"/>
        <v>330</v>
      </c>
      <c r="K657" s="5">
        <f t="shared" si="52"/>
        <v>6270</v>
      </c>
      <c r="L657" s="5">
        <v>1640</v>
      </c>
      <c r="M657" s="5">
        <f t="shared" si="53"/>
        <v>1350</v>
      </c>
      <c r="N657" s="7">
        <f t="shared" si="54"/>
        <v>0.21531100478468901</v>
      </c>
      <c r="O657" s="1" t="s">
        <v>54</v>
      </c>
      <c r="P657" s="1" t="s">
        <v>31</v>
      </c>
      <c r="Q657" s="1" t="s">
        <v>32</v>
      </c>
      <c r="R657" s="1" t="s">
        <v>66</v>
      </c>
      <c r="S657" s="1" t="s">
        <v>236</v>
      </c>
      <c r="T657" s="15" t="s">
        <v>61</v>
      </c>
    </row>
    <row r="658" spans="1:20" x14ac:dyDescent="0.3">
      <c r="A658" s="14">
        <v>657</v>
      </c>
      <c r="B658" s="4">
        <v>44250</v>
      </c>
      <c r="C658" s="1" t="s">
        <v>529</v>
      </c>
      <c r="D658" s="1" t="s">
        <v>28</v>
      </c>
      <c r="E658" s="1" t="s">
        <v>21</v>
      </c>
      <c r="F658" s="2">
        <v>8</v>
      </c>
      <c r="G658" s="5">
        <v>190</v>
      </c>
      <c r="H658" s="24">
        <f t="shared" si="50"/>
        <v>1520</v>
      </c>
      <c r="I658" s="7">
        <v>0.02</v>
      </c>
      <c r="J658" s="5">
        <f t="shared" si="51"/>
        <v>30.400000000000002</v>
      </c>
      <c r="K658" s="5">
        <f t="shared" si="52"/>
        <v>1489.6</v>
      </c>
      <c r="L658" s="5">
        <v>140</v>
      </c>
      <c r="M658" s="5">
        <f t="shared" si="53"/>
        <v>369.59999999999991</v>
      </c>
      <c r="N658" s="7">
        <f t="shared" si="54"/>
        <v>0.24812030075187966</v>
      </c>
      <c r="O658" s="1" t="s">
        <v>41</v>
      </c>
      <c r="P658" s="1" t="s">
        <v>31</v>
      </c>
      <c r="Q658" s="1" t="s">
        <v>37</v>
      </c>
      <c r="R658" s="1" t="s">
        <v>25</v>
      </c>
      <c r="S658" s="1" t="s">
        <v>387</v>
      </c>
      <c r="T658" s="15" t="s">
        <v>27</v>
      </c>
    </row>
    <row r="659" spans="1:20" x14ac:dyDescent="0.3">
      <c r="A659" s="14">
        <v>658</v>
      </c>
      <c r="B659" s="4">
        <v>44350</v>
      </c>
      <c r="C659" s="1" t="s">
        <v>531</v>
      </c>
      <c r="D659" s="1" t="s">
        <v>80</v>
      </c>
      <c r="E659" s="1" t="s">
        <v>21</v>
      </c>
      <c r="F659" s="2">
        <v>10</v>
      </c>
      <c r="G659" s="5">
        <v>220</v>
      </c>
      <c r="H659" s="24">
        <f t="shared" si="50"/>
        <v>2200</v>
      </c>
      <c r="I659" s="7">
        <v>0.1</v>
      </c>
      <c r="J659" s="5">
        <f t="shared" si="51"/>
        <v>220</v>
      </c>
      <c r="K659" s="5">
        <f t="shared" si="52"/>
        <v>1980</v>
      </c>
      <c r="L659" s="5">
        <v>130</v>
      </c>
      <c r="M659" s="5">
        <f t="shared" si="53"/>
        <v>680</v>
      </c>
      <c r="N659" s="7">
        <f t="shared" si="54"/>
        <v>0.34343434343434343</v>
      </c>
      <c r="O659" s="1" t="s">
        <v>30</v>
      </c>
      <c r="P659" s="1" t="s">
        <v>31</v>
      </c>
      <c r="Q659" s="1" t="s">
        <v>37</v>
      </c>
      <c r="R659" s="1" t="s">
        <v>66</v>
      </c>
      <c r="S659" s="1" t="s">
        <v>395</v>
      </c>
      <c r="T659" s="15" t="s">
        <v>27</v>
      </c>
    </row>
    <row r="660" spans="1:20" x14ac:dyDescent="0.3">
      <c r="A660" s="14">
        <v>659</v>
      </c>
      <c r="B660" s="4">
        <v>44369</v>
      </c>
      <c r="C660" s="1" t="s">
        <v>529</v>
      </c>
      <c r="D660" s="1" t="s">
        <v>20</v>
      </c>
      <c r="E660" s="1" t="s">
        <v>43</v>
      </c>
      <c r="F660" s="2">
        <v>11</v>
      </c>
      <c r="G660" s="5">
        <v>320</v>
      </c>
      <c r="H660" s="24">
        <f t="shared" si="50"/>
        <v>3520</v>
      </c>
      <c r="I660" s="7">
        <v>0.1</v>
      </c>
      <c r="J660" s="5">
        <f t="shared" si="51"/>
        <v>352</v>
      </c>
      <c r="K660" s="5">
        <f t="shared" si="52"/>
        <v>3168</v>
      </c>
      <c r="L660" s="5">
        <v>200</v>
      </c>
      <c r="M660" s="5">
        <f t="shared" si="53"/>
        <v>968</v>
      </c>
      <c r="N660" s="7">
        <f t="shared" si="54"/>
        <v>0.30555555555555558</v>
      </c>
      <c r="O660" s="1" t="s">
        <v>54</v>
      </c>
      <c r="P660" s="1" t="s">
        <v>31</v>
      </c>
      <c r="Q660" s="1" t="s">
        <v>48</v>
      </c>
      <c r="R660" s="1" t="s">
        <v>49</v>
      </c>
      <c r="S660" s="1" t="s">
        <v>150</v>
      </c>
      <c r="T660" s="15" t="s">
        <v>27</v>
      </c>
    </row>
    <row r="661" spans="1:20" x14ac:dyDescent="0.3">
      <c r="A661" s="14">
        <v>660</v>
      </c>
      <c r="B661" s="4">
        <v>44253</v>
      </c>
      <c r="C661" s="1" t="s">
        <v>533</v>
      </c>
      <c r="D661" s="1" t="s">
        <v>28</v>
      </c>
      <c r="E661" s="1" t="s">
        <v>40</v>
      </c>
      <c r="F661" s="2">
        <v>8</v>
      </c>
      <c r="G661" s="5">
        <v>1520</v>
      </c>
      <c r="H661" s="24">
        <f t="shared" si="50"/>
        <v>12160</v>
      </c>
      <c r="I661" s="7">
        <v>0.1</v>
      </c>
      <c r="J661" s="5">
        <f t="shared" si="51"/>
        <v>1216</v>
      </c>
      <c r="K661" s="5">
        <f t="shared" si="52"/>
        <v>10944</v>
      </c>
      <c r="L661" s="5">
        <v>1130</v>
      </c>
      <c r="M661" s="5">
        <f t="shared" si="53"/>
        <v>1904</v>
      </c>
      <c r="N661" s="7">
        <f t="shared" si="54"/>
        <v>0.17397660818713451</v>
      </c>
      <c r="O661" s="1" t="s">
        <v>59</v>
      </c>
      <c r="P661" s="1" t="s">
        <v>31</v>
      </c>
      <c r="Q661" s="1" t="s">
        <v>37</v>
      </c>
      <c r="R661" s="1" t="s">
        <v>49</v>
      </c>
      <c r="S661" s="1" t="s">
        <v>186</v>
      </c>
      <c r="T661" s="15" t="s">
        <v>61</v>
      </c>
    </row>
    <row r="662" spans="1:20" x14ac:dyDescent="0.3">
      <c r="A662" s="14">
        <v>661</v>
      </c>
      <c r="B662" s="4">
        <v>44235</v>
      </c>
      <c r="C662" s="1" t="s">
        <v>530</v>
      </c>
      <c r="D662" s="1" t="s">
        <v>82</v>
      </c>
      <c r="E662" s="1" t="s">
        <v>36</v>
      </c>
      <c r="F662" s="2">
        <v>11</v>
      </c>
      <c r="G662" s="5">
        <v>1280</v>
      </c>
      <c r="H662" s="24">
        <f t="shared" si="50"/>
        <v>14080</v>
      </c>
      <c r="I662" s="7">
        <v>0.05</v>
      </c>
      <c r="J662" s="5">
        <f t="shared" si="51"/>
        <v>704</v>
      </c>
      <c r="K662" s="5">
        <f t="shared" si="52"/>
        <v>13376</v>
      </c>
      <c r="L662" s="5">
        <v>980</v>
      </c>
      <c r="M662" s="5">
        <f t="shared" si="53"/>
        <v>2596</v>
      </c>
      <c r="N662" s="7">
        <f t="shared" si="54"/>
        <v>0.19407894736842105</v>
      </c>
      <c r="O662" s="1" t="s">
        <v>30</v>
      </c>
      <c r="P662" s="1" t="s">
        <v>31</v>
      </c>
      <c r="Q662" s="1" t="s">
        <v>24</v>
      </c>
      <c r="R662" s="1" t="s">
        <v>88</v>
      </c>
      <c r="S662" s="1" t="s">
        <v>396</v>
      </c>
      <c r="T662" s="15" t="s">
        <v>61</v>
      </c>
    </row>
    <row r="663" spans="1:20" x14ac:dyDescent="0.3">
      <c r="A663" s="14">
        <v>662</v>
      </c>
      <c r="B663" s="4">
        <v>44462</v>
      </c>
      <c r="C663" s="1" t="s">
        <v>530</v>
      </c>
      <c r="D663" s="1" t="s">
        <v>20</v>
      </c>
      <c r="E663" s="1" t="s">
        <v>21</v>
      </c>
      <c r="F663" s="2">
        <v>5</v>
      </c>
      <c r="G663" s="5">
        <v>210</v>
      </c>
      <c r="H663" s="24">
        <f t="shared" si="50"/>
        <v>1050</v>
      </c>
      <c r="I663" s="7">
        <v>0.15</v>
      </c>
      <c r="J663" s="5">
        <f t="shared" si="51"/>
        <v>157.5</v>
      </c>
      <c r="K663" s="5">
        <f t="shared" si="52"/>
        <v>892.5</v>
      </c>
      <c r="L663" s="5">
        <v>150</v>
      </c>
      <c r="M663" s="5">
        <f t="shared" si="53"/>
        <v>142.5</v>
      </c>
      <c r="N663" s="7">
        <f t="shared" si="54"/>
        <v>0.15966386554621848</v>
      </c>
      <c r="O663" s="1" t="s">
        <v>22</v>
      </c>
      <c r="P663" s="1" t="s">
        <v>31</v>
      </c>
      <c r="Q663" s="1" t="s">
        <v>32</v>
      </c>
      <c r="R663" s="1" t="s">
        <v>66</v>
      </c>
      <c r="S663" s="1" t="s">
        <v>323</v>
      </c>
      <c r="T663" s="15" t="s">
        <v>53</v>
      </c>
    </row>
    <row r="664" spans="1:20" x14ac:dyDescent="0.3">
      <c r="A664" s="14">
        <v>663</v>
      </c>
      <c r="B664" s="4">
        <v>44394</v>
      </c>
      <c r="C664" s="1" t="s">
        <v>530</v>
      </c>
      <c r="D664" s="1" t="s">
        <v>82</v>
      </c>
      <c r="E664" s="1" t="s">
        <v>43</v>
      </c>
      <c r="F664" s="2">
        <v>9</v>
      </c>
      <c r="G664" s="5">
        <v>290</v>
      </c>
      <c r="H664" s="24">
        <f t="shared" si="50"/>
        <v>2610</v>
      </c>
      <c r="I664" s="7">
        <v>0.05</v>
      </c>
      <c r="J664" s="5">
        <f t="shared" si="51"/>
        <v>130.5</v>
      </c>
      <c r="K664" s="5">
        <f t="shared" si="52"/>
        <v>2479.5</v>
      </c>
      <c r="L664" s="5">
        <v>200</v>
      </c>
      <c r="M664" s="5">
        <f t="shared" si="53"/>
        <v>679.5</v>
      </c>
      <c r="N664" s="7">
        <f t="shared" si="54"/>
        <v>0.27404718693284935</v>
      </c>
      <c r="O664" s="1" t="s">
        <v>59</v>
      </c>
      <c r="P664" s="1" t="s">
        <v>31</v>
      </c>
      <c r="Q664" s="1" t="s">
        <v>32</v>
      </c>
      <c r="R664" s="1" t="s">
        <v>56</v>
      </c>
      <c r="S664" s="1" t="s">
        <v>397</v>
      </c>
      <c r="T664" s="15" t="s">
        <v>27</v>
      </c>
    </row>
    <row r="665" spans="1:20" x14ac:dyDescent="0.3">
      <c r="A665" s="14">
        <v>664</v>
      </c>
      <c r="B665" s="4">
        <v>44490</v>
      </c>
      <c r="C665" s="1" t="s">
        <v>533</v>
      </c>
      <c r="D665" s="1" t="s">
        <v>82</v>
      </c>
      <c r="E665" s="1" t="s">
        <v>21</v>
      </c>
      <c r="F665" s="2">
        <v>2</v>
      </c>
      <c r="G665" s="5">
        <v>240</v>
      </c>
      <c r="H665" s="24">
        <f t="shared" si="50"/>
        <v>480</v>
      </c>
      <c r="I665" s="7">
        <v>0</v>
      </c>
      <c r="J665" s="5">
        <f t="shared" si="51"/>
        <v>0</v>
      </c>
      <c r="K665" s="5">
        <f t="shared" si="52"/>
        <v>480</v>
      </c>
      <c r="L665" s="5">
        <v>160</v>
      </c>
      <c r="M665" s="5">
        <f t="shared" si="53"/>
        <v>160</v>
      </c>
      <c r="N665" s="7">
        <f t="shared" si="54"/>
        <v>0.33333333333333331</v>
      </c>
      <c r="O665" s="1" t="s">
        <v>22</v>
      </c>
      <c r="P665" s="1" t="s">
        <v>31</v>
      </c>
      <c r="Q665" s="1" t="s">
        <v>48</v>
      </c>
      <c r="R665" s="1" t="s">
        <v>38</v>
      </c>
      <c r="S665" s="1" t="s">
        <v>130</v>
      </c>
      <c r="T665" s="15" t="s">
        <v>35</v>
      </c>
    </row>
    <row r="666" spans="1:20" x14ac:dyDescent="0.3">
      <c r="A666" s="14">
        <v>665</v>
      </c>
      <c r="B666" s="4">
        <v>44290</v>
      </c>
      <c r="C666" s="1" t="s">
        <v>531</v>
      </c>
      <c r="D666" s="1" t="s">
        <v>82</v>
      </c>
      <c r="E666" s="1" t="s">
        <v>40</v>
      </c>
      <c r="F666" s="2">
        <v>11</v>
      </c>
      <c r="G666" s="5">
        <v>1460</v>
      </c>
      <c r="H666" s="24">
        <f t="shared" si="50"/>
        <v>16060</v>
      </c>
      <c r="I666" s="7">
        <v>0.05</v>
      </c>
      <c r="J666" s="5">
        <f t="shared" si="51"/>
        <v>803</v>
      </c>
      <c r="K666" s="5">
        <f t="shared" si="52"/>
        <v>15257</v>
      </c>
      <c r="L666" s="5">
        <v>1040</v>
      </c>
      <c r="M666" s="5">
        <f t="shared" si="53"/>
        <v>3817</v>
      </c>
      <c r="N666" s="7">
        <f t="shared" si="54"/>
        <v>0.25018024513338138</v>
      </c>
      <c r="O666" s="1" t="s">
        <v>59</v>
      </c>
      <c r="P666" s="1" t="s">
        <v>31</v>
      </c>
      <c r="Q666" s="1" t="s">
        <v>32</v>
      </c>
      <c r="R666" s="1" t="s">
        <v>63</v>
      </c>
      <c r="S666" s="1" t="s">
        <v>398</v>
      </c>
      <c r="T666" s="15" t="s">
        <v>53</v>
      </c>
    </row>
    <row r="667" spans="1:20" x14ac:dyDescent="0.3">
      <c r="A667" s="14">
        <v>666</v>
      </c>
      <c r="B667" s="4">
        <v>44481</v>
      </c>
      <c r="C667" s="1" t="s">
        <v>533</v>
      </c>
      <c r="D667" s="1" t="s">
        <v>20</v>
      </c>
      <c r="E667" s="1" t="s">
        <v>29</v>
      </c>
      <c r="F667" s="2">
        <v>5</v>
      </c>
      <c r="G667" s="5">
        <v>1990</v>
      </c>
      <c r="H667" s="24">
        <f t="shared" si="50"/>
        <v>9950</v>
      </c>
      <c r="I667" s="7">
        <v>0</v>
      </c>
      <c r="J667" s="5">
        <f t="shared" si="51"/>
        <v>0</v>
      </c>
      <c r="K667" s="5">
        <f t="shared" si="52"/>
        <v>9950</v>
      </c>
      <c r="L667" s="5">
        <v>1270</v>
      </c>
      <c r="M667" s="5">
        <f t="shared" si="53"/>
        <v>3600</v>
      </c>
      <c r="N667" s="7">
        <f t="shared" si="54"/>
        <v>0.36180904522613067</v>
      </c>
      <c r="O667" s="1" t="s">
        <v>30</v>
      </c>
      <c r="P667" s="1" t="s">
        <v>31</v>
      </c>
      <c r="Q667" s="1" t="s">
        <v>48</v>
      </c>
      <c r="R667" s="1" t="s">
        <v>88</v>
      </c>
      <c r="S667" s="1" t="s">
        <v>99</v>
      </c>
      <c r="T667" s="15" t="s">
        <v>61</v>
      </c>
    </row>
    <row r="668" spans="1:20" x14ac:dyDescent="0.3">
      <c r="A668" s="14">
        <v>667</v>
      </c>
      <c r="B668" s="4">
        <v>44305</v>
      </c>
      <c r="C668" s="1" t="s">
        <v>533</v>
      </c>
      <c r="D668" s="1" t="s">
        <v>28</v>
      </c>
      <c r="E668" s="1" t="s">
        <v>45</v>
      </c>
      <c r="F668" s="2">
        <v>1</v>
      </c>
      <c r="G668" s="5">
        <v>200</v>
      </c>
      <c r="H668" s="24">
        <f t="shared" si="50"/>
        <v>200</v>
      </c>
      <c r="I668" s="7">
        <v>0.02</v>
      </c>
      <c r="J668" s="5">
        <f t="shared" si="51"/>
        <v>4</v>
      </c>
      <c r="K668" s="5">
        <f t="shared" si="52"/>
        <v>196</v>
      </c>
      <c r="L668" s="5">
        <v>140</v>
      </c>
      <c r="M668" s="5">
        <f t="shared" si="53"/>
        <v>56</v>
      </c>
      <c r="N668" s="7">
        <f t="shared" si="54"/>
        <v>0.2857142857142857</v>
      </c>
      <c r="O668" s="1" t="s">
        <v>54</v>
      </c>
      <c r="P668" s="1" t="s">
        <v>31</v>
      </c>
      <c r="Q668" s="1" t="s">
        <v>24</v>
      </c>
      <c r="R668" s="1" t="s">
        <v>56</v>
      </c>
      <c r="S668" s="1" t="s">
        <v>273</v>
      </c>
      <c r="T668" s="15" t="s">
        <v>53</v>
      </c>
    </row>
    <row r="669" spans="1:20" x14ac:dyDescent="0.3">
      <c r="A669" s="14">
        <v>668</v>
      </c>
      <c r="B669" s="4">
        <v>44422</v>
      </c>
      <c r="C669" s="1" t="s">
        <v>533</v>
      </c>
      <c r="D669" s="1" t="s">
        <v>20</v>
      </c>
      <c r="E669" s="1" t="s">
        <v>21</v>
      </c>
      <c r="F669" s="2">
        <v>3</v>
      </c>
      <c r="G669" s="5">
        <v>210</v>
      </c>
      <c r="H669" s="24">
        <f t="shared" si="50"/>
        <v>630</v>
      </c>
      <c r="I669" s="7">
        <v>0.15</v>
      </c>
      <c r="J669" s="5">
        <f t="shared" si="51"/>
        <v>94.5</v>
      </c>
      <c r="K669" s="5">
        <f t="shared" si="52"/>
        <v>535.5</v>
      </c>
      <c r="L669" s="5">
        <v>160</v>
      </c>
      <c r="M669" s="5">
        <f t="shared" si="53"/>
        <v>55.5</v>
      </c>
      <c r="N669" s="7">
        <f t="shared" si="54"/>
        <v>0.10364145658263306</v>
      </c>
      <c r="O669" s="1" t="s">
        <v>30</v>
      </c>
      <c r="P669" s="1" t="s">
        <v>31</v>
      </c>
      <c r="Q669" s="1" t="s">
        <v>32</v>
      </c>
      <c r="R669" s="1" t="s">
        <v>56</v>
      </c>
      <c r="S669" s="1" t="s">
        <v>395</v>
      </c>
      <c r="T669" s="15" t="s">
        <v>35</v>
      </c>
    </row>
    <row r="670" spans="1:20" x14ac:dyDescent="0.3">
      <c r="A670" s="14">
        <v>669</v>
      </c>
      <c r="B670" s="4">
        <v>44290</v>
      </c>
      <c r="C670" s="1" t="s">
        <v>534</v>
      </c>
      <c r="D670" s="1" t="s">
        <v>28</v>
      </c>
      <c r="E670" s="1" t="s">
        <v>21</v>
      </c>
      <c r="F670" s="2">
        <v>5</v>
      </c>
      <c r="G670" s="5">
        <v>190</v>
      </c>
      <c r="H670" s="24">
        <f t="shared" si="50"/>
        <v>950</v>
      </c>
      <c r="I670" s="7">
        <v>0</v>
      </c>
      <c r="J670" s="5">
        <f t="shared" si="51"/>
        <v>0</v>
      </c>
      <c r="K670" s="5">
        <f t="shared" si="52"/>
        <v>950</v>
      </c>
      <c r="L670" s="5">
        <v>150</v>
      </c>
      <c r="M670" s="5">
        <f t="shared" si="53"/>
        <v>200</v>
      </c>
      <c r="N670" s="7">
        <f t="shared" si="54"/>
        <v>0.21052631578947367</v>
      </c>
      <c r="O670" s="1" t="s">
        <v>59</v>
      </c>
      <c r="P670" s="1" t="s">
        <v>31</v>
      </c>
      <c r="Q670" s="1" t="s">
        <v>37</v>
      </c>
      <c r="R670" s="1" t="s">
        <v>88</v>
      </c>
      <c r="S670" s="1" t="s">
        <v>309</v>
      </c>
      <c r="T670" s="15" t="s">
        <v>61</v>
      </c>
    </row>
    <row r="671" spans="1:20" x14ac:dyDescent="0.3">
      <c r="A671" s="14">
        <v>670</v>
      </c>
      <c r="B671" s="4">
        <v>44380</v>
      </c>
      <c r="C671" s="1" t="s">
        <v>532</v>
      </c>
      <c r="D671" s="1" t="s">
        <v>28</v>
      </c>
      <c r="E671" s="1" t="s">
        <v>43</v>
      </c>
      <c r="F671" s="2">
        <v>6</v>
      </c>
      <c r="G671" s="5">
        <v>270</v>
      </c>
      <c r="H671" s="24">
        <f t="shared" si="50"/>
        <v>1620</v>
      </c>
      <c r="I671" s="7">
        <v>0</v>
      </c>
      <c r="J671" s="5">
        <f t="shared" si="51"/>
        <v>0</v>
      </c>
      <c r="K671" s="5">
        <f t="shared" si="52"/>
        <v>1620</v>
      </c>
      <c r="L671" s="5">
        <v>200</v>
      </c>
      <c r="M671" s="5">
        <f t="shared" si="53"/>
        <v>420</v>
      </c>
      <c r="N671" s="7">
        <f t="shared" si="54"/>
        <v>0.25925925925925924</v>
      </c>
      <c r="O671" s="1" t="s">
        <v>59</v>
      </c>
      <c r="P671" s="1" t="s">
        <v>31</v>
      </c>
      <c r="Q671" s="1" t="s">
        <v>32</v>
      </c>
      <c r="R671" s="1" t="s">
        <v>63</v>
      </c>
      <c r="S671" s="1" t="s">
        <v>167</v>
      </c>
      <c r="T671" s="15" t="s">
        <v>27</v>
      </c>
    </row>
    <row r="672" spans="1:20" x14ac:dyDescent="0.3">
      <c r="A672" s="14">
        <v>671</v>
      </c>
      <c r="B672" s="4">
        <v>44238</v>
      </c>
      <c r="C672" s="1" t="s">
        <v>532</v>
      </c>
      <c r="D672" s="1" t="s">
        <v>82</v>
      </c>
      <c r="E672" s="1" t="s">
        <v>36</v>
      </c>
      <c r="F672" s="2">
        <v>5</v>
      </c>
      <c r="G672" s="5">
        <v>2130</v>
      </c>
      <c r="H672" s="24">
        <f t="shared" si="50"/>
        <v>10650</v>
      </c>
      <c r="I672" s="7">
        <v>0.1</v>
      </c>
      <c r="J672" s="5">
        <f t="shared" si="51"/>
        <v>1065</v>
      </c>
      <c r="K672" s="5">
        <f t="shared" si="52"/>
        <v>9585</v>
      </c>
      <c r="L672" s="5">
        <v>1280</v>
      </c>
      <c r="M672" s="5">
        <f t="shared" si="53"/>
        <v>3185</v>
      </c>
      <c r="N672" s="7">
        <f t="shared" si="54"/>
        <v>0.33229003651538863</v>
      </c>
      <c r="O672" s="1" t="s">
        <v>22</v>
      </c>
      <c r="P672" s="1" t="s">
        <v>31</v>
      </c>
      <c r="Q672" s="1" t="s">
        <v>24</v>
      </c>
      <c r="R672" s="1" t="s">
        <v>49</v>
      </c>
      <c r="S672" s="1" t="s">
        <v>302</v>
      </c>
      <c r="T672" s="15" t="s">
        <v>35</v>
      </c>
    </row>
    <row r="673" spans="1:20" x14ac:dyDescent="0.3">
      <c r="A673" s="14">
        <v>672</v>
      </c>
      <c r="B673" s="4">
        <v>44266</v>
      </c>
      <c r="C673" s="1" t="s">
        <v>529</v>
      </c>
      <c r="D673" s="1" t="s">
        <v>20</v>
      </c>
      <c r="E673" s="1" t="s">
        <v>29</v>
      </c>
      <c r="F673" s="2">
        <v>2</v>
      </c>
      <c r="G673" s="5">
        <v>2170</v>
      </c>
      <c r="H673" s="24">
        <f t="shared" si="50"/>
        <v>4340</v>
      </c>
      <c r="I673" s="7">
        <v>0.05</v>
      </c>
      <c r="J673" s="5">
        <f t="shared" si="51"/>
        <v>217</v>
      </c>
      <c r="K673" s="5">
        <f t="shared" si="52"/>
        <v>4123</v>
      </c>
      <c r="L673" s="5">
        <v>1660</v>
      </c>
      <c r="M673" s="5">
        <f t="shared" si="53"/>
        <v>803</v>
      </c>
      <c r="N673" s="7">
        <f t="shared" si="54"/>
        <v>0.19476109628910987</v>
      </c>
      <c r="O673" s="1" t="s">
        <v>41</v>
      </c>
      <c r="P673" s="1" t="s">
        <v>31</v>
      </c>
      <c r="Q673" s="1" t="s">
        <v>24</v>
      </c>
      <c r="R673" s="1" t="s">
        <v>56</v>
      </c>
      <c r="S673" s="1" t="s">
        <v>393</v>
      </c>
      <c r="T673" s="15" t="s">
        <v>61</v>
      </c>
    </row>
    <row r="674" spans="1:20" x14ac:dyDescent="0.3">
      <c r="A674" s="14">
        <v>673</v>
      </c>
      <c r="B674" s="4">
        <v>44518</v>
      </c>
      <c r="C674" s="1" t="s">
        <v>533</v>
      </c>
      <c r="D674" s="1" t="s">
        <v>28</v>
      </c>
      <c r="E674" s="1" t="s">
        <v>45</v>
      </c>
      <c r="F674" s="2">
        <v>5</v>
      </c>
      <c r="G674" s="5">
        <v>190</v>
      </c>
      <c r="H674" s="24">
        <f t="shared" si="50"/>
        <v>950</v>
      </c>
      <c r="I674" s="7">
        <v>0.05</v>
      </c>
      <c r="J674" s="5">
        <f t="shared" si="51"/>
        <v>47.5</v>
      </c>
      <c r="K674" s="5">
        <f t="shared" si="52"/>
        <v>902.5</v>
      </c>
      <c r="L674" s="5">
        <v>150</v>
      </c>
      <c r="M674" s="5">
        <f t="shared" si="53"/>
        <v>152.5</v>
      </c>
      <c r="N674" s="7">
        <f t="shared" si="54"/>
        <v>0.16897506925207756</v>
      </c>
      <c r="O674" s="1" t="s">
        <v>59</v>
      </c>
      <c r="P674" s="1" t="s">
        <v>31</v>
      </c>
      <c r="Q674" s="1" t="s">
        <v>24</v>
      </c>
      <c r="R674" s="1" t="s">
        <v>66</v>
      </c>
      <c r="S674" s="1" t="s">
        <v>319</v>
      </c>
      <c r="T674" s="15" t="s">
        <v>27</v>
      </c>
    </row>
    <row r="675" spans="1:20" x14ac:dyDescent="0.3">
      <c r="A675" s="14">
        <v>674</v>
      </c>
      <c r="B675" s="4">
        <v>44412</v>
      </c>
      <c r="C675" s="1" t="s">
        <v>533</v>
      </c>
      <c r="D675" s="1" t="s">
        <v>28</v>
      </c>
      <c r="E675" s="1" t="s">
        <v>45</v>
      </c>
      <c r="F675" s="2">
        <v>8</v>
      </c>
      <c r="G675" s="5">
        <v>190</v>
      </c>
      <c r="H675" s="24">
        <f t="shared" si="50"/>
        <v>1520</v>
      </c>
      <c r="I675" s="7">
        <v>0.05</v>
      </c>
      <c r="J675" s="5">
        <f t="shared" si="51"/>
        <v>76</v>
      </c>
      <c r="K675" s="5">
        <f t="shared" si="52"/>
        <v>1444</v>
      </c>
      <c r="L675" s="5">
        <v>150</v>
      </c>
      <c r="M675" s="5">
        <f t="shared" si="53"/>
        <v>244</v>
      </c>
      <c r="N675" s="7">
        <f t="shared" si="54"/>
        <v>0.16897506925207756</v>
      </c>
      <c r="O675" s="1" t="s">
        <v>54</v>
      </c>
      <c r="P675" s="1" t="s">
        <v>31</v>
      </c>
      <c r="Q675" s="1" t="s">
        <v>24</v>
      </c>
      <c r="R675" s="1" t="s">
        <v>56</v>
      </c>
      <c r="S675" s="1" t="s">
        <v>251</v>
      </c>
      <c r="T675" s="15" t="s">
        <v>61</v>
      </c>
    </row>
    <row r="676" spans="1:20" x14ac:dyDescent="0.3">
      <c r="A676" s="14">
        <v>675</v>
      </c>
      <c r="B676" s="4">
        <v>44454</v>
      </c>
      <c r="C676" s="1" t="s">
        <v>534</v>
      </c>
      <c r="D676" s="1" t="s">
        <v>82</v>
      </c>
      <c r="E676" s="1" t="s">
        <v>36</v>
      </c>
      <c r="F676" s="2">
        <v>2</v>
      </c>
      <c r="G676" s="5">
        <v>1100</v>
      </c>
      <c r="H676" s="24">
        <f t="shared" si="50"/>
        <v>2200</v>
      </c>
      <c r="I676" s="7">
        <v>0.05</v>
      </c>
      <c r="J676" s="5">
        <f t="shared" si="51"/>
        <v>110</v>
      </c>
      <c r="K676" s="5">
        <f t="shared" si="52"/>
        <v>2090</v>
      </c>
      <c r="L676" s="5">
        <v>660</v>
      </c>
      <c r="M676" s="5">
        <f t="shared" si="53"/>
        <v>770</v>
      </c>
      <c r="N676" s="7">
        <f t="shared" si="54"/>
        <v>0.36842105263157893</v>
      </c>
      <c r="O676" s="1" t="s">
        <v>59</v>
      </c>
      <c r="P676" s="1" t="s">
        <v>31</v>
      </c>
      <c r="Q676" s="1" t="s">
        <v>48</v>
      </c>
      <c r="R676" s="1" t="s">
        <v>33</v>
      </c>
      <c r="S676" s="1" t="s">
        <v>399</v>
      </c>
      <c r="T676" s="15" t="s">
        <v>27</v>
      </c>
    </row>
    <row r="677" spans="1:20" x14ac:dyDescent="0.3">
      <c r="A677" s="14">
        <v>676</v>
      </c>
      <c r="B677" s="4">
        <v>44556</v>
      </c>
      <c r="C677" s="1" t="s">
        <v>531</v>
      </c>
      <c r="D677" s="1" t="s">
        <v>20</v>
      </c>
      <c r="E677" s="1" t="s">
        <v>45</v>
      </c>
      <c r="F677" s="2">
        <v>8</v>
      </c>
      <c r="G677" s="5">
        <v>210</v>
      </c>
      <c r="H677" s="24">
        <f t="shared" si="50"/>
        <v>1680</v>
      </c>
      <c r="I677" s="7">
        <v>0</v>
      </c>
      <c r="J677" s="5">
        <f t="shared" si="51"/>
        <v>0</v>
      </c>
      <c r="K677" s="5">
        <f t="shared" si="52"/>
        <v>1680</v>
      </c>
      <c r="L677" s="5">
        <v>150</v>
      </c>
      <c r="M677" s="5">
        <f t="shared" si="53"/>
        <v>480</v>
      </c>
      <c r="N677" s="7">
        <f t="shared" si="54"/>
        <v>0.2857142857142857</v>
      </c>
      <c r="O677" s="1" t="s">
        <v>41</v>
      </c>
      <c r="P677" s="1" t="s">
        <v>31</v>
      </c>
      <c r="Q677" s="1" t="s">
        <v>37</v>
      </c>
      <c r="R677" s="1" t="s">
        <v>50</v>
      </c>
      <c r="S677" s="1" t="s">
        <v>400</v>
      </c>
      <c r="T677" s="15" t="s">
        <v>35</v>
      </c>
    </row>
    <row r="678" spans="1:20" x14ac:dyDescent="0.3">
      <c r="A678" s="14">
        <v>677</v>
      </c>
      <c r="B678" s="4">
        <v>44336</v>
      </c>
      <c r="C678" s="1" t="s">
        <v>530</v>
      </c>
      <c r="D678" s="1" t="s">
        <v>20</v>
      </c>
      <c r="E678" s="1" t="s">
        <v>21</v>
      </c>
      <c r="F678" s="2">
        <v>11</v>
      </c>
      <c r="G678" s="5">
        <v>190</v>
      </c>
      <c r="H678" s="24">
        <f t="shared" si="50"/>
        <v>2090</v>
      </c>
      <c r="I678" s="7">
        <v>0.15</v>
      </c>
      <c r="J678" s="5">
        <f t="shared" si="51"/>
        <v>313.5</v>
      </c>
      <c r="K678" s="5">
        <f t="shared" si="52"/>
        <v>1776.5</v>
      </c>
      <c r="L678" s="5">
        <v>160</v>
      </c>
      <c r="M678" s="5">
        <f t="shared" si="53"/>
        <v>16.5</v>
      </c>
      <c r="N678" s="7">
        <f t="shared" si="54"/>
        <v>9.2879256965944269E-3</v>
      </c>
      <c r="O678" s="1" t="s">
        <v>30</v>
      </c>
      <c r="P678" s="1" t="s">
        <v>31</v>
      </c>
      <c r="Q678" s="1" t="s">
        <v>37</v>
      </c>
      <c r="R678" s="1" t="s">
        <v>88</v>
      </c>
      <c r="S678" s="1" t="s">
        <v>401</v>
      </c>
      <c r="T678" s="15" t="s">
        <v>53</v>
      </c>
    </row>
    <row r="679" spans="1:20" x14ac:dyDescent="0.3">
      <c r="A679" s="14">
        <v>678</v>
      </c>
      <c r="B679" s="4">
        <v>44438</v>
      </c>
      <c r="C679" s="1" t="s">
        <v>529</v>
      </c>
      <c r="D679" s="1" t="s">
        <v>28</v>
      </c>
      <c r="E679" s="1" t="s">
        <v>21</v>
      </c>
      <c r="F679" s="2">
        <v>1</v>
      </c>
      <c r="G679" s="5">
        <v>230</v>
      </c>
      <c r="H679" s="24">
        <f t="shared" si="50"/>
        <v>230</v>
      </c>
      <c r="I679" s="7">
        <v>0</v>
      </c>
      <c r="J679" s="5">
        <f t="shared" si="51"/>
        <v>0</v>
      </c>
      <c r="K679" s="5">
        <f t="shared" si="52"/>
        <v>230</v>
      </c>
      <c r="L679" s="5">
        <v>170</v>
      </c>
      <c r="M679" s="5">
        <f t="shared" si="53"/>
        <v>60</v>
      </c>
      <c r="N679" s="7">
        <f t="shared" si="54"/>
        <v>0.2608695652173913</v>
      </c>
      <c r="O679" s="1" t="s">
        <v>54</v>
      </c>
      <c r="P679" s="1" t="s">
        <v>31</v>
      </c>
      <c r="Q679" s="1" t="s">
        <v>24</v>
      </c>
      <c r="R679" s="1" t="s">
        <v>33</v>
      </c>
      <c r="S679" s="1" t="s">
        <v>227</v>
      </c>
      <c r="T679" s="15" t="s">
        <v>61</v>
      </c>
    </row>
    <row r="680" spans="1:20" x14ac:dyDescent="0.3">
      <c r="A680" s="14">
        <v>679</v>
      </c>
      <c r="B680" s="4">
        <v>44443</v>
      </c>
      <c r="C680" s="1" t="s">
        <v>532</v>
      </c>
      <c r="D680" s="1" t="s">
        <v>82</v>
      </c>
      <c r="E680" s="1" t="s">
        <v>29</v>
      </c>
      <c r="F680" s="2">
        <v>7</v>
      </c>
      <c r="G680" s="5">
        <v>2070</v>
      </c>
      <c r="H680" s="24">
        <f t="shared" si="50"/>
        <v>14490</v>
      </c>
      <c r="I680" s="7">
        <v>0.05</v>
      </c>
      <c r="J680" s="5">
        <f t="shared" si="51"/>
        <v>724.5</v>
      </c>
      <c r="K680" s="5">
        <f t="shared" si="52"/>
        <v>13765.5</v>
      </c>
      <c r="L680" s="5">
        <v>1260</v>
      </c>
      <c r="M680" s="5">
        <f t="shared" si="53"/>
        <v>4945.5</v>
      </c>
      <c r="N680" s="7">
        <f t="shared" si="54"/>
        <v>0.35926773455377575</v>
      </c>
      <c r="O680" s="1" t="s">
        <v>41</v>
      </c>
      <c r="P680" s="1" t="s">
        <v>31</v>
      </c>
      <c r="Q680" s="1" t="s">
        <v>24</v>
      </c>
      <c r="R680" s="1" t="s">
        <v>63</v>
      </c>
      <c r="S680" s="1" t="s">
        <v>241</v>
      </c>
      <c r="T680" s="15" t="s">
        <v>35</v>
      </c>
    </row>
    <row r="681" spans="1:20" x14ac:dyDescent="0.3">
      <c r="A681" s="14">
        <v>680</v>
      </c>
      <c r="B681" s="4">
        <v>44513</v>
      </c>
      <c r="C681" s="1" t="s">
        <v>531</v>
      </c>
      <c r="D681" s="1" t="s">
        <v>28</v>
      </c>
      <c r="E681" s="1" t="s">
        <v>36</v>
      </c>
      <c r="F681" s="2">
        <v>10</v>
      </c>
      <c r="G681" s="5">
        <v>1160</v>
      </c>
      <c r="H681" s="24">
        <f t="shared" si="50"/>
        <v>11600</v>
      </c>
      <c r="I681" s="7">
        <v>0.02</v>
      </c>
      <c r="J681" s="5">
        <f t="shared" si="51"/>
        <v>232</v>
      </c>
      <c r="K681" s="5">
        <f t="shared" si="52"/>
        <v>11368</v>
      </c>
      <c r="L681" s="5">
        <v>680</v>
      </c>
      <c r="M681" s="5">
        <f t="shared" si="53"/>
        <v>4568</v>
      </c>
      <c r="N681" s="7">
        <f t="shared" si="54"/>
        <v>0.40182969739619984</v>
      </c>
      <c r="O681" s="1" t="s">
        <v>22</v>
      </c>
      <c r="P681" s="1" t="s">
        <v>31</v>
      </c>
      <c r="Q681" s="1" t="s">
        <v>48</v>
      </c>
      <c r="R681" s="1" t="s">
        <v>33</v>
      </c>
      <c r="S681" s="1" t="s">
        <v>365</v>
      </c>
      <c r="T681" s="15" t="s">
        <v>61</v>
      </c>
    </row>
    <row r="682" spans="1:20" x14ac:dyDescent="0.3">
      <c r="A682" s="14">
        <v>681</v>
      </c>
      <c r="B682" s="4">
        <v>44419</v>
      </c>
      <c r="C682" s="1" t="s">
        <v>533</v>
      </c>
      <c r="D682" s="1" t="s">
        <v>28</v>
      </c>
      <c r="E682" s="1" t="s">
        <v>29</v>
      </c>
      <c r="F682" s="2">
        <v>10</v>
      </c>
      <c r="G682" s="5">
        <v>2300</v>
      </c>
      <c r="H682" s="24">
        <f t="shared" si="50"/>
        <v>23000</v>
      </c>
      <c r="I682" s="7">
        <v>0</v>
      </c>
      <c r="J682" s="5">
        <f t="shared" si="51"/>
        <v>0</v>
      </c>
      <c r="K682" s="5">
        <f t="shared" si="52"/>
        <v>23000</v>
      </c>
      <c r="L682" s="5">
        <v>1680</v>
      </c>
      <c r="M682" s="5">
        <f t="shared" si="53"/>
        <v>6200</v>
      </c>
      <c r="N682" s="7">
        <f t="shared" si="54"/>
        <v>0.26956521739130435</v>
      </c>
      <c r="O682" s="1" t="s">
        <v>54</v>
      </c>
      <c r="P682" s="1" t="s">
        <v>31</v>
      </c>
      <c r="Q682" s="1" t="s">
        <v>32</v>
      </c>
      <c r="R682" s="1" t="s">
        <v>88</v>
      </c>
      <c r="S682" s="1" t="s">
        <v>205</v>
      </c>
      <c r="T682" s="15" t="s">
        <v>27</v>
      </c>
    </row>
    <row r="683" spans="1:20" x14ac:dyDescent="0.3">
      <c r="A683" s="14">
        <v>682</v>
      </c>
      <c r="B683" s="4">
        <v>44429</v>
      </c>
      <c r="C683" s="1" t="s">
        <v>533</v>
      </c>
      <c r="D683" s="1" t="s">
        <v>20</v>
      </c>
      <c r="E683" s="1" t="s">
        <v>43</v>
      </c>
      <c r="F683" s="2">
        <v>12</v>
      </c>
      <c r="G683" s="5">
        <v>320</v>
      </c>
      <c r="H683" s="24">
        <f t="shared" si="50"/>
        <v>3840</v>
      </c>
      <c r="I683" s="7">
        <v>0.05</v>
      </c>
      <c r="J683" s="5">
        <f t="shared" si="51"/>
        <v>192</v>
      </c>
      <c r="K683" s="5">
        <f t="shared" si="52"/>
        <v>3648</v>
      </c>
      <c r="L683" s="5">
        <v>190</v>
      </c>
      <c r="M683" s="5">
        <f t="shared" si="53"/>
        <v>1368</v>
      </c>
      <c r="N683" s="7">
        <f t="shared" si="54"/>
        <v>0.375</v>
      </c>
      <c r="O683" s="1" t="s">
        <v>41</v>
      </c>
      <c r="P683" s="1" t="s">
        <v>31</v>
      </c>
      <c r="Q683" s="1" t="s">
        <v>24</v>
      </c>
      <c r="R683" s="1" t="s">
        <v>56</v>
      </c>
      <c r="S683" s="1" t="s">
        <v>128</v>
      </c>
      <c r="T683" s="15" t="s">
        <v>53</v>
      </c>
    </row>
    <row r="684" spans="1:20" x14ac:dyDescent="0.3">
      <c r="A684" s="14">
        <v>683</v>
      </c>
      <c r="B684" s="4">
        <v>44431</v>
      </c>
      <c r="C684" s="1" t="s">
        <v>530</v>
      </c>
      <c r="D684" s="1" t="s">
        <v>28</v>
      </c>
      <c r="E684" s="1" t="s">
        <v>45</v>
      </c>
      <c r="F684" s="2">
        <v>3</v>
      </c>
      <c r="G684" s="5">
        <v>180</v>
      </c>
      <c r="H684" s="24">
        <f t="shared" si="50"/>
        <v>540</v>
      </c>
      <c r="I684" s="7">
        <v>0.05</v>
      </c>
      <c r="J684" s="5">
        <f t="shared" si="51"/>
        <v>27</v>
      </c>
      <c r="K684" s="5">
        <f t="shared" si="52"/>
        <v>513</v>
      </c>
      <c r="L684" s="5">
        <v>110</v>
      </c>
      <c r="M684" s="5">
        <f t="shared" si="53"/>
        <v>183</v>
      </c>
      <c r="N684" s="7">
        <f t="shared" si="54"/>
        <v>0.35672514619883039</v>
      </c>
      <c r="O684" s="1" t="s">
        <v>30</v>
      </c>
      <c r="P684" s="1" t="s">
        <v>31</v>
      </c>
      <c r="Q684" s="1" t="s">
        <v>37</v>
      </c>
      <c r="R684" s="1" t="s">
        <v>33</v>
      </c>
      <c r="S684" s="1" t="s">
        <v>128</v>
      </c>
      <c r="T684" s="15" t="s">
        <v>27</v>
      </c>
    </row>
    <row r="685" spans="1:20" x14ac:dyDescent="0.3">
      <c r="A685" s="14">
        <v>684</v>
      </c>
      <c r="B685" s="4">
        <v>44491</v>
      </c>
      <c r="C685" s="1" t="s">
        <v>534</v>
      </c>
      <c r="D685" s="1" t="s">
        <v>28</v>
      </c>
      <c r="E685" s="1" t="s">
        <v>40</v>
      </c>
      <c r="F685" s="2">
        <v>8</v>
      </c>
      <c r="G685" s="5">
        <v>1350</v>
      </c>
      <c r="H685" s="24">
        <f t="shared" si="50"/>
        <v>10800</v>
      </c>
      <c r="I685" s="7">
        <v>0</v>
      </c>
      <c r="J685" s="5">
        <f t="shared" si="51"/>
        <v>0</v>
      </c>
      <c r="K685" s="5">
        <f t="shared" si="52"/>
        <v>10800</v>
      </c>
      <c r="L685" s="5">
        <v>850</v>
      </c>
      <c r="M685" s="5">
        <f t="shared" si="53"/>
        <v>4000</v>
      </c>
      <c r="N685" s="7">
        <f t="shared" si="54"/>
        <v>0.37037037037037035</v>
      </c>
      <c r="O685" s="1" t="s">
        <v>30</v>
      </c>
      <c r="P685" s="1" t="s">
        <v>31</v>
      </c>
      <c r="Q685" s="1" t="s">
        <v>37</v>
      </c>
      <c r="R685" s="1" t="s">
        <v>46</v>
      </c>
      <c r="S685" s="1" t="s">
        <v>357</v>
      </c>
      <c r="T685" s="15" t="s">
        <v>53</v>
      </c>
    </row>
    <row r="686" spans="1:20" x14ac:dyDescent="0.3">
      <c r="A686" s="14">
        <v>685</v>
      </c>
      <c r="B686" s="4">
        <v>44437</v>
      </c>
      <c r="C686" s="1" t="s">
        <v>529</v>
      </c>
      <c r="D686" s="1" t="s">
        <v>82</v>
      </c>
      <c r="E686" s="1" t="s">
        <v>36</v>
      </c>
      <c r="F686" s="2">
        <v>12</v>
      </c>
      <c r="G686" s="5">
        <v>1140</v>
      </c>
      <c r="H686" s="24">
        <f t="shared" si="50"/>
        <v>13680</v>
      </c>
      <c r="I686" s="7">
        <v>0</v>
      </c>
      <c r="J686" s="5">
        <f t="shared" si="51"/>
        <v>0</v>
      </c>
      <c r="K686" s="5">
        <f t="shared" si="52"/>
        <v>13680</v>
      </c>
      <c r="L686" s="5">
        <v>730</v>
      </c>
      <c r="M686" s="5">
        <f t="shared" si="53"/>
        <v>4920</v>
      </c>
      <c r="N686" s="7">
        <f t="shared" si="54"/>
        <v>0.35964912280701755</v>
      </c>
      <c r="O686" s="1" t="s">
        <v>22</v>
      </c>
      <c r="P686" s="1" t="s">
        <v>31</v>
      </c>
      <c r="Q686" s="1" t="s">
        <v>32</v>
      </c>
      <c r="R686" s="1" t="s">
        <v>38</v>
      </c>
      <c r="S686" s="1" t="s">
        <v>402</v>
      </c>
      <c r="T686" s="15" t="s">
        <v>27</v>
      </c>
    </row>
    <row r="687" spans="1:20" x14ac:dyDescent="0.3">
      <c r="A687" s="14">
        <v>686</v>
      </c>
      <c r="B687" s="4">
        <v>44398</v>
      </c>
      <c r="C687" s="1" t="s">
        <v>530</v>
      </c>
      <c r="D687" s="1" t="s">
        <v>28</v>
      </c>
      <c r="E687" s="1" t="s">
        <v>21</v>
      </c>
      <c r="F687" s="2">
        <v>4</v>
      </c>
      <c r="G687" s="5">
        <v>220</v>
      </c>
      <c r="H687" s="24">
        <f t="shared" si="50"/>
        <v>880</v>
      </c>
      <c r="I687" s="7">
        <v>0.05</v>
      </c>
      <c r="J687" s="5">
        <f t="shared" si="51"/>
        <v>44</v>
      </c>
      <c r="K687" s="5">
        <f t="shared" si="52"/>
        <v>836</v>
      </c>
      <c r="L687" s="5">
        <v>160</v>
      </c>
      <c r="M687" s="5">
        <f t="shared" si="53"/>
        <v>196</v>
      </c>
      <c r="N687" s="7">
        <f t="shared" si="54"/>
        <v>0.23444976076555024</v>
      </c>
      <c r="O687" s="1" t="s">
        <v>22</v>
      </c>
      <c r="P687" s="1" t="s">
        <v>31</v>
      </c>
      <c r="Q687" s="1" t="s">
        <v>48</v>
      </c>
      <c r="R687" s="1" t="s">
        <v>56</v>
      </c>
      <c r="S687" s="1" t="s">
        <v>136</v>
      </c>
      <c r="T687" s="15" t="s">
        <v>61</v>
      </c>
    </row>
    <row r="688" spans="1:20" x14ac:dyDescent="0.3">
      <c r="A688" s="14">
        <v>687</v>
      </c>
      <c r="B688" s="4">
        <v>44460</v>
      </c>
      <c r="C688" s="1" t="s">
        <v>529</v>
      </c>
      <c r="D688" s="1" t="s">
        <v>80</v>
      </c>
      <c r="E688" s="1" t="s">
        <v>21</v>
      </c>
      <c r="F688" s="2">
        <v>11</v>
      </c>
      <c r="G688" s="5">
        <v>240</v>
      </c>
      <c r="H688" s="24">
        <f t="shared" si="50"/>
        <v>2640</v>
      </c>
      <c r="I688" s="7">
        <v>0.1</v>
      </c>
      <c r="J688" s="5">
        <f t="shared" si="51"/>
        <v>264</v>
      </c>
      <c r="K688" s="5">
        <f t="shared" si="52"/>
        <v>2376</v>
      </c>
      <c r="L688" s="5">
        <v>160</v>
      </c>
      <c r="M688" s="5">
        <f t="shared" si="53"/>
        <v>616</v>
      </c>
      <c r="N688" s="7">
        <f t="shared" si="54"/>
        <v>0.25925925925925924</v>
      </c>
      <c r="O688" s="1" t="s">
        <v>30</v>
      </c>
      <c r="P688" s="1" t="s">
        <v>31</v>
      </c>
      <c r="Q688" s="1" t="s">
        <v>37</v>
      </c>
      <c r="R688" s="1" t="s">
        <v>50</v>
      </c>
      <c r="S688" s="1" t="s">
        <v>210</v>
      </c>
      <c r="T688" s="15" t="s">
        <v>27</v>
      </c>
    </row>
    <row r="689" spans="1:20" x14ac:dyDescent="0.3">
      <c r="A689" s="14">
        <v>688</v>
      </c>
      <c r="B689" s="4">
        <v>44497</v>
      </c>
      <c r="C689" s="1" t="s">
        <v>534</v>
      </c>
      <c r="D689" s="1" t="s">
        <v>82</v>
      </c>
      <c r="E689" s="1" t="s">
        <v>36</v>
      </c>
      <c r="F689" s="2">
        <v>10</v>
      </c>
      <c r="G689" s="5">
        <v>1270</v>
      </c>
      <c r="H689" s="24">
        <f t="shared" si="50"/>
        <v>12700</v>
      </c>
      <c r="I689" s="7">
        <v>0.1</v>
      </c>
      <c r="J689" s="5">
        <f t="shared" si="51"/>
        <v>1270</v>
      </c>
      <c r="K689" s="5">
        <f t="shared" si="52"/>
        <v>11430</v>
      </c>
      <c r="L689" s="5">
        <v>920</v>
      </c>
      <c r="M689" s="5">
        <f t="shared" si="53"/>
        <v>2230</v>
      </c>
      <c r="N689" s="7">
        <f t="shared" si="54"/>
        <v>0.19510061242344706</v>
      </c>
      <c r="O689" s="1" t="s">
        <v>59</v>
      </c>
      <c r="P689" s="1" t="s">
        <v>31</v>
      </c>
      <c r="Q689" s="1" t="s">
        <v>48</v>
      </c>
      <c r="R689" s="1" t="s">
        <v>25</v>
      </c>
      <c r="S689" s="1" t="s">
        <v>403</v>
      </c>
      <c r="T689" s="15" t="s">
        <v>27</v>
      </c>
    </row>
    <row r="690" spans="1:20" x14ac:dyDescent="0.3">
      <c r="A690" s="14">
        <v>689</v>
      </c>
      <c r="B690" s="4">
        <v>44393</v>
      </c>
      <c r="C690" s="1" t="s">
        <v>529</v>
      </c>
      <c r="D690" s="1" t="s">
        <v>80</v>
      </c>
      <c r="E690" s="1" t="s">
        <v>40</v>
      </c>
      <c r="F690" s="2">
        <v>7</v>
      </c>
      <c r="G690" s="5">
        <v>1550</v>
      </c>
      <c r="H690" s="24">
        <f t="shared" si="50"/>
        <v>10850</v>
      </c>
      <c r="I690" s="7">
        <v>0</v>
      </c>
      <c r="J690" s="5">
        <f t="shared" si="51"/>
        <v>0</v>
      </c>
      <c r="K690" s="5">
        <f t="shared" si="52"/>
        <v>10850</v>
      </c>
      <c r="L690" s="5">
        <v>980</v>
      </c>
      <c r="M690" s="5">
        <f t="shared" si="53"/>
        <v>3990</v>
      </c>
      <c r="N690" s="7">
        <f t="shared" si="54"/>
        <v>0.36774193548387096</v>
      </c>
      <c r="O690" s="1" t="s">
        <v>41</v>
      </c>
      <c r="P690" s="1" t="s">
        <v>31</v>
      </c>
      <c r="Q690" s="1" t="s">
        <v>24</v>
      </c>
      <c r="R690" s="1" t="s">
        <v>25</v>
      </c>
      <c r="S690" s="1" t="s">
        <v>349</v>
      </c>
      <c r="T690" s="15" t="s">
        <v>35</v>
      </c>
    </row>
    <row r="691" spans="1:20" x14ac:dyDescent="0.3">
      <c r="A691" s="14">
        <v>690</v>
      </c>
      <c r="B691" s="4">
        <v>44499</v>
      </c>
      <c r="C691" s="1" t="s">
        <v>530</v>
      </c>
      <c r="D691" s="1" t="s">
        <v>82</v>
      </c>
      <c r="E691" s="1" t="s">
        <v>21</v>
      </c>
      <c r="F691" s="2">
        <v>1</v>
      </c>
      <c r="G691" s="5">
        <v>200</v>
      </c>
      <c r="H691" s="24">
        <f t="shared" si="50"/>
        <v>200</v>
      </c>
      <c r="I691" s="7">
        <v>0.02</v>
      </c>
      <c r="J691" s="5">
        <f t="shared" si="51"/>
        <v>4</v>
      </c>
      <c r="K691" s="5">
        <f t="shared" si="52"/>
        <v>196</v>
      </c>
      <c r="L691" s="5">
        <v>120</v>
      </c>
      <c r="M691" s="5">
        <f t="shared" si="53"/>
        <v>76</v>
      </c>
      <c r="N691" s="7">
        <f t="shared" si="54"/>
        <v>0.38775510204081631</v>
      </c>
      <c r="O691" s="1" t="s">
        <v>30</v>
      </c>
      <c r="P691" s="1" t="s">
        <v>31</v>
      </c>
      <c r="Q691" s="1" t="s">
        <v>48</v>
      </c>
      <c r="R691" s="1" t="s">
        <v>56</v>
      </c>
      <c r="S691" s="1" t="s">
        <v>168</v>
      </c>
      <c r="T691" s="15" t="s">
        <v>27</v>
      </c>
    </row>
    <row r="692" spans="1:20" x14ac:dyDescent="0.3">
      <c r="A692" s="14">
        <v>691</v>
      </c>
      <c r="B692" s="4">
        <v>44234</v>
      </c>
      <c r="C692" s="1" t="s">
        <v>533</v>
      </c>
      <c r="D692" s="1" t="s">
        <v>20</v>
      </c>
      <c r="E692" s="1" t="s">
        <v>29</v>
      </c>
      <c r="F692" s="2">
        <v>10</v>
      </c>
      <c r="G692" s="5">
        <v>2040</v>
      </c>
      <c r="H692" s="24">
        <f t="shared" si="50"/>
        <v>20400</v>
      </c>
      <c r="I692" s="7">
        <v>0</v>
      </c>
      <c r="J692" s="5">
        <f t="shared" si="51"/>
        <v>0</v>
      </c>
      <c r="K692" s="5">
        <f t="shared" si="52"/>
        <v>20400</v>
      </c>
      <c r="L692" s="5">
        <v>1670</v>
      </c>
      <c r="M692" s="5">
        <f t="shared" si="53"/>
        <v>3700</v>
      </c>
      <c r="N692" s="7">
        <f t="shared" si="54"/>
        <v>0.18137254901960784</v>
      </c>
      <c r="O692" s="1" t="s">
        <v>22</v>
      </c>
      <c r="P692" s="1" t="s">
        <v>31</v>
      </c>
      <c r="Q692" s="1" t="s">
        <v>37</v>
      </c>
      <c r="R692" s="1" t="s">
        <v>50</v>
      </c>
      <c r="S692" s="1" t="s">
        <v>404</v>
      </c>
      <c r="T692" s="15" t="s">
        <v>35</v>
      </c>
    </row>
    <row r="693" spans="1:20" x14ac:dyDescent="0.3">
      <c r="A693" s="14">
        <v>692</v>
      </c>
      <c r="B693" s="4">
        <v>44392</v>
      </c>
      <c r="C693" s="1" t="s">
        <v>530</v>
      </c>
      <c r="D693" s="1" t="s">
        <v>20</v>
      </c>
      <c r="E693" s="1" t="s">
        <v>21</v>
      </c>
      <c r="F693" s="2">
        <v>11</v>
      </c>
      <c r="G693" s="5">
        <v>180</v>
      </c>
      <c r="H693" s="24">
        <f t="shared" si="50"/>
        <v>1980</v>
      </c>
      <c r="I693" s="7">
        <v>0</v>
      </c>
      <c r="J693" s="5">
        <f t="shared" si="51"/>
        <v>0</v>
      </c>
      <c r="K693" s="5">
        <f t="shared" si="52"/>
        <v>1980</v>
      </c>
      <c r="L693" s="5">
        <v>110</v>
      </c>
      <c r="M693" s="5">
        <f t="shared" si="53"/>
        <v>770</v>
      </c>
      <c r="N693" s="7">
        <f t="shared" si="54"/>
        <v>0.3888888888888889</v>
      </c>
      <c r="O693" s="1" t="s">
        <v>54</v>
      </c>
      <c r="P693" s="1" t="s">
        <v>31</v>
      </c>
      <c r="Q693" s="1" t="s">
        <v>48</v>
      </c>
      <c r="R693" s="1" t="s">
        <v>88</v>
      </c>
      <c r="S693" s="1" t="s">
        <v>144</v>
      </c>
      <c r="T693" s="15" t="s">
        <v>27</v>
      </c>
    </row>
    <row r="694" spans="1:20" x14ac:dyDescent="0.3">
      <c r="A694" s="14">
        <v>693</v>
      </c>
      <c r="B694" s="4">
        <v>44327</v>
      </c>
      <c r="C694" s="1" t="s">
        <v>531</v>
      </c>
      <c r="D694" s="1" t="s">
        <v>20</v>
      </c>
      <c r="E694" s="1" t="s">
        <v>45</v>
      </c>
      <c r="F694" s="2">
        <v>9</v>
      </c>
      <c r="G694" s="5">
        <v>200</v>
      </c>
      <c r="H694" s="24">
        <f t="shared" si="50"/>
        <v>1800</v>
      </c>
      <c r="I694" s="7">
        <v>0</v>
      </c>
      <c r="J694" s="5">
        <f t="shared" si="51"/>
        <v>0</v>
      </c>
      <c r="K694" s="5">
        <f t="shared" si="52"/>
        <v>1800</v>
      </c>
      <c r="L694" s="5">
        <v>130</v>
      </c>
      <c r="M694" s="5">
        <f t="shared" si="53"/>
        <v>630</v>
      </c>
      <c r="N694" s="7">
        <f t="shared" si="54"/>
        <v>0.35</v>
      </c>
      <c r="O694" s="1" t="s">
        <v>54</v>
      </c>
      <c r="P694" s="1" t="s">
        <v>31</v>
      </c>
      <c r="Q694" s="1" t="s">
        <v>37</v>
      </c>
      <c r="R694" s="1" t="s">
        <v>49</v>
      </c>
      <c r="S694" s="1" t="s">
        <v>94</v>
      </c>
      <c r="T694" s="15" t="s">
        <v>35</v>
      </c>
    </row>
    <row r="695" spans="1:20" x14ac:dyDescent="0.3">
      <c r="A695" s="14">
        <v>694</v>
      </c>
      <c r="B695" s="4">
        <v>44522</v>
      </c>
      <c r="C695" s="1" t="s">
        <v>533</v>
      </c>
      <c r="D695" s="1" t="s">
        <v>20</v>
      </c>
      <c r="E695" s="1" t="s">
        <v>21</v>
      </c>
      <c r="F695" s="2">
        <v>1</v>
      </c>
      <c r="G695" s="5">
        <v>220</v>
      </c>
      <c r="H695" s="24">
        <f t="shared" si="50"/>
        <v>220</v>
      </c>
      <c r="I695" s="7">
        <v>0.15</v>
      </c>
      <c r="J695" s="5">
        <f t="shared" si="51"/>
        <v>33</v>
      </c>
      <c r="K695" s="5">
        <f t="shared" si="52"/>
        <v>187</v>
      </c>
      <c r="L695" s="5">
        <v>150</v>
      </c>
      <c r="M695" s="5">
        <f t="shared" si="53"/>
        <v>37</v>
      </c>
      <c r="N695" s="7">
        <f t="shared" si="54"/>
        <v>0.19786096256684493</v>
      </c>
      <c r="O695" s="1" t="s">
        <v>30</v>
      </c>
      <c r="P695" s="1" t="s">
        <v>31</v>
      </c>
      <c r="Q695" s="1" t="s">
        <v>32</v>
      </c>
      <c r="R695" s="1" t="s">
        <v>56</v>
      </c>
      <c r="S695" s="1" t="s">
        <v>338</v>
      </c>
      <c r="T695" s="15" t="s">
        <v>27</v>
      </c>
    </row>
    <row r="696" spans="1:20" x14ac:dyDescent="0.3">
      <c r="A696" s="14">
        <v>695</v>
      </c>
      <c r="B696" s="4">
        <v>44426</v>
      </c>
      <c r="C696" s="1" t="s">
        <v>533</v>
      </c>
      <c r="D696" s="1" t="s">
        <v>20</v>
      </c>
      <c r="E696" s="1" t="s">
        <v>40</v>
      </c>
      <c r="F696" s="2">
        <v>8</v>
      </c>
      <c r="G696" s="5">
        <v>1510</v>
      </c>
      <c r="H696" s="24">
        <f t="shared" si="50"/>
        <v>12080</v>
      </c>
      <c r="I696" s="7">
        <v>0.05</v>
      </c>
      <c r="J696" s="5">
        <f t="shared" si="51"/>
        <v>604</v>
      </c>
      <c r="K696" s="5">
        <f t="shared" si="52"/>
        <v>11476</v>
      </c>
      <c r="L696" s="5">
        <v>1170</v>
      </c>
      <c r="M696" s="5">
        <f t="shared" si="53"/>
        <v>2116</v>
      </c>
      <c r="N696" s="7">
        <f t="shared" si="54"/>
        <v>0.18438480306727081</v>
      </c>
      <c r="O696" s="1" t="s">
        <v>22</v>
      </c>
      <c r="P696" s="1" t="s">
        <v>31</v>
      </c>
      <c r="Q696" s="1" t="s">
        <v>48</v>
      </c>
      <c r="R696" s="1" t="s">
        <v>33</v>
      </c>
      <c r="S696" s="1" t="s">
        <v>235</v>
      </c>
      <c r="T696" s="15" t="s">
        <v>27</v>
      </c>
    </row>
    <row r="697" spans="1:20" x14ac:dyDescent="0.3">
      <c r="A697" s="14">
        <v>696</v>
      </c>
      <c r="B697" s="4">
        <v>44493</v>
      </c>
      <c r="C697" s="1" t="s">
        <v>529</v>
      </c>
      <c r="D697" s="1" t="s">
        <v>28</v>
      </c>
      <c r="E697" s="1" t="s">
        <v>29</v>
      </c>
      <c r="F697" s="2">
        <v>1</v>
      </c>
      <c r="G697" s="5">
        <v>1900</v>
      </c>
      <c r="H697" s="24">
        <f t="shared" si="50"/>
        <v>1900</v>
      </c>
      <c r="I697" s="7">
        <v>0</v>
      </c>
      <c r="J697" s="5">
        <f t="shared" si="51"/>
        <v>0</v>
      </c>
      <c r="K697" s="5">
        <f t="shared" si="52"/>
        <v>1900</v>
      </c>
      <c r="L697" s="5">
        <v>1320</v>
      </c>
      <c r="M697" s="5">
        <f t="shared" si="53"/>
        <v>580</v>
      </c>
      <c r="N697" s="7">
        <f t="shared" si="54"/>
        <v>0.30526315789473685</v>
      </c>
      <c r="O697" s="1" t="s">
        <v>59</v>
      </c>
      <c r="P697" s="1" t="s">
        <v>31</v>
      </c>
      <c r="Q697" s="1" t="s">
        <v>32</v>
      </c>
      <c r="R697" s="1" t="s">
        <v>66</v>
      </c>
      <c r="S697" s="1" t="s">
        <v>347</v>
      </c>
      <c r="T697" s="15" t="s">
        <v>61</v>
      </c>
    </row>
    <row r="698" spans="1:20" x14ac:dyDescent="0.3">
      <c r="A698" s="14">
        <v>697</v>
      </c>
      <c r="B698" s="4">
        <v>44205</v>
      </c>
      <c r="C698" s="1" t="s">
        <v>533</v>
      </c>
      <c r="D698" s="1" t="s">
        <v>20</v>
      </c>
      <c r="E698" s="1" t="s">
        <v>36</v>
      </c>
      <c r="F698" s="2">
        <v>7</v>
      </c>
      <c r="G698" s="5">
        <v>1160</v>
      </c>
      <c r="H698" s="24">
        <f t="shared" si="50"/>
        <v>8120</v>
      </c>
      <c r="I698" s="7">
        <v>0</v>
      </c>
      <c r="J698" s="5">
        <f t="shared" si="51"/>
        <v>0</v>
      </c>
      <c r="K698" s="5">
        <f t="shared" si="52"/>
        <v>8120</v>
      </c>
      <c r="L698" s="5">
        <v>900</v>
      </c>
      <c r="M698" s="5">
        <f t="shared" si="53"/>
        <v>1820</v>
      </c>
      <c r="N698" s="7">
        <f t="shared" si="54"/>
        <v>0.22413793103448276</v>
      </c>
      <c r="O698" s="1" t="s">
        <v>41</v>
      </c>
      <c r="P698" s="1" t="s">
        <v>31</v>
      </c>
      <c r="Q698" s="1" t="s">
        <v>37</v>
      </c>
      <c r="R698" s="1" t="s">
        <v>66</v>
      </c>
      <c r="S698" s="1" t="s">
        <v>75</v>
      </c>
      <c r="T698" s="15" t="s">
        <v>27</v>
      </c>
    </row>
    <row r="699" spans="1:20" x14ac:dyDescent="0.3">
      <c r="A699" s="14">
        <v>698</v>
      </c>
      <c r="B699" s="4">
        <v>44443</v>
      </c>
      <c r="C699" s="1" t="s">
        <v>529</v>
      </c>
      <c r="D699" s="1" t="s">
        <v>80</v>
      </c>
      <c r="E699" s="1" t="s">
        <v>21</v>
      </c>
      <c r="F699" s="2">
        <v>7</v>
      </c>
      <c r="G699" s="5">
        <v>200</v>
      </c>
      <c r="H699" s="24">
        <f t="shared" si="50"/>
        <v>1400</v>
      </c>
      <c r="I699" s="7">
        <v>0.05</v>
      </c>
      <c r="J699" s="5">
        <f t="shared" si="51"/>
        <v>70</v>
      </c>
      <c r="K699" s="5">
        <f t="shared" si="52"/>
        <v>1330</v>
      </c>
      <c r="L699" s="5">
        <v>130</v>
      </c>
      <c r="M699" s="5">
        <f t="shared" si="53"/>
        <v>420</v>
      </c>
      <c r="N699" s="7">
        <f t="shared" si="54"/>
        <v>0.31578947368421051</v>
      </c>
      <c r="O699" s="1" t="s">
        <v>54</v>
      </c>
      <c r="P699" s="1" t="s">
        <v>31</v>
      </c>
      <c r="Q699" s="1" t="s">
        <v>24</v>
      </c>
      <c r="R699" s="1" t="s">
        <v>56</v>
      </c>
      <c r="S699" s="1" t="s">
        <v>248</v>
      </c>
      <c r="T699" s="15" t="s">
        <v>27</v>
      </c>
    </row>
    <row r="700" spans="1:20" x14ac:dyDescent="0.3">
      <c r="A700" s="14">
        <v>699</v>
      </c>
      <c r="B700" s="4">
        <v>44249</v>
      </c>
      <c r="C700" s="1" t="s">
        <v>530</v>
      </c>
      <c r="D700" s="1" t="s">
        <v>20</v>
      </c>
      <c r="E700" s="1" t="s">
        <v>21</v>
      </c>
      <c r="F700" s="2">
        <v>2</v>
      </c>
      <c r="G700" s="5">
        <v>210</v>
      </c>
      <c r="H700" s="24">
        <f t="shared" si="50"/>
        <v>420</v>
      </c>
      <c r="I700" s="7">
        <v>0.15</v>
      </c>
      <c r="J700" s="5">
        <f t="shared" si="51"/>
        <v>63</v>
      </c>
      <c r="K700" s="5">
        <f t="shared" si="52"/>
        <v>357</v>
      </c>
      <c r="L700" s="5">
        <v>150</v>
      </c>
      <c r="M700" s="5">
        <f t="shared" si="53"/>
        <v>57</v>
      </c>
      <c r="N700" s="7">
        <f t="shared" si="54"/>
        <v>0.15966386554621848</v>
      </c>
      <c r="O700" s="1" t="s">
        <v>54</v>
      </c>
      <c r="P700" s="1" t="s">
        <v>31</v>
      </c>
      <c r="Q700" s="1" t="s">
        <v>37</v>
      </c>
      <c r="R700" s="1" t="s">
        <v>66</v>
      </c>
      <c r="S700" s="1" t="s">
        <v>345</v>
      </c>
      <c r="T700" s="15" t="s">
        <v>35</v>
      </c>
    </row>
    <row r="701" spans="1:20" x14ac:dyDescent="0.3">
      <c r="A701" s="14">
        <v>700</v>
      </c>
      <c r="B701" s="4">
        <v>44429</v>
      </c>
      <c r="C701" s="1" t="s">
        <v>533</v>
      </c>
      <c r="D701" s="1" t="s">
        <v>28</v>
      </c>
      <c r="E701" s="1" t="s">
        <v>43</v>
      </c>
      <c r="F701" s="2">
        <v>8</v>
      </c>
      <c r="G701" s="5">
        <v>310</v>
      </c>
      <c r="H701" s="24">
        <f t="shared" si="50"/>
        <v>2480</v>
      </c>
      <c r="I701" s="7">
        <v>0.1</v>
      </c>
      <c r="J701" s="5">
        <f t="shared" si="51"/>
        <v>248</v>
      </c>
      <c r="K701" s="5">
        <f t="shared" si="52"/>
        <v>2232</v>
      </c>
      <c r="L701" s="5">
        <v>230</v>
      </c>
      <c r="M701" s="5">
        <f t="shared" si="53"/>
        <v>392</v>
      </c>
      <c r="N701" s="7">
        <f t="shared" si="54"/>
        <v>0.17562724014336917</v>
      </c>
      <c r="O701" s="1" t="s">
        <v>59</v>
      </c>
      <c r="P701" s="1" t="s">
        <v>31</v>
      </c>
      <c r="Q701" s="1" t="s">
        <v>24</v>
      </c>
      <c r="R701" s="1" t="s">
        <v>50</v>
      </c>
      <c r="S701" s="1" t="s">
        <v>146</v>
      </c>
      <c r="T701" s="15" t="s">
        <v>35</v>
      </c>
    </row>
    <row r="702" spans="1:20" x14ac:dyDescent="0.3">
      <c r="A702" s="14">
        <v>701</v>
      </c>
      <c r="B702" s="4">
        <v>44246</v>
      </c>
      <c r="C702" s="1" t="s">
        <v>529</v>
      </c>
      <c r="D702" s="1" t="s">
        <v>20</v>
      </c>
      <c r="E702" s="1" t="s">
        <v>29</v>
      </c>
      <c r="F702" s="2">
        <v>10</v>
      </c>
      <c r="G702" s="5">
        <v>2210</v>
      </c>
      <c r="H702" s="24">
        <f t="shared" si="50"/>
        <v>22100</v>
      </c>
      <c r="I702" s="7">
        <v>0.02</v>
      </c>
      <c r="J702" s="5">
        <f t="shared" si="51"/>
        <v>442</v>
      </c>
      <c r="K702" s="5">
        <f t="shared" si="52"/>
        <v>21658</v>
      </c>
      <c r="L702" s="5">
        <v>1770</v>
      </c>
      <c r="M702" s="5">
        <f t="shared" si="53"/>
        <v>3958</v>
      </c>
      <c r="N702" s="7">
        <f t="shared" si="54"/>
        <v>0.18275002308615754</v>
      </c>
      <c r="O702" s="1" t="s">
        <v>22</v>
      </c>
      <c r="P702" s="1" t="s">
        <v>23</v>
      </c>
      <c r="Q702" s="1" t="s">
        <v>32</v>
      </c>
      <c r="R702" s="1" t="s">
        <v>50</v>
      </c>
      <c r="S702" s="1" t="s">
        <v>318</v>
      </c>
      <c r="T702" s="15" t="s">
        <v>35</v>
      </c>
    </row>
    <row r="703" spans="1:20" x14ac:dyDescent="0.3">
      <c r="A703" s="14">
        <v>702</v>
      </c>
      <c r="B703" s="4">
        <v>44264</v>
      </c>
      <c r="C703" s="1" t="s">
        <v>533</v>
      </c>
      <c r="D703" s="1" t="s">
        <v>20</v>
      </c>
      <c r="E703" s="1" t="s">
        <v>40</v>
      </c>
      <c r="F703" s="2">
        <v>9</v>
      </c>
      <c r="G703" s="5">
        <v>1370</v>
      </c>
      <c r="H703" s="24">
        <f t="shared" si="50"/>
        <v>12330</v>
      </c>
      <c r="I703" s="7">
        <v>0.02</v>
      </c>
      <c r="J703" s="5">
        <f t="shared" si="51"/>
        <v>246.6</v>
      </c>
      <c r="K703" s="5">
        <f t="shared" si="52"/>
        <v>12083.4</v>
      </c>
      <c r="L703" s="5">
        <v>1030</v>
      </c>
      <c r="M703" s="5">
        <f t="shared" si="53"/>
        <v>2813.3999999999996</v>
      </c>
      <c r="N703" s="7">
        <f t="shared" si="54"/>
        <v>0.23283181885893042</v>
      </c>
      <c r="O703" s="1" t="s">
        <v>22</v>
      </c>
      <c r="P703" s="1" t="s">
        <v>31</v>
      </c>
      <c r="Q703" s="1" t="s">
        <v>32</v>
      </c>
      <c r="R703" s="1" t="s">
        <v>50</v>
      </c>
      <c r="S703" s="1" t="s">
        <v>115</v>
      </c>
      <c r="T703" s="15" t="s">
        <v>27</v>
      </c>
    </row>
    <row r="704" spans="1:20" x14ac:dyDescent="0.3">
      <c r="A704" s="14">
        <v>703</v>
      </c>
      <c r="B704" s="4">
        <v>44297</v>
      </c>
      <c r="C704" s="1" t="s">
        <v>530</v>
      </c>
      <c r="D704" s="1" t="s">
        <v>80</v>
      </c>
      <c r="E704" s="1" t="s">
        <v>21</v>
      </c>
      <c r="F704" s="2">
        <v>12</v>
      </c>
      <c r="G704" s="5">
        <v>230</v>
      </c>
      <c r="H704" s="24">
        <f t="shared" si="50"/>
        <v>2760</v>
      </c>
      <c r="I704" s="7">
        <v>0.05</v>
      </c>
      <c r="J704" s="5">
        <f t="shared" si="51"/>
        <v>138</v>
      </c>
      <c r="K704" s="5">
        <f t="shared" si="52"/>
        <v>2622</v>
      </c>
      <c r="L704" s="5">
        <v>150</v>
      </c>
      <c r="M704" s="5">
        <f t="shared" si="53"/>
        <v>822</v>
      </c>
      <c r="N704" s="7">
        <f t="shared" si="54"/>
        <v>0.31350114416475972</v>
      </c>
      <c r="O704" s="1" t="s">
        <v>22</v>
      </c>
      <c r="P704" s="1" t="s">
        <v>31</v>
      </c>
      <c r="Q704" s="1" t="s">
        <v>24</v>
      </c>
      <c r="R704" s="1" t="s">
        <v>38</v>
      </c>
      <c r="S704" s="1" t="s">
        <v>146</v>
      </c>
      <c r="T704" s="15" t="s">
        <v>53</v>
      </c>
    </row>
    <row r="705" spans="1:20" x14ac:dyDescent="0.3">
      <c r="A705" s="14">
        <v>704</v>
      </c>
      <c r="B705" s="4">
        <v>44369</v>
      </c>
      <c r="C705" s="1" t="s">
        <v>530</v>
      </c>
      <c r="D705" s="1" t="s">
        <v>20</v>
      </c>
      <c r="E705" s="1" t="s">
        <v>29</v>
      </c>
      <c r="F705" s="2">
        <v>5</v>
      </c>
      <c r="G705" s="5">
        <v>2030</v>
      </c>
      <c r="H705" s="24">
        <f t="shared" si="50"/>
        <v>10150</v>
      </c>
      <c r="I705" s="7">
        <v>0.05</v>
      </c>
      <c r="J705" s="5">
        <f t="shared" si="51"/>
        <v>507.5</v>
      </c>
      <c r="K705" s="5">
        <f t="shared" si="52"/>
        <v>9642.5</v>
      </c>
      <c r="L705" s="5">
        <v>1290</v>
      </c>
      <c r="M705" s="5">
        <f t="shared" si="53"/>
        <v>3192.5</v>
      </c>
      <c r="N705" s="7">
        <f t="shared" si="54"/>
        <v>0.33108633653098263</v>
      </c>
      <c r="O705" s="1" t="s">
        <v>30</v>
      </c>
      <c r="P705" s="1" t="s">
        <v>31</v>
      </c>
      <c r="Q705" s="1" t="s">
        <v>37</v>
      </c>
      <c r="R705" s="1" t="s">
        <v>33</v>
      </c>
      <c r="S705" s="1" t="s">
        <v>128</v>
      </c>
      <c r="T705" s="15" t="s">
        <v>61</v>
      </c>
    </row>
    <row r="706" spans="1:20" x14ac:dyDescent="0.3">
      <c r="A706" s="14">
        <v>705</v>
      </c>
      <c r="B706" s="4">
        <v>44234</v>
      </c>
      <c r="C706" s="1" t="s">
        <v>529</v>
      </c>
      <c r="D706" s="1" t="s">
        <v>80</v>
      </c>
      <c r="E706" s="1" t="s">
        <v>43</v>
      </c>
      <c r="F706" s="2">
        <v>8</v>
      </c>
      <c r="G706" s="5">
        <v>290</v>
      </c>
      <c r="H706" s="24">
        <f t="shared" ref="H706:H769" si="55">F706*G706</f>
        <v>2320</v>
      </c>
      <c r="I706" s="7">
        <v>0</v>
      </c>
      <c r="J706" s="5">
        <f t="shared" ref="J706:J769" si="56">H706*I706</f>
        <v>0</v>
      </c>
      <c r="K706" s="5">
        <f t="shared" ref="K706:K769" si="57">H706-J706</f>
        <v>2320</v>
      </c>
      <c r="L706" s="5">
        <v>230</v>
      </c>
      <c r="M706" s="5">
        <f t="shared" ref="M706:M769" si="58">K706-(F706*L706)</f>
        <v>480</v>
      </c>
      <c r="N706" s="7">
        <f t="shared" ref="N706:N769" si="59">IFERROR(M706/K706,0)</f>
        <v>0.20689655172413793</v>
      </c>
      <c r="O706" s="1" t="s">
        <v>41</v>
      </c>
      <c r="P706" s="1" t="s">
        <v>31</v>
      </c>
      <c r="Q706" s="1" t="s">
        <v>32</v>
      </c>
      <c r="R706" s="1" t="s">
        <v>49</v>
      </c>
      <c r="S706" s="1" t="s">
        <v>281</v>
      </c>
      <c r="T706" s="15" t="s">
        <v>27</v>
      </c>
    </row>
    <row r="707" spans="1:20" x14ac:dyDescent="0.3">
      <c r="A707" s="14">
        <v>706</v>
      </c>
      <c r="B707" s="4">
        <v>44466</v>
      </c>
      <c r="C707" s="1" t="s">
        <v>532</v>
      </c>
      <c r="D707" s="1" t="s">
        <v>82</v>
      </c>
      <c r="E707" s="1" t="s">
        <v>36</v>
      </c>
      <c r="F707" s="2">
        <v>8</v>
      </c>
      <c r="G707" s="5">
        <v>1240</v>
      </c>
      <c r="H707" s="24">
        <f t="shared" si="55"/>
        <v>9920</v>
      </c>
      <c r="I707" s="7">
        <v>0</v>
      </c>
      <c r="J707" s="5">
        <f t="shared" si="56"/>
        <v>0</v>
      </c>
      <c r="K707" s="5">
        <f t="shared" si="57"/>
        <v>9920</v>
      </c>
      <c r="L707" s="5">
        <v>970</v>
      </c>
      <c r="M707" s="5">
        <f t="shared" si="58"/>
        <v>2160</v>
      </c>
      <c r="N707" s="7">
        <f t="shared" si="59"/>
        <v>0.21774193548387097</v>
      </c>
      <c r="O707" s="1" t="s">
        <v>59</v>
      </c>
      <c r="P707" s="1" t="s">
        <v>31</v>
      </c>
      <c r="Q707" s="1" t="s">
        <v>48</v>
      </c>
      <c r="R707" s="1" t="s">
        <v>56</v>
      </c>
      <c r="S707" s="1" t="s">
        <v>405</v>
      </c>
      <c r="T707" s="15" t="s">
        <v>53</v>
      </c>
    </row>
    <row r="708" spans="1:20" x14ac:dyDescent="0.3">
      <c r="A708" s="14">
        <v>707</v>
      </c>
      <c r="B708" s="4">
        <v>44465</v>
      </c>
      <c r="C708" s="1" t="s">
        <v>532</v>
      </c>
      <c r="D708" s="1" t="s">
        <v>28</v>
      </c>
      <c r="E708" s="1" t="s">
        <v>36</v>
      </c>
      <c r="F708" s="2">
        <v>3</v>
      </c>
      <c r="G708" s="5">
        <v>1080</v>
      </c>
      <c r="H708" s="24">
        <f t="shared" si="55"/>
        <v>3240</v>
      </c>
      <c r="I708" s="7">
        <v>0.15</v>
      </c>
      <c r="J708" s="5">
        <f t="shared" si="56"/>
        <v>486</v>
      </c>
      <c r="K708" s="5">
        <f t="shared" si="57"/>
        <v>2754</v>
      </c>
      <c r="L708" s="5">
        <v>780</v>
      </c>
      <c r="M708" s="5">
        <f t="shared" si="58"/>
        <v>414</v>
      </c>
      <c r="N708" s="7">
        <f t="shared" si="59"/>
        <v>0.15032679738562091</v>
      </c>
      <c r="O708" s="1" t="s">
        <v>30</v>
      </c>
      <c r="P708" s="1" t="s">
        <v>31</v>
      </c>
      <c r="Q708" s="1" t="s">
        <v>37</v>
      </c>
      <c r="R708" s="1" t="s">
        <v>49</v>
      </c>
      <c r="S708" s="1" t="s">
        <v>316</v>
      </c>
      <c r="T708" s="15" t="s">
        <v>27</v>
      </c>
    </row>
    <row r="709" spans="1:20" x14ac:dyDescent="0.3">
      <c r="A709" s="14">
        <v>708</v>
      </c>
      <c r="B709" s="4">
        <v>44202</v>
      </c>
      <c r="C709" s="1" t="s">
        <v>529</v>
      </c>
      <c r="D709" s="1" t="s">
        <v>80</v>
      </c>
      <c r="E709" s="1" t="s">
        <v>29</v>
      </c>
      <c r="F709" s="2">
        <v>8</v>
      </c>
      <c r="G709" s="5">
        <v>2220</v>
      </c>
      <c r="H709" s="24">
        <f t="shared" si="55"/>
        <v>17760</v>
      </c>
      <c r="I709" s="7">
        <v>0.02</v>
      </c>
      <c r="J709" s="5">
        <f t="shared" si="56"/>
        <v>355.2</v>
      </c>
      <c r="K709" s="5">
        <f t="shared" si="57"/>
        <v>17404.8</v>
      </c>
      <c r="L709" s="5">
        <v>1410</v>
      </c>
      <c r="M709" s="5">
        <f t="shared" si="58"/>
        <v>6124.7999999999993</v>
      </c>
      <c r="N709" s="7">
        <f t="shared" si="59"/>
        <v>0.35190292333149475</v>
      </c>
      <c r="O709" s="1" t="s">
        <v>30</v>
      </c>
      <c r="P709" s="1" t="s">
        <v>31</v>
      </c>
      <c r="Q709" s="1" t="s">
        <v>37</v>
      </c>
      <c r="R709" s="1" t="s">
        <v>88</v>
      </c>
      <c r="S709" s="1" t="s">
        <v>121</v>
      </c>
      <c r="T709" s="15" t="s">
        <v>27</v>
      </c>
    </row>
    <row r="710" spans="1:20" x14ac:dyDescent="0.3">
      <c r="A710" s="14">
        <v>709</v>
      </c>
      <c r="B710" s="4">
        <v>44357</v>
      </c>
      <c r="C710" s="1" t="s">
        <v>530</v>
      </c>
      <c r="D710" s="1" t="s">
        <v>20</v>
      </c>
      <c r="E710" s="1" t="s">
        <v>21</v>
      </c>
      <c r="F710" s="2">
        <v>6</v>
      </c>
      <c r="G710" s="5">
        <v>200</v>
      </c>
      <c r="H710" s="24">
        <f t="shared" si="55"/>
        <v>1200</v>
      </c>
      <c r="I710" s="7">
        <v>0.1</v>
      </c>
      <c r="J710" s="5">
        <f t="shared" si="56"/>
        <v>120</v>
      </c>
      <c r="K710" s="5">
        <f t="shared" si="57"/>
        <v>1080</v>
      </c>
      <c r="L710" s="5">
        <v>150</v>
      </c>
      <c r="M710" s="5">
        <f t="shared" si="58"/>
        <v>180</v>
      </c>
      <c r="N710" s="7">
        <f t="shared" si="59"/>
        <v>0.16666666666666666</v>
      </c>
      <c r="O710" s="1" t="s">
        <v>54</v>
      </c>
      <c r="P710" s="1" t="s">
        <v>31</v>
      </c>
      <c r="Q710" s="1" t="s">
        <v>48</v>
      </c>
      <c r="R710" s="1" t="s">
        <v>33</v>
      </c>
      <c r="S710" s="1" t="s">
        <v>366</v>
      </c>
      <c r="T710" s="15" t="s">
        <v>35</v>
      </c>
    </row>
    <row r="711" spans="1:20" x14ac:dyDescent="0.3">
      <c r="A711" s="14">
        <v>710</v>
      </c>
      <c r="B711" s="4">
        <v>44367</v>
      </c>
      <c r="C711" s="1" t="s">
        <v>529</v>
      </c>
      <c r="D711" s="1" t="s">
        <v>20</v>
      </c>
      <c r="E711" s="1" t="s">
        <v>36</v>
      </c>
      <c r="F711" s="2">
        <v>1</v>
      </c>
      <c r="G711" s="5">
        <v>1270</v>
      </c>
      <c r="H711" s="24">
        <f t="shared" si="55"/>
        <v>1270</v>
      </c>
      <c r="I711" s="7">
        <v>0</v>
      </c>
      <c r="J711" s="5">
        <f t="shared" si="56"/>
        <v>0</v>
      </c>
      <c r="K711" s="5">
        <f t="shared" si="57"/>
        <v>1270</v>
      </c>
      <c r="L711" s="5">
        <v>890</v>
      </c>
      <c r="M711" s="5">
        <f t="shared" si="58"/>
        <v>380</v>
      </c>
      <c r="N711" s="7">
        <f t="shared" si="59"/>
        <v>0.29921259842519687</v>
      </c>
      <c r="O711" s="1" t="s">
        <v>22</v>
      </c>
      <c r="P711" s="1" t="s">
        <v>31</v>
      </c>
      <c r="Q711" s="1" t="s">
        <v>32</v>
      </c>
      <c r="R711" s="1" t="s">
        <v>46</v>
      </c>
      <c r="S711" s="1" t="s">
        <v>406</v>
      </c>
      <c r="T711" s="15" t="s">
        <v>61</v>
      </c>
    </row>
    <row r="712" spans="1:20" x14ac:dyDescent="0.3">
      <c r="A712" s="14">
        <v>711</v>
      </c>
      <c r="B712" s="4">
        <v>44486</v>
      </c>
      <c r="C712" s="1" t="s">
        <v>533</v>
      </c>
      <c r="D712" s="1" t="s">
        <v>80</v>
      </c>
      <c r="E712" s="1" t="s">
        <v>21</v>
      </c>
      <c r="F712" s="2">
        <v>9</v>
      </c>
      <c r="G712" s="5">
        <v>210</v>
      </c>
      <c r="H712" s="24">
        <f t="shared" si="55"/>
        <v>1890</v>
      </c>
      <c r="I712" s="7">
        <v>0.02</v>
      </c>
      <c r="J712" s="5">
        <f t="shared" si="56"/>
        <v>37.800000000000004</v>
      </c>
      <c r="K712" s="5">
        <f t="shared" si="57"/>
        <v>1852.2</v>
      </c>
      <c r="L712" s="5">
        <v>170</v>
      </c>
      <c r="M712" s="5">
        <f t="shared" si="58"/>
        <v>322.20000000000005</v>
      </c>
      <c r="N712" s="7">
        <f t="shared" si="59"/>
        <v>0.17395529640427601</v>
      </c>
      <c r="O712" s="1" t="s">
        <v>41</v>
      </c>
      <c r="P712" s="1" t="s">
        <v>62</v>
      </c>
      <c r="Q712" s="1" t="s">
        <v>37</v>
      </c>
      <c r="R712" s="1" t="s">
        <v>38</v>
      </c>
      <c r="S712" s="1" t="s">
        <v>407</v>
      </c>
      <c r="T712" s="15" t="s">
        <v>53</v>
      </c>
    </row>
    <row r="713" spans="1:20" x14ac:dyDescent="0.3">
      <c r="A713" s="14">
        <v>712</v>
      </c>
      <c r="B713" s="4">
        <v>44503</v>
      </c>
      <c r="C713" s="1" t="s">
        <v>531</v>
      </c>
      <c r="D713" s="1" t="s">
        <v>28</v>
      </c>
      <c r="E713" s="1" t="s">
        <v>29</v>
      </c>
      <c r="F713" s="2">
        <v>9</v>
      </c>
      <c r="G713" s="5">
        <v>1980</v>
      </c>
      <c r="H713" s="24">
        <f t="shared" si="55"/>
        <v>17820</v>
      </c>
      <c r="I713" s="7">
        <v>0</v>
      </c>
      <c r="J713" s="5">
        <f t="shared" si="56"/>
        <v>0</v>
      </c>
      <c r="K713" s="5">
        <f t="shared" si="57"/>
        <v>17820</v>
      </c>
      <c r="L713" s="5">
        <v>1390</v>
      </c>
      <c r="M713" s="5">
        <f t="shared" si="58"/>
        <v>5310</v>
      </c>
      <c r="N713" s="7">
        <f t="shared" si="59"/>
        <v>0.29797979797979796</v>
      </c>
      <c r="O713" s="1" t="s">
        <v>22</v>
      </c>
      <c r="P713" s="1" t="s">
        <v>31</v>
      </c>
      <c r="Q713" s="1" t="s">
        <v>37</v>
      </c>
      <c r="R713" s="1" t="s">
        <v>33</v>
      </c>
      <c r="S713" s="1" t="s">
        <v>270</v>
      </c>
      <c r="T713" s="15" t="s">
        <v>53</v>
      </c>
    </row>
    <row r="714" spans="1:20" x14ac:dyDescent="0.3">
      <c r="A714" s="14">
        <v>713</v>
      </c>
      <c r="B714" s="4">
        <v>44540</v>
      </c>
      <c r="C714" s="1" t="s">
        <v>534</v>
      </c>
      <c r="D714" s="1" t="s">
        <v>20</v>
      </c>
      <c r="E714" s="1" t="s">
        <v>21</v>
      </c>
      <c r="F714" s="2">
        <v>11</v>
      </c>
      <c r="G714" s="5">
        <v>210</v>
      </c>
      <c r="H714" s="24">
        <f t="shared" si="55"/>
        <v>2310</v>
      </c>
      <c r="I714" s="7">
        <v>0.1</v>
      </c>
      <c r="J714" s="5">
        <f t="shared" si="56"/>
        <v>231</v>
      </c>
      <c r="K714" s="5">
        <f t="shared" si="57"/>
        <v>2079</v>
      </c>
      <c r="L714" s="5">
        <v>130</v>
      </c>
      <c r="M714" s="5">
        <f t="shared" si="58"/>
        <v>649</v>
      </c>
      <c r="N714" s="7">
        <f t="shared" si="59"/>
        <v>0.31216931216931215</v>
      </c>
      <c r="O714" s="1" t="s">
        <v>22</v>
      </c>
      <c r="P714" s="1" t="s">
        <v>31</v>
      </c>
      <c r="Q714" s="1" t="s">
        <v>32</v>
      </c>
      <c r="R714" s="1" t="s">
        <v>46</v>
      </c>
      <c r="S714" s="1" t="s">
        <v>359</v>
      </c>
      <c r="T714" s="15" t="s">
        <v>35</v>
      </c>
    </row>
    <row r="715" spans="1:20" x14ac:dyDescent="0.3">
      <c r="A715" s="14">
        <v>714</v>
      </c>
      <c r="B715" s="4">
        <v>44288</v>
      </c>
      <c r="C715" s="1" t="s">
        <v>531</v>
      </c>
      <c r="D715" s="1" t="s">
        <v>20</v>
      </c>
      <c r="E715" s="1" t="s">
        <v>21</v>
      </c>
      <c r="F715" s="2">
        <v>8</v>
      </c>
      <c r="G715" s="5">
        <v>230</v>
      </c>
      <c r="H715" s="24">
        <f t="shared" si="55"/>
        <v>1840</v>
      </c>
      <c r="I715" s="7">
        <v>0.1</v>
      </c>
      <c r="J715" s="5">
        <f t="shared" si="56"/>
        <v>184</v>
      </c>
      <c r="K715" s="5">
        <f t="shared" si="57"/>
        <v>1656</v>
      </c>
      <c r="L715" s="5">
        <v>150</v>
      </c>
      <c r="M715" s="5">
        <f t="shared" si="58"/>
        <v>456</v>
      </c>
      <c r="N715" s="7">
        <f t="shared" si="59"/>
        <v>0.27536231884057971</v>
      </c>
      <c r="O715" s="1" t="s">
        <v>22</v>
      </c>
      <c r="P715" s="1" t="s">
        <v>31</v>
      </c>
      <c r="Q715" s="1" t="s">
        <v>24</v>
      </c>
      <c r="R715" s="1" t="s">
        <v>56</v>
      </c>
      <c r="S715" s="1" t="s">
        <v>314</v>
      </c>
      <c r="T715" s="15" t="s">
        <v>61</v>
      </c>
    </row>
    <row r="716" spans="1:20" x14ac:dyDescent="0.3">
      <c r="A716" s="14">
        <v>715</v>
      </c>
      <c r="B716" s="4">
        <v>44277</v>
      </c>
      <c r="C716" s="1" t="s">
        <v>533</v>
      </c>
      <c r="D716" s="1" t="s">
        <v>20</v>
      </c>
      <c r="E716" s="1" t="s">
        <v>21</v>
      </c>
      <c r="F716" s="2">
        <v>3</v>
      </c>
      <c r="G716" s="5">
        <v>200</v>
      </c>
      <c r="H716" s="24">
        <f t="shared" si="55"/>
        <v>600</v>
      </c>
      <c r="I716" s="7">
        <v>0.05</v>
      </c>
      <c r="J716" s="5">
        <f t="shared" si="56"/>
        <v>30</v>
      </c>
      <c r="K716" s="5">
        <f t="shared" si="57"/>
        <v>570</v>
      </c>
      <c r="L716" s="5">
        <v>120</v>
      </c>
      <c r="M716" s="5">
        <f t="shared" si="58"/>
        <v>210</v>
      </c>
      <c r="N716" s="7">
        <f t="shared" si="59"/>
        <v>0.36842105263157893</v>
      </c>
      <c r="O716" s="1" t="s">
        <v>30</v>
      </c>
      <c r="P716" s="1" t="s">
        <v>31</v>
      </c>
      <c r="Q716" s="1" t="s">
        <v>48</v>
      </c>
      <c r="R716" s="1" t="s">
        <v>63</v>
      </c>
      <c r="S716" s="1" t="s">
        <v>408</v>
      </c>
      <c r="T716" s="15" t="s">
        <v>27</v>
      </c>
    </row>
    <row r="717" spans="1:20" x14ac:dyDescent="0.3">
      <c r="A717" s="14">
        <v>716</v>
      </c>
      <c r="B717" s="4">
        <v>44218</v>
      </c>
      <c r="C717" s="1" t="s">
        <v>534</v>
      </c>
      <c r="D717" s="1" t="s">
        <v>82</v>
      </c>
      <c r="E717" s="1" t="s">
        <v>36</v>
      </c>
      <c r="F717" s="2">
        <v>6</v>
      </c>
      <c r="G717" s="5">
        <v>1980</v>
      </c>
      <c r="H717" s="24">
        <f t="shared" si="55"/>
        <v>11880</v>
      </c>
      <c r="I717" s="7">
        <v>0.05</v>
      </c>
      <c r="J717" s="5">
        <f t="shared" si="56"/>
        <v>594</v>
      </c>
      <c r="K717" s="5">
        <f t="shared" si="57"/>
        <v>11286</v>
      </c>
      <c r="L717" s="5">
        <v>1310</v>
      </c>
      <c r="M717" s="5">
        <f t="shared" si="58"/>
        <v>3426</v>
      </c>
      <c r="N717" s="7">
        <f t="shared" si="59"/>
        <v>0.30356193514088253</v>
      </c>
      <c r="O717" s="1" t="s">
        <v>54</v>
      </c>
      <c r="P717" s="1" t="s">
        <v>31</v>
      </c>
      <c r="Q717" s="1" t="s">
        <v>37</v>
      </c>
      <c r="R717" s="1" t="s">
        <v>38</v>
      </c>
      <c r="S717" s="1" t="s">
        <v>409</v>
      </c>
      <c r="T717" s="15" t="s">
        <v>61</v>
      </c>
    </row>
    <row r="718" spans="1:20" x14ac:dyDescent="0.3">
      <c r="A718" s="14">
        <v>717</v>
      </c>
      <c r="B718" s="4">
        <v>44354</v>
      </c>
      <c r="C718" s="1" t="s">
        <v>533</v>
      </c>
      <c r="D718" s="1" t="s">
        <v>28</v>
      </c>
      <c r="E718" s="1" t="s">
        <v>21</v>
      </c>
      <c r="F718" s="2">
        <v>8</v>
      </c>
      <c r="G718" s="5">
        <v>190</v>
      </c>
      <c r="H718" s="24">
        <f t="shared" si="55"/>
        <v>1520</v>
      </c>
      <c r="I718" s="7">
        <v>0</v>
      </c>
      <c r="J718" s="5">
        <f t="shared" si="56"/>
        <v>0</v>
      </c>
      <c r="K718" s="5">
        <f t="shared" si="57"/>
        <v>1520</v>
      </c>
      <c r="L718" s="5">
        <v>140</v>
      </c>
      <c r="M718" s="5">
        <f t="shared" si="58"/>
        <v>400</v>
      </c>
      <c r="N718" s="7">
        <f t="shared" si="59"/>
        <v>0.26315789473684209</v>
      </c>
      <c r="O718" s="1" t="s">
        <v>59</v>
      </c>
      <c r="P718" s="1" t="s">
        <v>31</v>
      </c>
      <c r="Q718" s="1" t="s">
        <v>48</v>
      </c>
      <c r="R718" s="1" t="s">
        <v>66</v>
      </c>
      <c r="S718" s="1" t="s">
        <v>133</v>
      </c>
      <c r="T718" s="15" t="s">
        <v>35</v>
      </c>
    </row>
    <row r="719" spans="1:20" x14ac:dyDescent="0.3">
      <c r="A719" s="14">
        <v>718</v>
      </c>
      <c r="B719" s="4">
        <v>44315</v>
      </c>
      <c r="C719" s="1" t="s">
        <v>533</v>
      </c>
      <c r="D719" s="1" t="s">
        <v>82</v>
      </c>
      <c r="E719" s="1" t="s">
        <v>21</v>
      </c>
      <c r="F719" s="2">
        <v>4</v>
      </c>
      <c r="G719" s="5">
        <v>240</v>
      </c>
      <c r="H719" s="24">
        <f t="shared" si="55"/>
        <v>960</v>
      </c>
      <c r="I719" s="7">
        <v>0.1</v>
      </c>
      <c r="J719" s="5">
        <f t="shared" si="56"/>
        <v>96</v>
      </c>
      <c r="K719" s="5">
        <f t="shared" si="57"/>
        <v>864</v>
      </c>
      <c r="L719" s="5">
        <v>190</v>
      </c>
      <c r="M719" s="5">
        <f t="shared" si="58"/>
        <v>104</v>
      </c>
      <c r="N719" s="7">
        <f t="shared" si="59"/>
        <v>0.12037037037037036</v>
      </c>
      <c r="O719" s="1" t="s">
        <v>41</v>
      </c>
      <c r="P719" s="1" t="s">
        <v>31</v>
      </c>
      <c r="Q719" s="1" t="s">
        <v>48</v>
      </c>
      <c r="R719" s="1" t="s">
        <v>25</v>
      </c>
      <c r="S719" s="1" t="s">
        <v>386</v>
      </c>
      <c r="T719" s="15" t="s">
        <v>61</v>
      </c>
    </row>
    <row r="720" spans="1:20" x14ac:dyDescent="0.3">
      <c r="A720" s="14">
        <v>719</v>
      </c>
      <c r="B720" s="4">
        <v>44334</v>
      </c>
      <c r="C720" s="1" t="s">
        <v>533</v>
      </c>
      <c r="D720" s="1" t="s">
        <v>20</v>
      </c>
      <c r="E720" s="1" t="s">
        <v>40</v>
      </c>
      <c r="F720" s="2">
        <v>9</v>
      </c>
      <c r="G720" s="5">
        <v>1410</v>
      </c>
      <c r="H720" s="24">
        <f t="shared" si="55"/>
        <v>12690</v>
      </c>
      <c r="I720" s="7">
        <v>0.02</v>
      </c>
      <c r="J720" s="5">
        <f t="shared" si="56"/>
        <v>253.8</v>
      </c>
      <c r="K720" s="5">
        <f t="shared" si="57"/>
        <v>12436.2</v>
      </c>
      <c r="L720" s="5">
        <v>930</v>
      </c>
      <c r="M720" s="5">
        <f t="shared" si="58"/>
        <v>4066.2000000000007</v>
      </c>
      <c r="N720" s="7">
        <f t="shared" si="59"/>
        <v>0.32696482848458536</v>
      </c>
      <c r="O720" s="1" t="s">
        <v>22</v>
      </c>
      <c r="P720" s="1" t="s">
        <v>31</v>
      </c>
      <c r="Q720" s="1" t="s">
        <v>32</v>
      </c>
      <c r="R720" s="1" t="s">
        <v>66</v>
      </c>
      <c r="S720" s="1" t="s">
        <v>86</v>
      </c>
      <c r="T720" s="15" t="s">
        <v>53</v>
      </c>
    </row>
    <row r="721" spans="1:20" x14ac:dyDescent="0.3">
      <c r="A721" s="14">
        <v>720</v>
      </c>
      <c r="B721" s="4">
        <v>44304</v>
      </c>
      <c r="C721" s="1" t="s">
        <v>534</v>
      </c>
      <c r="D721" s="1" t="s">
        <v>28</v>
      </c>
      <c r="E721" s="1" t="s">
        <v>29</v>
      </c>
      <c r="F721" s="2">
        <v>8</v>
      </c>
      <c r="G721" s="5">
        <v>2290</v>
      </c>
      <c r="H721" s="24">
        <f t="shared" si="55"/>
        <v>18320</v>
      </c>
      <c r="I721" s="7">
        <v>0</v>
      </c>
      <c r="J721" s="5">
        <f t="shared" si="56"/>
        <v>0</v>
      </c>
      <c r="K721" s="5">
        <f t="shared" si="57"/>
        <v>18320</v>
      </c>
      <c r="L721" s="5">
        <v>1690</v>
      </c>
      <c r="M721" s="5">
        <f t="shared" si="58"/>
        <v>4800</v>
      </c>
      <c r="N721" s="7">
        <f t="shared" si="59"/>
        <v>0.26200873362445415</v>
      </c>
      <c r="O721" s="1" t="s">
        <v>22</v>
      </c>
      <c r="P721" s="1" t="s">
        <v>31</v>
      </c>
      <c r="Q721" s="1" t="s">
        <v>37</v>
      </c>
      <c r="R721" s="1" t="s">
        <v>88</v>
      </c>
      <c r="S721" s="1" t="s">
        <v>305</v>
      </c>
      <c r="T721" s="15" t="s">
        <v>53</v>
      </c>
    </row>
    <row r="722" spans="1:20" x14ac:dyDescent="0.3">
      <c r="A722" s="14">
        <v>721</v>
      </c>
      <c r="B722" s="4">
        <v>44218</v>
      </c>
      <c r="C722" s="1" t="s">
        <v>534</v>
      </c>
      <c r="D722" s="1" t="s">
        <v>20</v>
      </c>
      <c r="E722" s="1" t="s">
        <v>29</v>
      </c>
      <c r="F722" s="2">
        <v>6</v>
      </c>
      <c r="G722" s="5">
        <v>2390</v>
      </c>
      <c r="H722" s="24">
        <f t="shared" si="55"/>
        <v>14340</v>
      </c>
      <c r="I722" s="7">
        <v>0.05</v>
      </c>
      <c r="J722" s="5">
        <f t="shared" si="56"/>
        <v>717</v>
      </c>
      <c r="K722" s="5">
        <f t="shared" si="57"/>
        <v>13623</v>
      </c>
      <c r="L722" s="5">
        <v>1440</v>
      </c>
      <c r="M722" s="5">
        <f t="shared" si="58"/>
        <v>4983</v>
      </c>
      <c r="N722" s="7">
        <f t="shared" si="59"/>
        <v>0.36577846289363575</v>
      </c>
      <c r="O722" s="1" t="s">
        <v>41</v>
      </c>
      <c r="P722" s="1" t="s">
        <v>31</v>
      </c>
      <c r="Q722" s="1" t="s">
        <v>37</v>
      </c>
      <c r="R722" s="1" t="s">
        <v>46</v>
      </c>
      <c r="S722" s="1" t="s">
        <v>410</v>
      </c>
      <c r="T722" s="15" t="s">
        <v>35</v>
      </c>
    </row>
    <row r="723" spans="1:20" x14ac:dyDescent="0.3">
      <c r="A723" s="14">
        <v>722</v>
      </c>
      <c r="B723" s="4">
        <v>44444</v>
      </c>
      <c r="C723" s="1" t="s">
        <v>534</v>
      </c>
      <c r="D723" s="1" t="s">
        <v>20</v>
      </c>
      <c r="E723" s="1" t="s">
        <v>45</v>
      </c>
      <c r="F723" s="2">
        <v>11</v>
      </c>
      <c r="G723" s="5">
        <v>180</v>
      </c>
      <c r="H723" s="24">
        <f t="shared" si="55"/>
        <v>1980</v>
      </c>
      <c r="I723" s="7">
        <v>0.05</v>
      </c>
      <c r="J723" s="5">
        <f t="shared" si="56"/>
        <v>99</v>
      </c>
      <c r="K723" s="5">
        <f t="shared" si="57"/>
        <v>1881</v>
      </c>
      <c r="L723" s="5">
        <v>150</v>
      </c>
      <c r="M723" s="5">
        <f t="shared" si="58"/>
        <v>231</v>
      </c>
      <c r="N723" s="7">
        <f t="shared" si="59"/>
        <v>0.12280701754385964</v>
      </c>
      <c r="O723" s="1" t="s">
        <v>41</v>
      </c>
      <c r="P723" s="1" t="s">
        <v>31</v>
      </c>
      <c r="Q723" s="1" t="s">
        <v>48</v>
      </c>
      <c r="R723" s="1" t="s">
        <v>46</v>
      </c>
      <c r="S723" s="1" t="s">
        <v>330</v>
      </c>
      <c r="T723" s="15" t="s">
        <v>35</v>
      </c>
    </row>
    <row r="724" spans="1:20" x14ac:dyDescent="0.3">
      <c r="A724" s="14">
        <v>723</v>
      </c>
      <c r="B724" s="4">
        <v>44535</v>
      </c>
      <c r="C724" s="1" t="s">
        <v>529</v>
      </c>
      <c r="D724" s="1" t="s">
        <v>82</v>
      </c>
      <c r="E724" s="1" t="s">
        <v>21</v>
      </c>
      <c r="F724" s="2">
        <v>3</v>
      </c>
      <c r="G724" s="5">
        <v>190</v>
      </c>
      <c r="H724" s="24">
        <f t="shared" si="55"/>
        <v>570</v>
      </c>
      <c r="I724" s="7">
        <v>0</v>
      </c>
      <c r="J724" s="5">
        <f t="shared" si="56"/>
        <v>0</v>
      </c>
      <c r="K724" s="5">
        <f t="shared" si="57"/>
        <v>570</v>
      </c>
      <c r="L724" s="5">
        <v>140</v>
      </c>
      <c r="M724" s="5">
        <f t="shared" si="58"/>
        <v>150</v>
      </c>
      <c r="N724" s="7">
        <f t="shared" si="59"/>
        <v>0.26315789473684209</v>
      </c>
      <c r="O724" s="1" t="s">
        <v>22</v>
      </c>
      <c r="P724" s="1" t="s">
        <v>62</v>
      </c>
      <c r="Q724" s="1" t="s">
        <v>37</v>
      </c>
      <c r="R724" s="1" t="s">
        <v>56</v>
      </c>
      <c r="S724" s="1" t="s">
        <v>120</v>
      </c>
      <c r="T724" s="15" t="s">
        <v>35</v>
      </c>
    </row>
    <row r="725" spans="1:20" x14ac:dyDescent="0.3">
      <c r="A725" s="14">
        <v>724</v>
      </c>
      <c r="B725" s="4">
        <v>44222</v>
      </c>
      <c r="C725" s="1" t="s">
        <v>529</v>
      </c>
      <c r="D725" s="1" t="s">
        <v>20</v>
      </c>
      <c r="E725" s="1" t="s">
        <v>40</v>
      </c>
      <c r="F725" s="2">
        <v>4</v>
      </c>
      <c r="G725" s="5">
        <v>1120</v>
      </c>
      <c r="H725" s="24">
        <f t="shared" si="55"/>
        <v>4480</v>
      </c>
      <c r="I725" s="7">
        <v>0.15</v>
      </c>
      <c r="J725" s="5">
        <f t="shared" si="56"/>
        <v>672</v>
      </c>
      <c r="K725" s="5">
        <f t="shared" si="57"/>
        <v>3808</v>
      </c>
      <c r="L725" s="5">
        <v>900</v>
      </c>
      <c r="M725" s="5">
        <f t="shared" si="58"/>
        <v>208</v>
      </c>
      <c r="N725" s="7">
        <f t="shared" si="59"/>
        <v>5.4621848739495799E-2</v>
      </c>
      <c r="O725" s="1" t="s">
        <v>30</v>
      </c>
      <c r="P725" s="1" t="s">
        <v>31</v>
      </c>
      <c r="Q725" s="1" t="s">
        <v>37</v>
      </c>
      <c r="R725" s="1" t="s">
        <v>49</v>
      </c>
      <c r="S725" s="1" t="s">
        <v>162</v>
      </c>
      <c r="T725" s="15" t="s">
        <v>35</v>
      </c>
    </row>
    <row r="726" spans="1:20" x14ac:dyDescent="0.3">
      <c r="A726" s="14">
        <v>725</v>
      </c>
      <c r="B726" s="4">
        <v>44523</v>
      </c>
      <c r="C726" s="1" t="s">
        <v>530</v>
      </c>
      <c r="D726" s="1" t="s">
        <v>80</v>
      </c>
      <c r="E726" s="1" t="s">
        <v>45</v>
      </c>
      <c r="F726" s="2">
        <v>5</v>
      </c>
      <c r="G726" s="5">
        <v>190</v>
      </c>
      <c r="H726" s="24">
        <f t="shared" si="55"/>
        <v>950</v>
      </c>
      <c r="I726" s="7">
        <v>0</v>
      </c>
      <c r="J726" s="5">
        <f t="shared" si="56"/>
        <v>0</v>
      </c>
      <c r="K726" s="5">
        <f t="shared" si="57"/>
        <v>950</v>
      </c>
      <c r="L726" s="5">
        <v>140</v>
      </c>
      <c r="M726" s="5">
        <f t="shared" si="58"/>
        <v>250</v>
      </c>
      <c r="N726" s="7">
        <f t="shared" si="59"/>
        <v>0.26315789473684209</v>
      </c>
      <c r="O726" s="1" t="s">
        <v>59</v>
      </c>
      <c r="P726" s="1" t="s">
        <v>31</v>
      </c>
      <c r="Q726" s="1" t="s">
        <v>32</v>
      </c>
      <c r="R726" s="1" t="s">
        <v>63</v>
      </c>
      <c r="S726" s="1" t="s">
        <v>336</v>
      </c>
      <c r="T726" s="15" t="s">
        <v>53</v>
      </c>
    </row>
    <row r="727" spans="1:20" x14ac:dyDescent="0.3">
      <c r="A727" s="14">
        <v>726</v>
      </c>
      <c r="B727" s="4">
        <v>44355</v>
      </c>
      <c r="C727" s="1" t="s">
        <v>533</v>
      </c>
      <c r="D727" s="1" t="s">
        <v>28</v>
      </c>
      <c r="E727" s="1" t="s">
        <v>36</v>
      </c>
      <c r="F727" s="2">
        <v>5</v>
      </c>
      <c r="G727" s="5">
        <v>1320</v>
      </c>
      <c r="H727" s="24">
        <f t="shared" si="55"/>
        <v>6600</v>
      </c>
      <c r="I727" s="7">
        <v>0</v>
      </c>
      <c r="J727" s="5">
        <f t="shared" si="56"/>
        <v>0</v>
      </c>
      <c r="K727" s="5">
        <f t="shared" si="57"/>
        <v>6600</v>
      </c>
      <c r="L727" s="5">
        <v>900</v>
      </c>
      <c r="M727" s="5">
        <f t="shared" si="58"/>
        <v>2100</v>
      </c>
      <c r="N727" s="7">
        <f t="shared" si="59"/>
        <v>0.31818181818181818</v>
      </c>
      <c r="O727" s="1" t="s">
        <v>22</v>
      </c>
      <c r="P727" s="1" t="s">
        <v>31</v>
      </c>
      <c r="Q727" s="1" t="s">
        <v>37</v>
      </c>
      <c r="R727" s="1" t="s">
        <v>38</v>
      </c>
      <c r="S727" s="1" t="s">
        <v>378</v>
      </c>
      <c r="T727" s="15" t="s">
        <v>27</v>
      </c>
    </row>
    <row r="728" spans="1:20" x14ac:dyDescent="0.3">
      <c r="A728" s="14">
        <v>727</v>
      </c>
      <c r="B728" s="4">
        <v>44443</v>
      </c>
      <c r="C728" s="1" t="s">
        <v>531</v>
      </c>
      <c r="D728" s="1" t="s">
        <v>20</v>
      </c>
      <c r="E728" s="1" t="s">
        <v>43</v>
      </c>
      <c r="F728" s="2">
        <v>11</v>
      </c>
      <c r="G728" s="5">
        <v>340</v>
      </c>
      <c r="H728" s="24">
        <f t="shared" si="55"/>
        <v>3740</v>
      </c>
      <c r="I728" s="7">
        <v>0</v>
      </c>
      <c r="J728" s="5">
        <f t="shared" si="56"/>
        <v>0</v>
      </c>
      <c r="K728" s="5">
        <f t="shared" si="57"/>
        <v>3740</v>
      </c>
      <c r="L728" s="5">
        <v>260</v>
      </c>
      <c r="M728" s="5">
        <f t="shared" si="58"/>
        <v>880</v>
      </c>
      <c r="N728" s="7">
        <f t="shared" si="59"/>
        <v>0.23529411764705882</v>
      </c>
      <c r="O728" s="1" t="s">
        <v>30</v>
      </c>
      <c r="P728" s="1" t="s">
        <v>31</v>
      </c>
      <c r="Q728" s="1" t="s">
        <v>32</v>
      </c>
      <c r="R728" s="1" t="s">
        <v>66</v>
      </c>
      <c r="S728" s="1" t="s">
        <v>376</v>
      </c>
      <c r="T728" s="15" t="s">
        <v>27</v>
      </c>
    </row>
    <row r="729" spans="1:20" x14ac:dyDescent="0.3">
      <c r="A729" s="14">
        <v>728</v>
      </c>
      <c r="B729" s="4">
        <v>44354</v>
      </c>
      <c r="C729" s="1" t="s">
        <v>533</v>
      </c>
      <c r="D729" s="1" t="s">
        <v>80</v>
      </c>
      <c r="E729" s="1" t="s">
        <v>43</v>
      </c>
      <c r="F729" s="2">
        <v>1</v>
      </c>
      <c r="G729" s="5">
        <v>320</v>
      </c>
      <c r="H729" s="24">
        <f t="shared" si="55"/>
        <v>320</v>
      </c>
      <c r="I729" s="7">
        <v>0.1</v>
      </c>
      <c r="J729" s="5">
        <f t="shared" si="56"/>
        <v>32</v>
      </c>
      <c r="K729" s="5">
        <f t="shared" si="57"/>
        <v>288</v>
      </c>
      <c r="L729" s="5">
        <v>200</v>
      </c>
      <c r="M729" s="5">
        <f t="shared" si="58"/>
        <v>88</v>
      </c>
      <c r="N729" s="7">
        <f t="shared" si="59"/>
        <v>0.30555555555555558</v>
      </c>
      <c r="O729" s="1" t="s">
        <v>22</v>
      </c>
      <c r="P729" s="1" t="s">
        <v>31</v>
      </c>
      <c r="Q729" s="1" t="s">
        <v>24</v>
      </c>
      <c r="R729" s="1" t="s">
        <v>33</v>
      </c>
      <c r="S729" s="1" t="s">
        <v>411</v>
      </c>
      <c r="T729" s="15" t="s">
        <v>27</v>
      </c>
    </row>
    <row r="730" spans="1:20" x14ac:dyDescent="0.3">
      <c r="A730" s="14">
        <v>729</v>
      </c>
      <c r="B730" s="4">
        <v>44390</v>
      </c>
      <c r="C730" s="1" t="s">
        <v>532</v>
      </c>
      <c r="D730" s="1" t="s">
        <v>20</v>
      </c>
      <c r="E730" s="1" t="s">
        <v>21</v>
      </c>
      <c r="F730" s="2">
        <v>2</v>
      </c>
      <c r="G730" s="5">
        <v>210</v>
      </c>
      <c r="H730" s="24">
        <f t="shared" si="55"/>
        <v>420</v>
      </c>
      <c r="I730" s="7">
        <v>0</v>
      </c>
      <c r="J730" s="5">
        <f t="shared" si="56"/>
        <v>0</v>
      </c>
      <c r="K730" s="5">
        <f t="shared" si="57"/>
        <v>420</v>
      </c>
      <c r="L730" s="5">
        <v>160</v>
      </c>
      <c r="M730" s="5">
        <f t="shared" si="58"/>
        <v>100</v>
      </c>
      <c r="N730" s="7">
        <f t="shared" si="59"/>
        <v>0.23809523809523808</v>
      </c>
      <c r="O730" s="1" t="s">
        <v>54</v>
      </c>
      <c r="P730" s="1" t="s">
        <v>62</v>
      </c>
      <c r="Q730" s="1" t="s">
        <v>32</v>
      </c>
      <c r="R730" s="1" t="s">
        <v>50</v>
      </c>
      <c r="S730" s="1" t="s">
        <v>139</v>
      </c>
      <c r="T730" s="15" t="s">
        <v>53</v>
      </c>
    </row>
    <row r="731" spans="1:20" x14ac:dyDescent="0.3">
      <c r="A731" s="14">
        <v>730</v>
      </c>
      <c r="B731" s="4">
        <v>44310</v>
      </c>
      <c r="C731" s="1" t="s">
        <v>532</v>
      </c>
      <c r="D731" s="1" t="s">
        <v>82</v>
      </c>
      <c r="E731" s="1" t="s">
        <v>29</v>
      </c>
      <c r="F731" s="2">
        <v>6</v>
      </c>
      <c r="G731" s="5">
        <v>2000</v>
      </c>
      <c r="H731" s="24">
        <f t="shared" si="55"/>
        <v>12000</v>
      </c>
      <c r="I731" s="7">
        <v>0</v>
      </c>
      <c r="J731" s="5">
        <f t="shared" si="56"/>
        <v>0</v>
      </c>
      <c r="K731" s="5">
        <f t="shared" si="57"/>
        <v>12000</v>
      </c>
      <c r="L731" s="5">
        <v>1180</v>
      </c>
      <c r="M731" s="5">
        <f t="shared" si="58"/>
        <v>4920</v>
      </c>
      <c r="N731" s="7">
        <f t="shared" si="59"/>
        <v>0.41</v>
      </c>
      <c r="O731" s="1" t="s">
        <v>22</v>
      </c>
      <c r="P731" s="1" t="s">
        <v>23</v>
      </c>
      <c r="Q731" s="1" t="s">
        <v>24</v>
      </c>
      <c r="R731" s="1" t="s">
        <v>56</v>
      </c>
      <c r="S731" s="1" t="s">
        <v>122</v>
      </c>
      <c r="T731" s="15" t="s">
        <v>61</v>
      </c>
    </row>
    <row r="732" spans="1:20" x14ac:dyDescent="0.3">
      <c r="A732" s="14">
        <v>731</v>
      </c>
      <c r="B732" s="4">
        <v>44421</v>
      </c>
      <c r="C732" s="1" t="s">
        <v>534</v>
      </c>
      <c r="D732" s="1" t="s">
        <v>82</v>
      </c>
      <c r="E732" s="1" t="s">
        <v>29</v>
      </c>
      <c r="F732" s="2">
        <v>12</v>
      </c>
      <c r="G732" s="5">
        <v>2360</v>
      </c>
      <c r="H732" s="24">
        <f t="shared" si="55"/>
        <v>28320</v>
      </c>
      <c r="I732" s="7">
        <v>0</v>
      </c>
      <c r="J732" s="5">
        <f t="shared" si="56"/>
        <v>0</v>
      </c>
      <c r="K732" s="5">
        <f t="shared" si="57"/>
        <v>28320</v>
      </c>
      <c r="L732" s="5">
        <v>1440</v>
      </c>
      <c r="M732" s="5">
        <f t="shared" si="58"/>
        <v>11040</v>
      </c>
      <c r="N732" s="7">
        <f t="shared" si="59"/>
        <v>0.38983050847457629</v>
      </c>
      <c r="O732" s="1" t="s">
        <v>54</v>
      </c>
      <c r="P732" s="1" t="s">
        <v>62</v>
      </c>
      <c r="Q732" s="1" t="s">
        <v>24</v>
      </c>
      <c r="R732" s="1" t="s">
        <v>50</v>
      </c>
      <c r="S732" s="1" t="s">
        <v>143</v>
      </c>
      <c r="T732" s="15" t="s">
        <v>35</v>
      </c>
    </row>
    <row r="733" spans="1:20" x14ac:dyDescent="0.3">
      <c r="A733" s="14">
        <v>732</v>
      </c>
      <c r="B733" s="4">
        <v>44285</v>
      </c>
      <c r="C733" s="1" t="s">
        <v>530</v>
      </c>
      <c r="D733" s="1" t="s">
        <v>28</v>
      </c>
      <c r="E733" s="1" t="s">
        <v>40</v>
      </c>
      <c r="F733" s="2">
        <v>2</v>
      </c>
      <c r="G733" s="5">
        <v>1720</v>
      </c>
      <c r="H733" s="24">
        <f t="shared" si="55"/>
        <v>3440</v>
      </c>
      <c r="I733" s="7">
        <v>0</v>
      </c>
      <c r="J733" s="5">
        <f t="shared" si="56"/>
        <v>0</v>
      </c>
      <c r="K733" s="5">
        <f t="shared" si="57"/>
        <v>3440</v>
      </c>
      <c r="L733" s="5">
        <v>1300</v>
      </c>
      <c r="M733" s="5">
        <f t="shared" si="58"/>
        <v>840</v>
      </c>
      <c r="N733" s="7">
        <f t="shared" si="59"/>
        <v>0.2441860465116279</v>
      </c>
      <c r="O733" s="1" t="s">
        <v>30</v>
      </c>
      <c r="P733" s="1" t="s">
        <v>31</v>
      </c>
      <c r="Q733" s="1" t="s">
        <v>32</v>
      </c>
      <c r="R733" s="1" t="s">
        <v>50</v>
      </c>
      <c r="S733" s="1" t="s">
        <v>225</v>
      </c>
      <c r="T733" s="15" t="s">
        <v>61</v>
      </c>
    </row>
    <row r="734" spans="1:20" x14ac:dyDescent="0.3">
      <c r="A734" s="14">
        <v>733</v>
      </c>
      <c r="B734" s="4">
        <v>44454</v>
      </c>
      <c r="C734" s="1" t="s">
        <v>529</v>
      </c>
      <c r="D734" s="1" t="s">
        <v>82</v>
      </c>
      <c r="E734" s="1" t="s">
        <v>43</v>
      </c>
      <c r="F734" s="2">
        <v>10</v>
      </c>
      <c r="G734" s="5">
        <v>280</v>
      </c>
      <c r="H734" s="24">
        <f t="shared" si="55"/>
        <v>2800</v>
      </c>
      <c r="I734" s="7">
        <v>0</v>
      </c>
      <c r="J734" s="5">
        <f t="shared" si="56"/>
        <v>0</v>
      </c>
      <c r="K734" s="5">
        <f t="shared" si="57"/>
        <v>2800</v>
      </c>
      <c r="L734" s="5">
        <v>180</v>
      </c>
      <c r="M734" s="5">
        <f t="shared" si="58"/>
        <v>1000</v>
      </c>
      <c r="N734" s="7">
        <f t="shared" si="59"/>
        <v>0.35714285714285715</v>
      </c>
      <c r="O734" s="1" t="s">
        <v>59</v>
      </c>
      <c r="P734" s="1" t="s">
        <v>31</v>
      </c>
      <c r="Q734" s="1" t="s">
        <v>37</v>
      </c>
      <c r="R734" s="1" t="s">
        <v>56</v>
      </c>
      <c r="S734" s="1" t="s">
        <v>96</v>
      </c>
      <c r="T734" s="15" t="s">
        <v>27</v>
      </c>
    </row>
    <row r="735" spans="1:20" x14ac:dyDescent="0.3">
      <c r="A735" s="14">
        <v>734</v>
      </c>
      <c r="B735" s="4">
        <v>44471</v>
      </c>
      <c r="C735" s="1" t="s">
        <v>532</v>
      </c>
      <c r="D735" s="1" t="s">
        <v>80</v>
      </c>
      <c r="E735" s="1" t="s">
        <v>21</v>
      </c>
      <c r="F735" s="2">
        <v>6</v>
      </c>
      <c r="G735" s="5">
        <v>230</v>
      </c>
      <c r="H735" s="24">
        <f t="shared" si="55"/>
        <v>1380</v>
      </c>
      <c r="I735" s="7">
        <v>0</v>
      </c>
      <c r="J735" s="5">
        <f t="shared" si="56"/>
        <v>0</v>
      </c>
      <c r="K735" s="5">
        <f t="shared" si="57"/>
        <v>1380</v>
      </c>
      <c r="L735" s="5">
        <v>130</v>
      </c>
      <c r="M735" s="5">
        <f t="shared" si="58"/>
        <v>600</v>
      </c>
      <c r="N735" s="7">
        <f t="shared" si="59"/>
        <v>0.43478260869565216</v>
      </c>
      <c r="O735" s="1" t="s">
        <v>22</v>
      </c>
      <c r="P735" s="1" t="s">
        <v>31</v>
      </c>
      <c r="Q735" s="1" t="s">
        <v>48</v>
      </c>
      <c r="R735" s="1" t="s">
        <v>63</v>
      </c>
      <c r="S735" s="1" t="s">
        <v>312</v>
      </c>
      <c r="T735" s="15" t="s">
        <v>35</v>
      </c>
    </row>
    <row r="736" spans="1:20" x14ac:dyDescent="0.3">
      <c r="A736" s="14">
        <v>735</v>
      </c>
      <c r="B736" s="4">
        <v>44519</v>
      </c>
      <c r="C736" s="1" t="s">
        <v>529</v>
      </c>
      <c r="D736" s="1" t="s">
        <v>20</v>
      </c>
      <c r="E736" s="1" t="s">
        <v>43</v>
      </c>
      <c r="F736" s="2">
        <v>3</v>
      </c>
      <c r="G736" s="5">
        <v>340</v>
      </c>
      <c r="H736" s="24">
        <f t="shared" si="55"/>
        <v>1020</v>
      </c>
      <c r="I736" s="7">
        <v>0</v>
      </c>
      <c r="J736" s="5">
        <f t="shared" si="56"/>
        <v>0</v>
      </c>
      <c r="K736" s="5">
        <f t="shared" si="57"/>
        <v>1020</v>
      </c>
      <c r="L736" s="5">
        <v>200</v>
      </c>
      <c r="M736" s="5">
        <f t="shared" si="58"/>
        <v>420</v>
      </c>
      <c r="N736" s="7">
        <f t="shared" si="59"/>
        <v>0.41176470588235292</v>
      </c>
      <c r="O736" s="1" t="s">
        <v>41</v>
      </c>
      <c r="P736" s="1" t="s">
        <v>31</v>
      </c>
      <c r="Q736" s="1" t="s">
        <v>32</v>
      </c>
      <c r="R736" s="1" t="s">
        <v>33</v>
      </c>
      <c r="S736" s="1" t="s">
        <v>273</v>
      </c>
      <c r="T736" s="15" t="s">
        <v>61</v>
      </c>
    </row>
    <row r="737" spans="1:20" x14ac:dyDescent="0.3">
      <c r="A737" s="14">
        <v>736</v>
      </c>
      <c r="B737" s="4">
        <v>44363</v>
      </c>
      <c r="C737" s="1" t="s">
        <v>530</v>
      </c>
      <c r="D737" s="1" t="s">
        <v>20</v>
      </c>
      <c r="E737" s="1" t="s">
        <v>36</v>
      </c>
      <c r="F737" s="2">
        <v>3</v>
      </c>
      <c r="G737" s="5">
        <v>1210</v>
      </c>
      <c r="H737" s="24">
        <f t="shared" si="55"/>
        <v>3630</v>
      </c>
      <c r="I737" s="7">
        <v>0.15</v>
      </c>
      <c r="J737" s="5">
        <f t="shared" si="56"/>
        <v>544.5</v>
      </c>
      <c r="K737" s="5">
        <f t="shared" si="57"/>
        <v>3085.5</v>
      </c>
      <c r="L737" s="5">
        <v>910</v>
      </c>
      <c r="M737" s="5">
        <f t="shared" si="58"/>
        <v>355.5</v>
      </c>
      <c r="N737" s="7">
        <f t="shared" si="59"/>
        <v>0.11521633446767136</v>
      </c>
      <c r="O737" s="1" t="s">
        <v>41</v>
      </c>
      <c r="P737" s="1" t="s">
        <v>31</v>
      </c>
      <c r="Q737" s="1" t="s">
        <v>24</v>
      </c>
      <c r="R737" s="1" t="s">
        <v>88</v>
      </c>
      <c r="S737" s="1" t="s">
        <v>96</v>
      </c>
      <c r="T737" s="15" t="s">
        <v>53</v>
      </c>
    </row>
    <row r="738" spans="1:20" x14ac:dyDescent="0.3">
      <c r="A738" s="14">
        <v>737</v>
      </c>
      <c r="B738" s="4">
        <v>44377</v>
      </c>
      <c r="C738" s="1" t="s">
        <v>533</v>
      </c>
      <c r="D738" s="1" t="s">
        <v>20</v>
      </c>
      <c r="E738" s="1" t="s">
        <v>45</v>
      </c>
      <c r="F738" s="2">
        <v>5</v>
      </c>
      <c r="G738" s="5">
        <v>210</v>
      </c>
      <c r="H738" s="24">
        <f t="shared" si="55"/>
        <v>1050</v>
      </c>
      <c r="I738" s="7">
        <v>0</v>
      </c>
      <c r="J738" s="5">
        <f t="shared" si="56"/>
        <v>0</v>
      </c>
      <c r="K738" s="5">
        <f t="shared" si="57"/>
        <v>1050</v>
      </c>
      <c r="L738" s="5">
        <v>150</v>
      </c>
      <c r="M738" s="5">
        <f t="shared" si="58"/>
        <v>300</v>
      </c>
      <c r="N738" s="7">
        <f t="shared" si="59"/>
        <v>0.2857142857142857</v>
      </c>
      <c r="O738" s="1" t="s">
        <v>30</v>
      </c>
      <c r="P738" s="1" t="s">
        <v>31</v>
      </c>
      <c r="Q738" s="1" t="s">
        <v>32</v>
      </c>
      <c r="R738" s="1" t="s">
        <v>63</v>
      </c>
      <c r="S738" s="1" t="s">
        <v>412</v>
      </c>
      <c r="T738" s="15" t="s">
        <v>27</v>
      </c>
    </row>
    <row r="739" spans="1:20" x14ac:dyDescent="0.3">
      <c r="A739" s="14">
        <v>738</v>
      </c>
      <c r="B739" s="4">
        <v>44266</v>
      </c>
      <c r="C739" s="1" t="s">
        <v>531</v>
      </c>
      <c r="D739" s="1" t="s">
        <v>82</v>
      </c>
      <c r="E739" s="1" t="s">
        <v>29</v>
      </c>
      <c r="F739" s="2">
        <v>1</v>
      </c>
      <c r="G739" s="5">
        <v>2030</v>
      </c>
      <c r="H739" s="24">
        <f t="shared" si="55"/>
        <v>2030</v>
      </c>
      <c r="I739" s="7">
        <v>0.05</v>
      </c>
      <c r="J739" s="5">
        <f t="shared" si="56"/>
        <v>101.5</v>
      </c>
      <c r="K739" s="5">
        <f t="shared" si="57"/>
        <v>1928.5</v>
      </c>
      <c r="L739" s="5">
        <v>1570</v>
      </c>
      <c r="M739" s="5">
        <f t="shared" si="58"/>
        <v>358.5</v>
      </c>
      <c r="N739" s="7">
        <f t="shared" si="59"/>
        <v>0.18589577391755249</v>
      </c>
      <c r="O739" s="1" t="s">
        <v>54</v>
      </c>
      <c r="P739" s="1" t="s">
        <v>31</v>
      </c>
      <c r="Q739" s="1" t="s">
        <v>37</v>
      </c>
      <c r="R739" s="1" t="s">
        <v>50</v>
      </c>
      <c r="S739" s="1" t="s">
        <v>277</v>
      </c>
      <c r="T739" s="15" t="s">
        <v>61</v>
      </c>
    </row>
    <row r="740" spans="1:20" x14ac:dyDescent="0.3">
      <c r="A740" s="14">
        <v>739</v>
      </c>
      <c r="B740" s="4">
        <v>44555</v>
      </c>
      <c r="C740" s="1" t="s">
        <v>532</v>
      </c>
      <c r="D740" s="1" t="s">
        <v>20</v>
      </c>
      <c r="E740" s="1" t="s">
        <v>40</v>
      </c>
      <c r="F740" s="2">
        <v>1</v>
      </c>
      <c r="G740" s="5">
        <v>1720</v>
      </c>
      <c r="H740" s="24">
        <f t="shared" si="55"/>
        <v>1720</v>
      </c>
      <c r="I740" s="7">
        <v>0</v>
      </c>
      <c r="J740" s="5">
        <f t="shared" si="56"/>
        <v>0</v>
      </c>
      <c r="K740" s="5">
        <f t="shared" si="57"/>
        <v>1720</v>
      </c>
      <c r="L740" s="5">
        <v>1330</v>
      </c>
      <c r="M740" s="5">
        <f t="shared" si="58"/>
        <v>390</v>
      </c>
      <c r="N740" s="7">
        <f t="shared" si="59"/>
        <v>0.22674418604651161</v>
      </c>
      <c r="O740" s="1" t="s">
        <v>30</v>
      </c>
      <c r="P740" s="1" t="s">
        <v>31</v>
      </c>
      <c r="Q740" s="1" t="s">
        <v>48</v>
      </c>
      <c r="R740" s="1" t="s">
        <v>63</v>
      </c>
      <c r="S740" s="1" t="s">
        <v>330</v>
      </c>
      <c r="T740" s="15" t="s">
        <v>61</v>
      </c>
    </row>
    <row r="741" spans="1:20" x14ac:dyDescent="0.3">
      <c r="A741" s="14">
        <v>740</v>
      </c>
      <c r="B741" s="4">
        <v>44288</v>
      </c>
      <c r="C741" s="1" t="s">
        <v>531</v>
      </c>
      <c r="D741" s="1" t="s">
        <v>80</v>
      </c>
      <c r="E741" s="1" t="s">
        <v>21</v>
      </c>
      <c r="F741" s="2">
        <v>10</v>
      </c>
      <c r="G741" s="5">
        <v>230</v>
      </c>
      <c r="H741" s="24">
        <f t="shared" si="55"/>
        <v>2300</v>
      </c>
      <c r="I741" s="7">
        <v>0</v>
      </c>
      <c r="J741" s="5">
        <f t="shared" si="56"/>
        <v>0</v>
      </c>
      <c r="K741" s="5">
        <f t="shared" si="57"/>
        <v>2300</v>
      </c>
      <c r="L741" s="5">
        <v>180</v>
      </c>
      <c r="M741" s="5">
        <f t="shared" si="58"/>
        <v>500</v>
      </c>
      <c r="N741" s="7">
        <f t="shared" si="59"/>
        <v>0.21739130434782608</v>
      </c>
      <c r="O741" s="1" t="s">
        <v>59</v>
      </c>
      <c r="P741" s="1" t="s">
        <v>31</v>
      </c>
      <c r="Q741" s="1" t="s">
        <v>32</v>
      </c>
      <c r="R741" s="1" t="s">
        <v>88</v>
      </c>
      <c r="S741" s="1" t="s">
        <v>126</v>
      </c>
      <c r="T741" s="15" t="s">
        <v>61</v>
      </c>
    </row>
    <row r="742" spans="1:20" x14ac:dyDescent="0.3">
      <c r="A742" s="14">
        <v>741</v>
      </c>
      <c r="B742" s="4">
        <v>44496</v>
      </c>
      <c r="C742" s="1" t="s">
        <v>530</v>
      </c>
      <c r="D742" s="1" t="s">
        <v>20</v>
      </c>
      <c r="E742" s="1" t="s">
        <v>45</v>
      </c>
      <c r="F742" s="2">
        <v>7</v>
      </c>
      <c r="G742" s="5">
        <v>200</v>
      </c>
      <c r="H742" s="24">
        <f t="shared" si="55"/>
        <v>1400</v>
      </c>
      <c r="I742" s="7">
        <v>0.15</v>
      </c>
      <c r="J742" s="5">
        <f t="shared" si="56"/>
        <v>210</v>
      </c>
      <c r="K742" s="5">
        <f t="shared" si="57"/>
        <v>1190</v>
      </c>
      <c r="L742" s="5">
        <v>140</v>
      </c>
      <c r="M742" s="5">
        <f t="shared" si="58"/>
        <v>210</v>
      </c>
      <c r="N742" s="7">
        <f t="shared" si="59"/>
        <v>0.17647058823529413</v>
      </c>
      <c r="O742" s="1" t="s">
        <v>41</v>
      </c>
      <c r="P742" s="1" t="s">
        <v>31</v>
      </c>
      <c r="Q742" s="1" t="s">
        <v>48</v>
      </c>
      <c r="R742" s="1" t="s">
        <v>46</v>
      </c>
      <c r="S742" s="1" t="s">
        <v>118</v>
      </c>
      <c r="T742" s="15" t="s">
        <v>35</v>
      </c>
    </row>
    <row r="743" spans="1:20" x14ac:dyDescent="0.3">
      <c r="A743" s="14">
        <v>742</v>
      </c>
      <c r="B743" s="4">
        <v>44499</v>
      </c>
      <c r="C743" s="1" t="s">
        <v>532</v>
      </c>
      <c r="D743" s="1" t="s">
        <v>80</v>
      </c>
      <c r="E743" s="1" t="s">
        <v>29</v>
      </c>
      <c r="F743" s="2">
        <v>5</v>
      </c>
      <c r="G743" s="5">
        <v>2040</v>
      </c>
      <c r="H743" s="24">
        <f t="shared" si="55"/>
        <v>10200</v>
      </c>
      <c r="I743" s="7">
        <v>0.02</v>
      </c>
      <c r="J743" s="5">
        <f t="shared" si="56"/>
        <v>204</v>
      </c>
      <c r="K743" s="5">
        <f t="shared" si="57"/>
        <v>9996</v>
      </c>
      <c r="L743" s="5">
        <v>1440</v>
      </c>
      <c r="M743" s="5">
        <f t="shared" si="58"/>
        <v>2796</v>
      </c>
      <c r="N743" s="7">
        <f t="shared" si="59"/>
        <v>0.27971188475390157</v>
      </c>
      <c r="O743" s="1" t="s">
        <v>54</v>
      </c>
      <c r="P743" s="1" t="s">
        <v>62</v>
      </c>
      <c r="Q743" s="1" t="s">
        <v>37</v>
      </c>
      <c r="R743" s="1" t="s">
        <v>56</v>
      </c>
      <c r="S743" s="1" t="s">
        <v>413</v>
      </c>
      <c r="T743" s="15" t="s">
        <v>53</v>
      </c>
    </row>
    <row r="744" spans="1:20" x14ac:dyDescent="0.3">
      <c r="A744" s="14">
        <v>743</v>
      </c>
      <c r="B744" s="4">
        <v>44468</v>
      </c>
      <c r="C744" s="1" t="s">
        <v>530</v>
      </c>
      <c r="D744" s="1" t="s">
        <v>28</v>
      </c>
      <c r="E744" s="1" t="s">
        <v>36</v>
      </c>
      <c r="F744" s="2">
        <v>5</v>
      </c>
      <c r="G744" s="5">
        <v>1360</v>
      </c>
      <c r="H744" s="24">
        <f t="shared" si="55"/>
        <v>6800</v>
      </c>
      <c r="I744" s="7">
        <v>0.15</v>
      </c>
      <c r="J744" s="5">
        <f t="shared" si="56"/>
        <v>1020</v>
      </c>
      <c r="K744" s="5">
        <f t="shared" si="57"/>
        <v>5780</v>
      </c>
      <c r="L744" s="5">
        <v>910</v>
      </c>
      <c r="M744" s="5">
        <f t="shared" si="58"/>
        <v>1230</v>
      </c>
      <c r="N744" s="7">
        <f t="shared" si="59"/>
        <v>0.21280276816608998</v>
      </c>
      <c r="O744" s="1" t="s">
        <v>41</v>
      </c>
      <c r="P744" s="1" t="s">
        <v>31</v>
      </c>
      <c r="Q744" s="1" t="s">
        <v>32</v>
      </c>
      <c r="R744" s="1" t="s">
        <v>56</v>
      </c>
      <c r="S744" s="1" t="s">
        <v>414</v>
      </c>
      <c r="T744" s="15" t="s">
        <v>35</v>
      </c>
    </row>
    <row r="745" spans="1:20" x14ac:dyDescent="0.3">
      <c r="A745" s="14">
        <v>744</v>
      </c>
      <c r="B745" s="4">
        <v>44233</v>
      </c>
      <c r="C745" s="1" t="s">
        <v>533</v>
      </c>
      <c r="D745" s="1" t="s">
        <v>20</v>
      </c>
      <c r="E745" s="1" t="s">
        <v>21</v>
      </c>
      <c r="F745" s="2">
        <v>9</v>
      </c>
      <c r="G745" s="5">
        <v>200</v>
      </c>
      <c r="H745" s="24">
        <f t="shared" si="55"/>
        <v>1800</v>
      </c>
      <c r="I745" s="7">
        <v>0.15</v>
      </c>
      <c r="J745" s="5">
        <f t="shared" si="56"/>
        <v>270</v>
      </c>
      <c r="K745" s="5">
        <f t="shared" si="57"/>
        <v>1530</v>
      </c>
      <c r="L745" s="5">
        <v>140</v>
      </c>
      <c r="M745" s="5">
        <f t="shared" si="58"/>
        <v>270</v>
      </c>
      <c r="N745" s="7">
        <f t="shared" si="59"/>
        <v>0.17647058823529413</v>
      </c>
      <c r="O745" s="1" t="s">
        <v>59</v>
      </c>
      <c r="P745" s="1" t="s">
        <v>31</v>
      </c>
      <c r="Q745" s="1" t="s">
        <v>37</v>
      </c>
      <c r="R745" s="1" t="s">
        <v>63</v>
      </c>
      <c r="S745" s="1" t="s">
        <v>84</v>
      </c>
      <c r="T745" s="15" t="s">
        <v>35</v>
      </c>
    </row>
    <row r="746" spans="1:20" x14ac:dyDescent="0.3">
      <c r="A746" s="14">
        <v>745</v>
      </c>
      <c r="B746" s="4">
        <v>44295</v>
      </c>
      <c r="C746" s="1" t="s">
        <v>533</v>
      </c>
      <c r="D746" s="1" t="s">
        <v>80</v>
      </c>
      <c r="E746" s="1" t="s">
        <v>36</v>
      </c>
      <c r="F746" s="2">
        <v>10</v>
      </c>
      <c r="G746" s="5">
        <v>1950</v>
      </c>
      <c r="H746" s="24">
        <f t="shared" si="55"/>
        <v>19500</v>
      </c>
      <c r="I746" s="7">
        <v>0.05</v>
      </c>
      <c r="J746" s="5">
        <f t="shared" si="56"/>
        <v>975</v>
      </c>
      <c r="K746" s="5">
        <f t="shared" si="57"/>
        <v>18525</v>
      </c>
      <c r="L746" s="5">
        <v>1560</v>
      </c>
      <c r="M746" s="5">
        <f t="shared" si="58"/>
        <v>2925</v>
      </c>
      <c r="N746" s="7">
        <f t="shared" si="59"/>
        <v>0.15789473684210525</v>
      </c>
      <c r="O746" s="1" t="s">
        <v>22</v>
      </c>
      <c r="P746" s="1" t="s">
        <v>31</v>
      </c>
      <c r="Q746" s="1" t="s">
        <v>37</v>
      </c>
      <c r="R746" s="1" t="s">
        <v>49</v>
      </c>
      <c r="S746" s="1" t="s">
        <v>415</v>
      </c>
      <c r="T746" s="15" t="s">
        <v>35</v>
      </c>
    </row>
    <row r="747" spans="1:20" x14ac:dyDescent="0.3">
      <c r="A747" s="14">
        <v>746</v>
      </c>
      <c r="B747" s="4">
        <v>44526</v>
      </c>
      <c r="C747" s="1" t="s">
        <v>529</v>
      </c>
      <c r="D747" s="1" t="s">
        <v>80</v>
      </c>
      <c r="E747" s="1" t="s">
        <v>36</v>
      </c>
      <c r="F747" s="2">
        <v>9</v>
      </c>
      <c r="G747" s="5">
        <v>1180</v>
      </c>
      <c r="H747" s="24">
        <f t="shared" si="55"/>
        <v>10620</v>
      </c>
      <c r="I747" s="7">
        <v>0.05</v>
      </c>
      <c r="J747" s="5">
        <f t="shared" si="56"/>
        <v>531</v>
      </c>
      <c r="K747" s="5">
        <f t="shared" si="57"/>
        <v>10089</v>
      </c>
      <c r="L747" s="5">
        <v>890</v>
      </c>
      <c r="M747" s="5">
        <f t="shared" si="58"/>
        <v>2079</v>
      </c>
      <c r="N747" s="7">
        <f t="shared" si="59"/>
        <v>0.20606601248884923</v>
      </c>
      <c r="O747" s="1" t="s">
        <v>22</v>
      </c>
      <c r="P747" s="1" t="s">
        <v>31</v>
      </c>
      <c r="Q747" s="1" t="s">
        <v>24</v>
      </c>
      <c r="R747" s="1" t="s">
        <v>49</v>
      </c>
      <c r="S747" s="1" t="s">
        <v>193</v>
      </c>
      <c r="T747" s="15" t="s">
        <v>27</v>
      </c>
    </row>
    <row r="748" spans="1:20" x14ac:dyDescent="0.3">
      <c r="A748" s="14">
        <v>747</v>
      </c>
      <c r="B748" s="4">
        <v>44558</v>
      </c>
      <c r="C748" s="1" t="s">
        <v>531</v>
      </c>
      <c r="D748" s="1" t="s">
        <v>82</v>
      </c>
      <c r="E748" s="1" t="s">
        <v>29</v>
      </c>
      <c r="F748" s="2">
        <v>8</v>
      </c>
      <c r="G748" s="5">
        <v>2010</v>
      </c>
      <c r="H748" s="24">
        <f t="shared" si="55"/>
        <v>16080</v>
      </c>
      <c r="I748" s="7">
        <v>0</v>
      </c>
      <c r="J748" s="5">
        <f t="shared" si="56"/>
        <v>0</v>
      </c>
      <c r="K748" s="5">
        <f t="shared" si="57"/>
        <v>16080</v>
      </c>
      <c r="L748" s="5">
        <v>1210</v>
      </c>
      <c r="M748" s="5">
        <f t="shared" si="58"/>
        <v>6400</v>
      </c>
      <c r="N748" s="7">
        <f t="shared" si="59"/>
        <v>0.39800995024875624</v>
      </c>
      <c r="O748" s="1" t="s">
        <v>54</v>
      </c>
      <c r="P748" s="1" t="s">
        <v>31</v>
      </c>
      <c r="Q748" s="1" t="s">
        <v>37</v>
      </c>
      <c r="R748" s="1" t="s">
        <v>33</v>
      </c>
      <c r="S748" s="1" t="s">
        <v>273</v>
      </c>
      <c r="T748" s="15" t="s">
        <v>53</v>
      </c>
    </row>
    <row r="749" spans="1:20" x14ac:dyDescent="0.3">
      <c r="A749" s="14">
        <v>748</v>
      </c>
      <c r="B749" s="4">
        <v>44491</v>
      </c>
      <c r="C749" s="1" t="s">
        <v>533</v>
      </c>
      <c r="D749" s="1" t="s">
        <v>20</v>
      </c>
      <c r="E749" s="1" t="s">
        <v>40</v>
      </c>
      <c r="F749" s="2">
        <v>10</v>
      </c>
      <c r="G749" s="5">
        <v>1540</v>
      </c>
      <c r="H749" s="24">
        <f t="shared" si="55"/>
        <v>15400</v>
      </c>
      <c r="I749" s="7">
        <v>0</v>
      </c>
      <c r="J749" s="5">
        <f t="shared" si="56"/>
        <v>0</v>
      </c>
      <c r="K749" s="5">
        <f t="shared" si="57"/>
        <v>15400</v>
      </c>
      <c r="L749" s="5">
        <v>1080</v>
      </c>
      <c r="M749" s="5">
        <f t="shared" si="58"/>
        <v>4600</v>
      </c>
      <c r="N749" s="7">
        <f t="shared" si="59"/>
        <v>0.29870129870129869</v>
      </c>
      <c r="O749" s="1" t="s">
        <v>59</v>
      </c>
      <c r="P749" s="1" t="s">
        <v>31</v>
      </c>
      <c r="Q749" s="1" t="s">
        <v>32</v>
      </c>
      <c r="R749" s="1" t="s">
        <v>46</v>
      </c>
      <c r="S749" s="1" t="s">
        <v>360</v>
      </c>
      <c r="T749" s="15" t="s">
        <v>27</v>
      </c>
    </row>
    <row r="750" spans="1:20" x14ac:dyDescent="0.3">
      <c r="A750" s="14">
        <v>749</v>
      </c>
      <c r="B750" s="4">
        <v>44335</v>
      </c>
      <c r="C750" s="1" t="s">
        <v>531</v>
      </c>
      <c r="D750" s="1" t="s">
        <v>82</v>
      </c>
      <c r="E750" s="1" t="s">
        <v>29</v>
      </c>
      <c r="F750" s="2">
        <v>11</v>
      </c>
      <c r="G750" s="5">
        <v>2270</v>
      </c>
      <c r="H750" s="24">
        <f t="shared" si="55"/>
        <v>24970</v>
      </c>
      <c r="I750" s="7">
        <v>0.1</v>
      </c>
      <c r="J750" s="5">
        <f t="shared" si="56"/>
        <v>2497</v>
      </c>
      <c r="K750" s="5">
        <f t="shared" si="57"/>
        <v>22473</v>
      </c>
      <c r="L750" s="5">
        <v>1580</v>
      </c>
      <c r="M750" s="5">
        <f t="shared" si="58"/>
        <v>5093</v>
      </c>
      <c r="N750" s="7">
        <f t="shared" si="59"/>
        <v>0.22662750856583455</v>
      </c>
      <c r="O750" s="1" t="s">
        <v>41</v>
      </c>
      <c r="P750" s="1" t="s">
        <v>31</v>
      </c>
      <c r="Q750" s="1" t="s">
        <v>24</v>
      </c>
      <c r="R750" s="1" t="s">
        <v>66</v>
      </c>
      <c r="S750" s="1" t="s">
        <v>221</v>
      </c>
      <c r="T750" s="15" t="s">
        <v>53</v>
      </c>
    </row>
    <row r="751" spans="1:20" x14ac:dyDescent="0.3">
      <c r="A751" s="14">
        <v>750</v>
      </c>
      <c r="B751" s="4">
        <v>44455</v>
      </c>
      <c r="C751" s="1" t="s">
        <v>533</v>
      </c>
      <c r="D751" s="1" t="s">
        <v>28</v>
      </c>
      <c r="E751" s="1" t="s">
        <v>40</v>
      </c>
      <c r="F751" s="2">
        <v>12</v>
      </c>
      <c r="G751" s="5">
        <v>1610</v>
      </c>
      <c r="H751" s="24">
        <f t="shared" si="55"/>
        <v>19320</v>
      </c>
      <c r="I751" s="7">
        <v>0.05</v>
      </c>
      <c r="J751" s="5">
        <f t="shared" si="56"/>
        <v>966</v>
      </c>
      <c r="K751" s="5">
        <f t="shared" si="57"/>
        <v>18354</v>
      </c>
      <c r="L751" s="5">
        <v>1170</v>
      </c>
      <c r="M751" s="5">
        <f t="shared" si="58"/>
        <v>4314</v>
      </c>
      <c r="N751" s="7">
        <f t="shared" si="59"/>
        <v>0.23504413206930369</v>
      </c>
      <c r="O751" s="1" t="s">
        <v>59</v>
      </c>
      <c r="P751" s="1" t="s">
        <v>23</v>
      </c>
      <c r="Q751" s="1" t="s">
        <v>24</v>
      </c>
      <c r="R751" s="1" t="s">
        <v>56</v>
      </c>
      <c r="S751" s="1" t="s">
        <v>336</v>
      </c>
      <c r="T751" s="15" t="s">
        <v>61</v>
      </c>
    </row>
    <row r="752" spans="1:20" x14ac:dyDescent="0.3">
      <c r="A752" s="14">
        <v>751</v>
      </c>
      <c r="B752" s="4">
        <v>44522</v>
      </c>
      <c r="C752" s="1" t="s">
        <v>534</v>
      </c>
      <c r="D752" s="1" t="s">
        <v>20</v>
      </c>
      <c r="E752" s="1" t="s">
        <v>21</v>
      </c>
      <c r="F752" s="2">
        <v>1</v>
      </c>
      <c r="G752" s="5">
        <v>210</v>
      </c>
      <c r="H752" s="24">
        <f t="shared" si="55"/>
        <v>210</v>
      </c>
      <c r="I752" s="7">
        <v>0</v>
      </c>
      <c r="J752" s="5">
        <f t="shared" si="56"/>
        <v>0</v>
      </c>
      <c r="K752" s="5">
        <f t="shared" si="57"/>
        <v>210</v>
      </c>
      <c r="L752" s="5">
        <v>160</v>
      </c>
      <c r="M752" s="5">
        <f t="shared" si="58"/>
        <v>50</v>
      </c>
      <c r="N752" s="7">
        <f t="shared" si="59"/>
        <v>0.23809523809523808</v>
      </c>
      <c r="O752" s="1" t="s">
        <v>41</v>
      </c>
      <c r="P752" s="1" t="s">
        <v>31</v>
      </c>
      <c r="Q752" s="1" t="s">
        <v>48</v>
      </c>
      <c r="R752" s="1" t="s">
        <v>25</v>
      </c>
      <c r="S752" s="1" t="s">
        <v>312</v>
      </c>
      <c r="T752" s="15" t="s">
        <v>61</v>
      </c>
    </row>
    <row r="753" spans="1:20" x14ac:dyDescent="0.3">
      <c r="A753" s="14">
        <v>752</v>
      </c>
      <c r="B753" s="4">
        <v>44510</v>
      </c>
      <c r="C753" s="1" t="s">
        <v>533</v>
      </c>
      <c r="D753" s="1" t="s">
        <v>82</v>
      </c>
      <c r="E753" s="1" t="s">
        <v>29</v>
      </c>
      <c r="F753" s="2">
        <v>2</v>
      </c>
      <c r="G753" s="5">
        <v>2290</v>
      </c>
      <c r="H753" s="24">
        <f t="shared" si="55"/>
        <v>4580</v>
      </c>
      <c r="I753" s="7">
        <v>0</v>
      </c>
      <c r="J753" s="5">
        <f t="shared" si="56"/>
        <v>0</v>
      </c>
      <c r="K753" s="5">
        <f t="shared" si="57"/>
        <v>4580</v>
      </c>
      <c r="L753" s="5">
        <v>1470</v>
      </c>
      <c r="M753" s="5">
        <f t="shared" si="58"/>
        <v>1640</v>
      </c>
      <c r="N753" s="7">
        <f t="shared" si="59"/>
        <v>0.35807860262008734</v>
      </c>
      <c r="O753" s="1" t="s">
        <v>22</v>
      </c>
      <c r="P753" s="1" t="s">
        <v>76</v>
      </c>
      <c r="Q753" s="1" t="s">
        <v>32</v>
      </c>
      <c r="R753" s="1" t="s">
        <v>33</v>
      </c>
      <c r="S753" s="1" t="s">
        <v>234</v>
      </c>
      <c r="T753" s="15" t="s">
        <v>61</v>
      </c>
    </row>
    <row r="754" spans="1:20" x14ac:dyDescent="0.3">
      <c r="A754" s="14">
        <v>753</v>
      </c>
      <c r="B754" s="4">
        <v>44358</v>
      </c>
      <c r="C754" s="1" t="s">
        <v>529</v>
      </c>
      <c r="D754" s="1" t="s">
        <v>20</v>
      </c>
      <c r="E754" s="1" t="s">
        <v>40</v>
      </c>
      <c r="F754" s="2">
        <v>12</v>
      </c>
      <c r="G754" s="5">
        <v>1380</v>
      </c>
      <c r="H754" s="24">
        <f t="shared" si="55"/>
        <v>16560</v>
      </c>
      <c r="I754" s="7">
        <v>0</v>
      </c>
      <c r="J754" s="5">
        <f t="shared" si="56"/>
        <v>0</v>
      </c>
      <c r="K754" s="5">
        <f t="shared" si="57"/>
        <v>16560</v>
      </c>
      <c r="L754" s="5">
        <v>1090</v>
      </c>
      <c r="M754" s="5">
        <f t="shared" si="58"/>
        <v>3480</v>
      </c>
      <c r="N754" s="7">
        <f t="shared" si="59"/>
        <v>0.21014492753623187</v>
      </c>
      <c r="O754" s="1" t="s">
        <v>30</v>
      </c>
      <c r="P754" s="1" t="s">
        <v>31</v>
      </c>
      <c r="Q754" s="1" t="s">
        <v>24</v>
      </c>
      <c r="R754" s="1" t="s">
        <v>49</v>
      </c>
      <c r="S754" s="1" t="s">
        <v>361</v>
      </c>
      <c r="T754" s="15" t="s">
        <v>53</v>
      </c>
    </row>
    <row r="755" spans="1:20" x14ac:dyDescent="0.3">
      <c r="A755" s="14">
        <v>754</v>
      </c>
      <c r="B755" s="4">
        <v>44399</v>
      </c>
      <c r="C755" s="1" t="s">
        <v>529</v>
      </c>
      <c r="D755" s="1" t="s">
        <v>28</v>
      </c>
      <c r="E755" s="1" t="s">
        <v>40</v>
      </c>
      <c r="F755" s="2">
        <v>5</v>
      </c>
      <c r="G755" s="5">
        <v>1200</v>
      </c>
      <c r="H755" s="24">
        <f t="shared" si="55"/>
        <v>6000</v>
      </c>
      <c r="I755" s="7">
        <v>0.1</v>
      </c>
      <c r="J755" s="5">
        <f t="shared" si="56"/>
        <v>600</v>
      </c>
      <c r="K755" s="5">
        <f t="shared" si="57"/>
        <v>5400</v>
      </c>
      <c r="L755" s="5">
        <v>750</v>
      </c>
      <c r="M755" s="5">
        <f t="shared" si="58"/>
        <v>1650</v>
      </c>
      <c r="N755" s="7">
        <f t="shared" si="59"/>
        <v>0.30555555555555558</v>
      </c>
      <c r="O755" s="1" t="s">
        <v>41</v>
      </c>
      <c r="P755" s="1" t="s">
        <v>31</v>
      </c>
      <c r="Q755" s="1" t="s">
        <v>37</v>
      </c>
      <c r="R755" s="1" t="s">
        <v>25</v>
      </c>
      <c r="S755" s="1" t="s">
        <v>252</v>
      </c>
      <c r="T755" s="15" t="s">
        <v>27</v>
      </c>
    </row>
    <row r="756" spans="1:20" x14ac:dyDescent="0.3">
      <c r="A756" s="14">
        <v>755</v>
      </c>
      <c r="B756" s="4">
        <v>44242</v>
      </c>
      <c r="C756" s="1" t="s">
        <v>530</v>
      </c>
      <c r="D756" s="1" t="s">
        <v>20</v>
      </c>
      <c r="E756" s="1" t="s">
        <v>29</v>
      </c>
      <c r="F756" s="2">
        <v>10</v>
      </c>
      <c r="G756" s="5">
        <v>2130</v>
      </c>
      <c r="H756" s="24">
        <f t="shared" si="55"/>
        <v>21300</v>
      </c>
      <c r="I756" s="7">
        <v>0.05</v>
      </c>
      <c r="J756" s="5">
        <f t="shared" si="56"/>
        <v>1065</v>
      </c>
      <c r="K756" s="5">
        <f t="shared" si="57"/>
        <v>20235</v>
      </c>
      <c r="L756" s="5">
        <v>1510</v>
      </c>
      <c r="M756" s="5">
        <f t="shared" si="58"/>
        <v>5135</v>
      </c>
      <c r="N756" s="7">
        <f t="shared" si="59"/>
        <v>0.25376822337533977</v>
      </c>
      <c r="O756" s="1" t="s">
        <v>22</v>
      </c>
      <c r="P756" s="1" t="s">
        <v>31</v>
      </c>
      <c r="Q756" s="1" t="s">
        <v>37</v>
      </c>
      <c r="R756" s="1" t="s">
        <v>66</v>
      </c>
      <c r="S756" s="1" t="s">
        <v>199</v>
      </c>
      <c r="T756" s="15" t="s">
        <v>61</v>
      </c>
    </row>
    <row r="757" spans="1:20" x14ac:dyDescent="0.3">
      <c r="A757" s="14">
        <v>756</v>
      </c>
      <c r="B757" s="4">
        <v>44492</v>
      </c>
      <c r="C757" s="1" t="s">
        <v>530</v>
      </c>
      <c r="D757" s="1" t="s">
        <v>20</v>
      </c>
      <c r="E757" s="1" t="s">
        <v>29</v>
      </c>
      <c r="F757" s="2">
        <v>5</v>
      </c>
      <c r="G757" s="5">
        <v>2230</v>
      </c>
      <c r="H757" s="24">
        <f t="shared" si="55"/>
        <v>11150</v>
      </c>
      <c r="I757" s="7">
        <v>0.15</v>
      </c>
      <c r="J757" s="5">
        <f t="shared" si="56"/>
        <v>1672.5</v>
      </c>
      <c r="K757" s="5">
        <f t="shared" si="57"/>
        <v>9477.5</v>
      </c>
      <c r="L757" s="5">
        <v>1660</v>
      </c>
      <c r="M757" s="5">
        <f t="shared" si="58"/>
        <v>1177.5</v>
      </c>
      <c r="N757" s="7">
        <f t="shared" si="59"/>
        <v>0.12424162490108151</v>
      </c>
      <c r="O757" s="1" t="s">
        <v>41</v>
      </c>
      <c r="P757" s="1" t="s">
        <v>31</v>
      </c>
      <c r="Q757" s="1" t="s">
        <v>24</v>
      </c>
      <c r="R757" s="1" t="s">
        <v>66</v>
      </c>
      <c r="S757" s="1" t="s">
        <v>409</v>
      </c>
      <c r="T757" s="15" t="s">
        <v>53</v>
      </c>
    </row>
    <row r="758" spans="1:20" x14ac:dyDescent="0.3">
      <c r="A758" s="14">
        <v>757</v>
      </c>
      <c r="B758" s="4">
        <v>44265</v>
      </c>
      <c r="C758" s="1" t="s">
        <v>533</v>
      </c>
      <c r="D758" s="1" t="s">
        <v>82</v>
      </c>
      <c r="E758" s="1" t="s">
        <v>29</v>
      </c>
      <c r="F758" s="2">
        <v>7</v>
      </c>
      <c r="G758" s="5">
        <v>2160</v>
      </c>
      <c r="H758" s="24">
        <f t="shared" si="55"/>
        <v>15120</v>
      </c>
      <c r="I758" s="7">
        <v>0.15</v>
      </c>
      <c r="J758" s="5">
        <f t="shared" si="56"/>
        <v>2268</v>
      </c>
      <c r="K758" s="5">
        <f t="shared" si="57"/>
        <v>12852</v>
      </c>
      <c r="L758" s="5">
        <v>1630</v>
      </c>
      <c r="M758" s="5">
        <f t="shared" si="58"/>
        <v>1442</v>
      </c>
      <c r="N758" s="7">
        <f t="shared" si="59"/>
        <v>0.11220043572984749</v>
      </c>
      <c r="O758" s="1" t="s">
        <v>59</v>
      </c>
      <c r="P758" s="1" t="s">
        <v>31</v>
      </c>
      <c r="Q758" s="1" t="s">
        <v>24</v>
      </c>
      <c r="R758" s="1" t="s">
        <v>46</v>
      </c>
      <c r="S758" s="1" t="s">
        <v>416</v>
      </c>
      <c r="T758" s="15" t="s">
        <v>61</v>
      </c>
    </row>
    <row r="759" spans="1:20" x14ac:dyDescent="0.3">
      <c r="A759" s="14">
        <v>758</v>
      </c>
      <c r="B759" s="4">
        <v>44238</v>
      </c>
      <c r="C759" s="1" t="s">
        <v>533</v>
      </c>
      <c r="D759" s="1" t="s">
        <v>20</v>
      </c>
      <c r="E759" s="1" t="s">
        <v>29</v>
      </c>
      <c r="F759" s="2">
        <v>8</v>
      </c>
      <c r="G759" s="5">
        <v>2060</v>
      </c>
      <c r="H759" s="24">
        <f t="shared" si="55"/>
        <v>16480</v>
      </c>
      <c r="I759" s="7">
        <v>0.05</v>
      </c>
      <c r="J759" s="5">
        <f t="shared" si="56"/>
        <v>824</v>
      </c>
      <c r="K759" s="5">
        <f t="shared" si="57"/>
        <v>15656</v>
      </c>
      <c r="L759" s="5">
        <v>1440</v>
      </c>
      <c r="M759" s="5">
        <f t="shared" si="58"/>
        <v>4136</v>
      </c>
      <c r="N759" s="7">
        <f t="shared" si="59"/>
        <v>0.2641798671435871</v>
      </c>
      <c r="O759" s="1" t="s">
        <v>41</v>
      </c>
      <c r="P759" s="1" t="s">
        <v>31</v>
      </c>
      <c r="Q759" s="1" t="s">
        <v>24</v>
      </c>
      <c r="R759" s="1" t="s">
        <v>38</v>
      </c>
      <c r="S759" s="1" t="s">
        <v>417</v>
      </c>
      <c r="T759" s="15" t="s">
        <v>27</v>
      </c>
    </row>
    <row r="760" spans="1:20" x14ac:dyDescent="0.3">
      <c r="A760" s="14">
        <v>759</v>
      </c>
      <c r="B760" s="4">
        <v>44465</v>
      </c>
      <c r="C760" s="1" t="s">
        <v>532</v>
      </c>
      <c r="D760" s="1" t="s">
        <v>28</v>
      </c>
      <c r="E760" s="1" t="s">
        <v>29</v>
      </c>
      <c r="F760" s="2">
        <v>10</v>
      </c>
      <c r="G760" s="5">
        <v>2190</v>
      </c>
      <c r="H760" s="24">
        <f t="shared" si="55"/>
        <v>21900</v>
      </c>
      <c r="I760" s="7">
        <v>0</v>
      </c>
      <c r="J760" s="5">
        <f t="shared" si="56"/>
        <v>0</v>
      </c>
      <c r="K760" s="5">
        <f t="shared" si="57"/>
        <v>21900</v>
      </c>
      <c r="L760" s="5">
        <v>1430</v>
      </c>
      <c r="M760" s="5">
        <f t="shared" si="58"/>
        <v>7600</v>
      </c>
      <c r="N760" s="7">
        <f t="shared" si="59"/>
        <v>0.34703196347031962</v>
      </c>
      <c r="O760" s="1" t="s">
        <v>41</v>
      </c>
      <c r="P760" s="1" t="s">
        <v>31</v>
      </c>
      <c r="Q760" s="1" t="s">
        <v>37</v>
      </c>
      <c r="R760" s="1" t="s">
        <v>56</v>
      </c>
      <c r="S760" s="1" t="s">
        <v>320</v>
      </c>
      <c r="T760" s="15" t="s">
        <v>53</v>
      </c>
    </row>
    <row r="761" spans="1:20" x14ac:dyDescent="0.3">
      <c r="A761" s="14">
        <v>760</v>
      </c>
      <c r="B761" s="4">
        <v>44515</v>
      </c>
      <c r="C761" s="1" t="s">
        <v>533</v>
      </c>
      <c r="D761" s="1" t="s">
        <v>20</v>
      </c>
      <c r="E761" s="1" t="s">
        <v>21</v>
      </c>
      <c r="F761" s="2">
        <v>12</v>
      </c>
      <c r="G761" s="5">
        <v>210</v>
      </c>
      <c r="H761" s="24">
        <f t="shared" si="55"/>
        <v>2520</v>
      </c>
      <c r="I761" s="7">
        <v>0</v>
      </c>
      <c r="J761" s="5">
        <f t="shared" si="56"/>
        <v>0</v>
      </c>
      <c r="K761" s="5">
        <f t="shared" si="57"/>
        <v>2520</v>
      </c>
      <c r="L761" s="5">
        <v>130</v>
      </c>
      <c r="M761" s="5">
        <f t="shared" si="58"/>
        <v>960</v>
      </c>
      <c r="N761" s="7">
        <f t="shared" si="59"/>
        <v>0.38095238095238093</v>
      </c>
      <c r="O761" s="1" t="s">
        <v>41</v>
      </c>
      <c r="P761" s="1" t="s">
        <v>76</v>
      </c>
      <c r="Q761" s="1" t="s">
        <v>32</v>
      </c>
      <c r="R761" s="1" t="s">
        <v>66</v>
      </c>
      <c r="S761" s="1" t="s">
        <v>408</v>
      </c>
      <c r="T761" s="15" t="s">
        <v>53</v>
      </c>
    </row>
    <row r="762" spans="1:20" x14ac:dyDescent="0.3">
      <c r="A762" s="14">
        <v>761</v>
      </c>
      <c r="B762" s="4">
        <v>44510</v>
      </c>
      <c r="C762" s="1" t="s">
        <v>529</v>
      </c>
      <c r="D762" s="1" t="s">
        <v>20</v>
      </c>
      <c r="E762" s="1" t="s">
        <v>21</v>
      </c>
      <c r="F762" s="2">
        <v>11</v>
      </c>
      <c r="G762" s="5">
        <v>230</v>
      </c>
      <c r="H762" s="24">
        <f t="shared" si="55"/>
        <v>2530</v>
      </c>
      <c r="I762" s="7">
        <v>0</v>
      </c>
      <c r="J762" s="5">
        <f t="shared" si="56"/>
        <v>0</v>
      </c>
      <c r="K762" s="5">
        <f t="shared" si="57"/>
        <v>2530</v>
      </c>
      <c r="L762" s="5">
        <v>150</v>
      </c>
      <c r="M762" s="5">
        <f t="shared" si="58"/>
        <v>880</v>
      </c>
      <c r="N762" s="7">
        <f t="shared" si="59"/>
        <v>0.34782608695652173</v>
      </c>
      <c r="O762" s="1" t="s">
        <v>22</v>
      </c>
      <c r="P762" s="1" t="s">
        <v>31</v>
      </c>
      <c r="Q762" s="1" t="s">
        <v>24</v>
      </c>
      <c r="R762" s="1" t="s">
        <v>46</v>
      </c>
      <c r="S762" s="1" t="s">
        <v>192</v>
      </c>
      <c r="T762" s="15" t="s">
        <v>35</v>
      </c>
    </row>
    <row r="763" spans="1:20" x14ac:dyDescent="0.3">
      <c r="A763" s="14">
        <v>762</v>
      </c>
      <c r="B763" s="4">
        <v>44385</v>
      </c>
      <c r="C763" s="1" t="s">
        <v>533</v>
      </c>
      <c r="D763" s="1" t="s">
        <v>80</v>
      </c>
      <c r="E763" s="1" t="s">
        <v>29</v>
      </c>
      <c r="F763" s="2">
        <v>8</v>
      </c>
      <c r="G763" s="5">
        <v>2350</v>
      </c>
      <c r="H763" s="24">
        <f t="shared" si="55"/>
        <v>18800</v>
      </c>
      <c r="I763" s="7">
        <v>0</v>
      </c>
      <c r="J763" s="5">
        <f t="shared" si="56"/>
        <v>0</v>
      </c>
      <c r="K763" s="5">
        <f t="shared" si="57"/>
        <v>18800</v>
      </c>
      <c r="L763" s="5">
        <v>1560</v>
      </c>
      <c r="M763" s="5">
        <f t="shared" si="58"/>
        <v>6320</v>
      </c>
      <c r="N763" s="7">
        <f t="shared" si="59"/>
        <v>0.33617021276595743</v>
      </c>
      <c r="O763" s="1" t="s">
        <v>22</v>
      </c>
      <c r="P763" s="1" t="s">
        <v>76</v>
      </c>
      <c r="Q763" s="1" t="s">
        <v>32</v>
      </c>
      <c r="R763" s="1" t="s">
        <v>66</v>
      </c>
      <c r="S763" s="1" t="s">
        <v>327</v>
      </c>
      <c r="T763" s="15" t="s">
        <v>27</v>
      </c>
    </row>
    <row r="764" spans="1:20" x14ac:dyDescent="0.3">
      <c r="A764" s="14">
        <v>763</v>
      </c>
      <c r="B764" s="4">
        <v>44532</v>
      </c>
      <c r="C764" s="1" t="s">
        <v>532</v>
      </c>
      <c r="D764" s="1" t="s">
        <v>20</v>
      </c>
      <c r="E764" s="1" t="s">
        <v>21</v>
      </c>
      <c r="F764" s="2">
        <v>12</v>
      </c>
      <c r="G764" s="5">
        <v>210</v>
      </c>
      <c r="H764" s="24">
        <f t="shared" si="55"/>
        <v>2520</v>
      </c>
      <c r="I764" s="7">
        <v>0.02</v>
      </c>
      <c r="J764" s="5">
        <f t="shared" si="56"/>
        <v>50.4</v>
      </c>
      <c r="K764" s="5">
        <f t="shared" si="57"/>
        <v>2469.6</v>
      </c>
      <c r="L764" s="5">
        <v>160</v>
      </c>
      <c r="M764" s="5">
        <f t="shared" si="58"/>
        <v>549.59999999999991</v>
      </c>
      <c r="N764" s="7">
        <f t="shared" si="59"/>
        <v>0.22254616132167149</v>
      </c>
      <c r="O764" s="1" t="s">
        <v>59</v>
      </c>
      <c r="P764" s="1" t="s">
        <v>31</v>
      </c>
      <c r="Q764" s="1" t="s">
        <v>32</v>
      </c>
      <c r="R764" s="1" t="s">
        <v>25</v>
      </c>
      <c r="S764" s="1" t="s">
        <v>418</v>
      </c>
      <c r="T764" s="15" t="s">
        <v>35</v>
      </c>
    </row>
    <row r="765" spans="1:20" x14ac:dyDescent="0.3">
      <c r="A765" s="14">
        <v>764</v>
      </c>
      <c r="B765" s="4">
        <v>44474</v>
      </c>
      <c r="C765" s="1" t="s">
        <v>533</v>
      </c>
      <c r="D765" s="1" t="s">
        <v>82</v>
      </c>
      <c r="E765" s="1" t="s">
        <v>21</v>
      </c>
      <c r="F765" s="2">
        <v>4</v>
      </c>
      <c r="G765" s="5">
        <v>200</v>
      </c>
      <c r="H765" s="24">
        <f t="shared" si="55"/>
        <v>800</v>
      </c>
      <c r="I765" s="7">
        <v>0.05</v>
      </c>
      <c r="J765" s="5">
        <f t="shared" si="56"/>
        <v>40</v>
      </c>
      <c r="K765" s="5">
        <f t="shared" si="57"/>
        <v>760</v>
      </c>
      <c r="L765" s="5">
        <v>140</v>
      </c>
      <c r="M765" s="5">
        <f t="shared" si="58"/>
        <v>200</v>
      </c>
      <c r="N765" s="7">
        <f t="shared" si="59"/>
        <v>0.26315789473684209</v>
      </c>
      <c r="O765" s="1" t="s">
        <v>30</v>
      </c>
      <c r="P765" s="1" t="s">
        <v>31</v>
      </c>
      <c r="Q765" s="1" t="s">
        <v>48</v>
      </c>
      <c r="R765" s="1" t="s">
        <v>56</v>
      </c>
      <c r="S765" s="1" t="s">
        <v>419</v>
      </c>
      <c r="T765" s="15" t="s">
        <v>61</v>
      </c>
    </row>
    <row r="766" spans="1:20" x14ac:dyDescent="0.3">
      <c r="A766" s="14">
        <v>765</v>
      </c>
      <c r="B766" s="4">
        <v>44404</v>
      </c>
      <c r="C766" s="1" t="s">
        <v>532</v>
      </c>
      <c r="D766" s="1" t="s">
        <v>20</v>
      </c>
      <c r="E766" s="1" t="s">
        <v>43</v>
      </c>
      <c r="F766" s="2">
        <v>12</v>
      </c>
      <c r="G766" s="5">
        <v>330</v>
      </c>
      <c r="H766" s="24">
        <f t="shared" si="55"/>
        <v>3960</v>
      </c>
      <c r="I766" s="7">
        <v>0.02</v>
      </c>
      <c r="J766" s="5">
        <f t="shared" si="56"/>
        <v>79.2</v>
      </c>
      <c r="K766" s="5">
        <f t="shared" si="57"/>
        <v>3880.8</v>
      </c>
      <c r="L766" s="5">
        <v>210</v>
      </c>
      <c r="M766" s="5">
        <f t="shared" si="58"/>
        <v>1360.8000000000002</v>
      </c>
      <c r="N766" s="7">
        <f t="shared" si="59"/>
        <v>0.35064935064935066</v>
      </c>
      <c r="O766" s="1" t="s">
        <v>30</v>
      </c>
      <c r="P766" s="1" t="s">
        <v>31</v>
      </c>
      <c r="Q766" s="1" t="s">
        <v>24</v>
      </c>
      <c r="R766" s="1" t="s">
        <v>25</v>
      </c>
      <c r="S766" s="1" t="s">
        <v>303</v>
      </c>
      <c r="T766" s="15" t="s">
        <v>27</v>
      </c>
    </row>
    <row r="767" spans="1:20" x14ac:dyDescent="0.3">
      <c r="A767" s="14">
        <v>766</v>
      </c>
      <c r="B767" s="4">
        <v>44521</v>
      </c>
      <c r="C767" s="1" t="s">
        <v>533</v>
      </c>
      <c r="D767" s="1" t="s">
        <v>80</v>
      </c>
      <c r="E767" s="1" t="s">
        <v>29</v>
      </c>
      <c r="F767" s="2">
        <v>1</v>
      </c>
      <c r="G767" s="5">
        <v>2290</v>
      </c>
      <c r="H767" s="24">
        <f t="shared" si="55"/>
        <v>2290</v>
      </c>
      <c r="I767" s="7">
        <v>0.15</v>
      </c>
      <c r="J767" s="5">
        <f t="shared" si="56"/>
        <v>343.5</v>
      </c>
      <c r="K767" s="5">
        <f t="shared" si="57"/>
        <v>1946.5</v>
      </c>
      <c r="L767" s="5">
        <v>1560</v>
      </c>
      <c r="M767" s="5">
        <f t="shared" si="58"/>
        <v>386.5</v>
      </c>
      <c r="N767" s="7">
        <f t="shared" si="59"/>
        <v>0.19856152067814026</v>
      </c>
      <c r="O767" s="1" t="s">
        <v>41</v>
      </c>
      <c r="P767" s="1" t="s">
        <v>31</v>
      </c>
      <c r="Q767" s="1" t="s">
        <v>32</v>
      </c>
      <c r="R767" s="1" t="s">
        <v>63</v>
      </c>
      <c r="S767" s="1" t="s">
        <v>227</v>
      </c>
      <c r="T767" s="15" t="s">
        <v>53</v>
      </c>
    </row>
    <row r="768" spans="1:20" x14ac:dyDescent="0.3">
      <c r="A768" s="14">
        <v>767</v>
      </c>
      <c r="B768" s="4">
        <v>44352</v>
      </c>
      <c r="C768" s="1" t="s">
        <v>533</v>
      </c>
      <c r="D768" s="1" t="s">
        <v>20</v>
      </c>
      <c r="E768" s="1" t="s">
        <v>43</v>
      </c>
      <c r="F768" s="2">
        <v>10</v>
      </c>
      <c r="G768" s="5">
        <v>330</v>
      </c>
      <c r="H768" s="24">
        <f t="shared" si="55"/>
        <v>3300</v>
      </c>
      <c r="I768" s="7">
        <v>0.05</v>
      </c>
      <c r="J768" s="5">
        <f t="shared" si="56"/>
        <v>165</v>
      </c>
      <c r="K768" s="5">
        <f t="shared" si="57"/>
        <v>3135</v>
      </c>
      <c r="L768" s="5">
        <v>260</v>
      </c>
      <c r="M768" s="5">
        <f t="shared" si="58"/>
        <v>535</v>
      </c>
      <c r="N768" s="7">
        <f t="shared" si="59"/>
        <v>0.17065390749601275</v>
      </c>
      <c r="O768" s="1" t="s">
        <v>22</v>
      </c>
      <c r="P768" s="1" t="s">
        <v>31</v>
      </c>
      <c r="Q768" s="1" t="s">
        <v>24</v>
      </c>
      <c r="R768" s="1" t="s">
        <v>33</v>
      </c>
      <c r="S768" s="1" t="s">
        <v>420</v>
      </c>
      <c r="T768" s="15" t="s">
        <v>61</v>
      </c>
    </row>
    <row r="769" spans="1:20" x14ac:dyDescent="0.3">
      <c r="A769" s="14">
        <v>768</v>
      </c>
      <c r="B769" s="4">
        <v>44231</v>
      </c>
      <c r="C769" s="1" t="s">
        <v>531</v>
      </c>
      <c r="D769" s="1" t="s">
        <v>28</v>
      </c>
      <c r="E769" s="1" t="s">
        <v>36</v>
      </c>
      <c r="F769" s="2">
        <v>11</v>
      </c>
      <c r="G769" s="5">
        <v>1270</v>
      </c>
      <c r="H769" s="24">
        <f t="shared" si="55"/>
        <v>13970</v>
      </c>
      <c r="I769" s="7">
        <v>0</v>
      </c>
      <c r="J769" s="5">
        <f t="shared" si="56"/>
        <v>0</v>
      </c>
      <c r="K769" s="5">
        <f t="shared" si="57"/>
        <v>13970</v>
      </c>
      <c r="L769" s="5">
        <v>1010</v>
      </c>
      <c r="M769" s="5">
        <f t="shared" si="58"/>
        <v>2860</v>
      </c>
      <c r="N769" s="7">
        <f t="shared" si="59"/>
        <v>0.20472440944881889</v>
      </c>
      <c r="O769" s="1" t="s">
        <v>22</v>
      </c>
      <c r="P769" s="1" t="s">
        <v>76</v>
      </c>
      <c r="Q769" s="1" t="s">
        <v>48</v>
      </c>
      <c r="R769" s="1" t="s">
        <v>33</v>
      </c>
      <c r="S769" s="1" t="s">
        <v>421</v>
      </c>
      <c r="T769" s="15" t="s">
        <v>35</v>
      </c>
    </row>
    <row r="770" spans="1:20" x14ac:dyDescent="0.3">
      <c r="A770" s="14">
        <v>769</v>
      </c>
      <c r="B770" s="4">
        <v>44427</v>
      </c>
      <c r="C770" s="1" t="s">
        <v>533</v>
      </c>
      <c r="D770" s="1" t="s">
        <v>20</v>
      </c>
      <c r="E770" s="1" t="s">
        <v>36</v>
      </c>
      <c r="F770" s="2">
        <v>12</v>
      </c>
      <c r="G770" s="5">
        <v>1320</v>
      </c>
      <c r="H770" s="24">
        <f t="shared" ref="H770:H833" si="60">F770*G770</f>
        <v>15840</v>
      </c>
      <c r="I770" s="7">
        <v>0.05</v>
      </c>
      <c r="J770" s="5">
        <f t="shared" ref="J770:J833" si="61">H770*I770</f>
        <v>792</v>
      </c>
      <c r="K770" s="5">
        <f t="shared" ref="K770:K833" si="62">H770-J770</f>
        <v>15048</v>
      </c>
      <c r="L770" s="5">
        <v>1010</v>
      </c>
      <c r="M770" s="5">
        <f t="shared" ref="M770:M833" si="63">K770-(F770*L770)</f>
        <v>2928</v>
      </c>
      <c r="N770" s="7">
        <f t="shared" ref="N770:N833" si="64">IFERROR(M770/K770,0)</f>
        <v>0.19457735247208932</v>
      </c>
      <c r="O770" s="1" t="s">
        <v>30</v>
      </c>
      <c r="P770" s="1" t="s">
        <v>31</v>
      </c>
      <c r="Q770" s="1" t="s">
        <v>32</v>
      </c>
      <c r="R770" s="1" t="s">
        <v>38</v>
      </c>
      <c r="S770" s="1" t="s">
        <v>173</v>
      </c>
      <c r="T770" s="15" t="s">
        <v>27</v>
      </c>
    </row>
    <row r="771" spans="1:20" x14ac:dyDescent="0.3">
      <c r="A771" s="14">
        <v>770</v>
      </c>
      <c r="B771" s="4">
        <v>44466</v>
      </c>
      <c r="C771" s="1" t="s">
        <v>530</v>
      </c>
      <c r="D771" s="1" t="s">
        <v>20</v>
      </c>
      <c r="E771" s="1" t="s">
        <v>29</v>
      </c>
      <c r="F771" s="2">
        <v>9</v>
      </c>
      <c r="G771" s="5">
        <v>2060</v>
      </c>
      <c r="H771" s="24">
        <f t="shared" si="60"/>
        <v>18540</v>
      </c>
      <c r="I771" s="7">
        <v>0</v>
      </c>
      <c r="J771" s="5">
        <f t="shared" si="61"/>
        <v>0</v>
      </c>
      <c r="K771" s="5">
        <f t="shared" si="62"/>
        <v>18540</v>
      </c>
      <c r="L771" s="5">
        <v>1590</v>
      </c>
      <c r="M771" s="5">
        <f t="shared" si="63"/>
        <v>4230</v>
      </c>
      <c r="N771" s="7">
        <f t="shared" si="64"/>
        <v>0.22815533980582525</v>
      </c>
      <c r="O771" s="1" t="s">
        <v>59</v>
      </c>
      <c r="P771" s="1" t="s">
        <v>31</v>
      </c>
      <c r="Q771" s="1" t="s">
        <v>37</v>
      </c>
      <c r="R771" s="1" t="s">
        <v>50</v>
      </c>
      <c r="S771" s="1" t="s">
        <v>389</v>
      </c>
      <c r="T771" s="15" t="s">
        <v>61</v>
      </c>
    </row>
    <row r="772" spans="1:20" x14ac:dyDescent="0.3">
      <c r="A772" s="14">
        <v>771</v>
      </c>
      <c r="B772" s="4">
        <v>44320</v>
      </c>
      <c r="C772" s="1" t="s">
        <v>533</v>
      </c>
      <c r="D772" s="1" t="s">
        <v>28</v>
      </c>
      <c r="E772" s="1" t="s">
        <v>43</v>
      </c>
      <c r="F772" s="2">
        <v>12</v>
      </c>
      <c r="G772" s="5">
        <v>340</v>
      </c>
      <c r="H772" s="24">
        <f t="shared" si="60"/>
        <v>4080</v>
      </c>
      <c r="I772" s="7">
        <v>0</v>
      </c>
      <c r="J772" s="5">
        <f t="shared" si="61"/>
        <v>0</v>
      </c>
      <c r="K772" s="5">
        <f t="shared" si="62"/>
        <v>4080</v>
      </c>
      <c r="L772" s="5">
        <v>250</v>
      </c>
      <c r="M772" s="5">
        <f t="shared" si="63"/>
        <v>1080</v>
      </c>
      <c r="N772" s="7">
        <f t="shared" si="64"/>
        <v>0.26470588235294118</v>
      </c>
      <c r="O772" s="1" t="s">
        <v>30</v>
      </c>
      <c r="P772" s="1" t="s">
        <v>31</v>
      </c>
      <c r="Q772" s="1" t="s">
        <v>32</v>
      </c>
      <c r="R772" s="1" t="s">
        <v>38</v>
      </c>
      <c r="S772" s="1" t="s">
        <v>155</v>
      </c>
      <c r="T772" s="15" t="s">
        <v>61</v>
      </c>
    </row>
    <row r="773" spans="1:20" x14ac:dyDescent="0.3">
      <c r="A773" s="14">
        <v>772</v>
      </c>
      <c r="B773" s="4">
        <v>44353</v>
      </c>
      <c r="C773" s="1" t="s">
        <v>533</v>
      </c>
      <c r="D773" s="1" t="s">
        <v>20</v>
      </c>
      <c r="E773" s="1" t="s">
        <v>29</v>
      </c>
      <c r="F773" s="2">
        <v>10</v>
      </c>
      <c r="G773" s="5">
        <v>2120</v>
      </c>
      <c r="H773" s="24">
        <f t="shared" si="60"/>
        <v>21200</v>
      </c>
      <c r="I773" s="7">
        <v>0.02</v>
      </c>
      <c r="J773" s="5">
        <f t="shared" si="61"/>
        <v>424</v>
      </c>
      <c r="K773" s="5">
        <f t="shared" si="62"/>
        <v>20776</v>
      </c>
      <c r="L773" s="5">
        <v>1360</v>
      </c>
      <c r="M773" s="5">
        <f t="shared" si="63"/>
        <v>7176</v>
      </c>
      <c r="N773" s="7">
        <f t="shared" si="64"/>
        <v>0.34539853677319987</v>
      </c>
      <c r="O773" s="1" t="s">
        <v>30</v>
      </c>
      <c r="P773" s="1" t="s">
        <v>31</v>
      </c>
      <c r="Q773" s="1" t="s">
        <v>24</v>
      </c>
      <c r="R773" s="1" t="s">
        <v>56</v>
      </c>
      <c r="S773" s="1" t="s">
        <v>143</v>
      </c>
      <c r="T773" s="15" t="s">
        <v>27</v>
      </c>
    </row>
    <row r="774" spans="1:20" x14ac:dyDescent="0.3">
      <c r="A774" s="14">
        <v>773</v>
      </c>
      <c r="B774" s="4">
        <v>44502</v>
      </c>
      <c r="C774" s="1" t="s">
        <v>533</v>
      </c>
      <c r="D774" s="1" t="s">
        <v>20</v>
      </c>
      <c r="E774" s="1" t="s">
        <v>36</v>
      </c>
      <c r="F774" s="2">
        <v>1</v>
      </c>
      <c r="G774" s="5">
        <v>1300</v>
      </c>
      <c r="H774" s="24">
        <f t="shared" si="60"/>
        <v>1300</v>
      </c>
      <c r="I774" s="7">
        <v>0.1</v>
      </c>
      <c r="J774" s="5">
        <f t="shared" si="61"/>
        <v>130</v>
      </c>
      <c r="K774" s="5">
        <f t="shared" si="62"/>
        <v>1170</v>
      </c>
      <c r="L774" s="5">
        <v>870</v>
      </c>
      <c r="M774" s="5">
        <f t="shared" si="63"/>
        <v>300</v>
      </c>
      <c r="N774" s="7">
        <f t="shared" si="64"/>
        <v>0.25641025641025639</v>
      </c>
      <c r="O774" s="1" t="s">
        <v>22</v>
      </c>
      <c r="P774" s="1" t="s">
        <v>31</v>
      </c>
      <c r="Q774" s="1" t="s">
        <v>48</v>
      </c>
      <c r="R774" s="1" t="s">
        <v>33</v>
      </c>
      <c r="S774" s="1" t="s">
        <v>346</v>
      </c>
      <c r="T774" s="15" t="s">
        <v>61</v>
      </c>
    </row>
    <row r="775" spans="1:20" x14ac:dyDescent="0.3">
      <c r="A775" s="14">
        <v>774</v>
      </c>
      <c r="B775" s="4">
        <v>44405</v>
      </c>
      <c r="C775" s="1" t="s">
        <v>529</v>
      </c>
      <c r="D775" s="1" t="s">
        <v>28</v>
      </c>
      <c r="E775" s="1" t="s">
        <v>45</v>
      </c>
      <c r="F775" s="2">
        <v>9</v>
      </c>
      <c r="G775" s="5">
        <v>220</v>
      </c>
      <c r="H775" s="24">
        <f t="shared" si="60"/>
        <v>1980</v>
      </c>
      <c r="I775" s="7">
        <v>0.05</v>
      </c>
      <c r="J775" s="5">
        <f t="shared" si="61"/>
        <v>99</v>
      </c>
      <c r="K775" s="5">
        <f t="shared" si="62"/>
        <v>1881</v>
      </c>
      <c r="L775" s="5">
        <v>140</v>
      </c>
      <c r="M775" s="5">
        <f t="shared" si="63"/>
        <v>621</v>
      </c>
      <c r="N775" s="7">
        <f t="shared" si="64"/>
        <v>0.33014354066985646</v>
      </c>
      <c r="O775" s="1" t="s">
        <v>30</v>
      </c>
      <c r="P775" s="1" t="s">
        <v>31</v>
      </c>
      <c r="Q775" s="1" t="s">
        <v>24</v>
      </c>
      <c r="R775" s="1" t="s">
        <v>50</v>
      </c>
      <c r="S775" s="1" t="s">
        <v>185</v>
      </c>
      <c r="T775" s="15" t="s">
        <v>53</v>
      </c>
    </row>
    <row r="776" spans="1:20" x14ac:dyDescent="0.3">
      <c r="A776" s="14">
        <v>775</v>
      </c>
      <c r="B776" s="4">
        <v>44388</v>
      </c>
      <c r="C776" s="1" t="s">
        <v>530</v>
      </c>
      <c r="D776" s="1" t="s">
        <v>82</v>
      </c>
      <c r="E776" s="1" t="s">
        <v>40</v>
      </c>
      <c r="F776" s="2">
        <v>8</v>
      </c>
      <c r="G776" s="5">
        <v>1190</v>
      </c>
      <c r="H776" s="24">
        <f t="shared" si="60"/>
        <v>9520</v>
      </c>
      <c r="I776" s="7">
        <v>0.15</v>
      </c>
      <c r="J776" s="5">
        <f t="shared" si="61"/>
        <v>1428</v>
      </c>
      <c r="K776" s="5">
        <f t="shared" si="62"/>
        <v>8092</v>
      </c>
      <c r="L776" s="5">
        <v>800</v>
      </c>
      <c r="M776" s="5">
        <f t="shared" si="63"/>
        <v>1692</v>
      </c>
      <c r="N776" s="7">
        <f t="shared" si="64"/>
        <v>0.20909540286702916</v>
      </c>
      <c r="O776" s="1" t="s">
        <v>30</v>
      </c>
      <c r="P776" s="1" t="s">
        <v>31</v>
      </c>
      <c r="Q776" s="1" t="s">
        <v>48</v>
      </c>
      <c r="R776" s="1" t="s">
        <v>88</v>
      </c>
      <c r="S776" s="1" t="s">
        <v>258</v>
      </c>
      <c r="T776" s="15" t="s">
        <v>61</v>
      </c>
    </row>
    <row r="777" spans="1:20" x14ac:dyDescent="0.3">
      <c r="A777" s="14">
        <v>776</v>
      </c>
      <c r="B777" s="4">
        <v>44439</v>
      </c>
      <c r="C777" s="1" t="s">
        <v>533</v>
      </c>
      <c r="D777" s="1" t="s">
        <v>28</v>
      </c>
      <c r="E777" s="1" t="s">
        <v>21</v>
      </c>
      <c r="F777" s="2">
        <v>8</v>
      </c>
      <c r="G777" s="5">
        <v>240</v>
      </c>
      <c r="H777" s="24">
        <f t="shared" si="60"/>
        <v>1920</v>
      </c>
      <c r="I777" s="7">
        <v>0</v>
      </c>
      <c r="J777" s="5">
        <f t="shared" si="61"/>
        <v>0</v>
      </c>
      <c r="K777" s="5">
        <f t="shared" si="62"/>
        <v>1920</v>
      </c>
      <c r="L777" s="5">
        <v>150</v>
      </c>
      <c r="M777" s="5">
        <f t="shared" si="63"/>
        <v>720</v>
      </c>
      <c r="N777" s="7">
        <f t="shared" si="64"/>
        <v>0.375</v>
      </c>
      <c r="O777" s="1" t="s">
        <v>41</v>
      </c>
      <c r="P777" s="1" t="s">
        <v>31</v>
      </c>
      <c r="Q777" s="1" t="s">
        <v>32</v>
      </c>
      <c r="R777" s="1" t="s">
        <v>25</v>
      </c>
      <c r="S777" s="1" t="s">
        <v>120</v>
      </c>
      <c r="T777" s="15" t="s">
        <v>35</v>
      </c>
    </row>
    <row r="778" spans="1:20" x14ac:dyDescent="0.3">
      <c r="A778" s="14">
        <v>777</v>
      </c>
      <c r="B778" s="4">
        <v>44227</v>
      </c>
      <c r="C778" s="1" t="s">
        <v>529</v>
      </c>
      <c r="D778" s="1" t="s">
        <v>80</v>
      </c>
      <c r="E778" s="1" t="s">
        <v>43</v>
      </c>
      <c r="F778" s="2">
        <v>9</v>
      </c>
      <c r="G778" s="5">
        <v>310</v>
      </c>
      <c r="H778" s="24">
        <f t="shared" si="60"/>
        <v>2790</v>
      </c>
      <c r="I778" s="7">
        <v>0.1</v>
      </c>
      <c r="J778" s="5">
        <f t="shared" si="61"/>
        <v>279</v>
      </c>
      <c r="K778" s="5">
        <f t="shared" si="62"/>
        <v>2511</v>
      </c>
      <c r="L778" s="5">
        <v>190</v>
      </c>
      <c r="M778" s="5">
        <f t="shared" si="63"/>
        <v>801</v>
      </c>
      <c r="N778" s="7">
        <f t="shared" si="64"/>
        <v>0.31899641577060933</v>
      </c>
      <c r="O778" s="1" t="s">
        <v>54</v>
      </c>
      <c r="P778" s="1" t="s">
        <v>31</v>
      </c>
      <c r="Q778" s="1" t="s">
        <v>48</v>
      </c>
      <c r="R778" s="1" t="s">
        <v>33</v>
      </c>
      <c r="S778" s="1" t="s">
        <v>422</v>
      </c>
      <c r="T778" s="15" t="s">
        <v>35</v>
      </c>
    </row>
    <row r="779" spans="1:20" x14ac:dyDescent="0.3">
      <c r="A779" s="14">
        <v>778</v>
      </c>
      <c r="B779" s="4">
        <v>44387</v>
      </c>
      <c r="C779" s="1" t="s">
        <v>533</v>
      </c>
      <c r="D779" s="1" t="s">
        <v>80</v>
      </c>
      <c r="E779" s="1" t="s">
        <v>29</v>
      </c>
      <c r="F779" s="2">
        <v>10</v>
      </c>
      <c r="G779" s="5">
        <v>2100</v>
      </c>
      <c r="H779" s="24">
        <f t="shared" si="60"/>
        <v>21000</v>
      </c>
      <c r="I779" s="7">
        <v>0.02</v>
      </c>
      <c r="J779" s="5">
        <f t="shared" si="61"/>
        <v>420</v>
      </c>
      <c r="K779" s="5">
        <f t="shared" si="62"/>
        <v>20580</v>
      </c>
      <c r="L779" s="5">
        <v>1550</v>
      </c>
      <c r="M779" s="5">
        <f t="shared" si="63"/>
        <v>5080</v>
      </c>
      <c r="N779" s="7">
        <f t="shared" si="64"/>
        <v>0.24684159378036929</v>
      </c>
      <c r="O779" s="1" t="s">
        <v>30</v>
      </c>
      <c r="P779" s="1" t="s">
        <v>31</v>
      </c>
      <c r="Q779" s="1" t="s">
        <v>37</v>
      </c>
      <c r="R779" s="1" t="s">
        <v>46</v>
      </c>
      <c r="S779" s="1" t="s">
        <v>380</v>
      </c>
      <c r="T779" s="15" t="s">
        <v>27</v>
      </c>
    </row>
    <row r="780" spans="1:20" x14ac:dyDescent="0.3">
      <c r="A780" s="14">
        <v>779</v>
      </c>
      <c r="B780" s="4">
        <v>44545</v>
      </c>
      <c r="C780" s="1" t="s">
        <v>530</v>
      </c>
      <c r="D780" s="1" t="s">
        <v>82</v>
      </c>
      <c r="E780" s="1" t="s">
        <v>29</v>
      </c>
      <c r="F780" s="2">
        <v>7</v>
      </c>
      <c r="G780" s="5">
        <v>2280</v>
      </c>
      <c r="H780" s="24">
        <f t="shared" si="60"/>
        <v>15960</v>
      </c>
      <c r="I780" s="7">
        <v>0</v>
      </c>
      <c r="J780" s="5">
        <f t="shared" si="61"/>
        <v>0</v>
      </c>
      <c r="K780" s="5">
        <f t="shared" si="62"/>
        <v>15960</v>
      </c>
      <c r="L780" s="5">
        <v>1410</v>
      </c>
      <c r="M780" s="5">
        <f t="shared" si="63"/>
        <v>6090</v>
      </c>
      <c r="N780" s="7">
        <f t="shared" si="64"/>
        <v>0.38157894736842107</v>
      </c>
      <c r="O780" s="1" t="s">
        <v>41</v>
      </c>
      <c r="P780" s="1" t="s">
        <v>31</v>
      </c>
      <c r="Q780" s="1" t="s">
        <v>37</v>
      </c>
      <c r="R780" s="1" t="s">
        <v>88</v>
      </c>
      <c r="S780" s="1" t="s">
        <v>423</v>
      </c>
      <c r="T780" s="15" t="s">
        <v>27</v>
      </c>
    </row>
    <row r="781" spans="1:20" x14ac:dyDescent="0.3">
      <c r="A781" s="14">
        <v>780</v>
      </c>
      <c r="B781" s="4">
        <v>44363</v>
      </c>
      <c r="C781" s="1" t="s">
        <v>534</v>
      </c>
      <c r="D781" s="1" t="s">
        <v>28</v>
      </c>
      <c r="E781" s="1" t="s">
        <v>43</v>
      </c>
      <c r="F781" s="2">
        <v>6</v>
      </c>
      <c r="G781" s="5">
        <v>290</v>
      </c>
      <c r="H781" s="24">
        <f t="shared" si="60"/>
        <v>1740</v>
      </c>
      <c r="I781" s="7">
        <v>0.05</v>
      </c>
      <c r="J781" s="5">
        <f t="shared" si="61"/>
        <v>87</v>
      </c>
      <c r="K781" s="5">
        <f t="shared" si="62"/>
        <v>1653</v>
      </c>
      <c r="L781" s="5">
        <v>180</v>
      </c>
      <c r="M781" s="5">
        <f t="shared" si="63"/>
        <v>573</v>
      </c>
      <c r="N781" s="7">
        <f t="shared" si="64"/>
        <v>0.34664246823956441</v>
      </c>
      <c r="O781" s="1" t="s">
        <v>30</v>
      </c>
      <c r="P781" s="1" t="s">
        <v>23</v>
      </c>
      <c r="Q781" s="1" t="s">
        <v>24</v>
      </c>
      <c r="R781" s="1" t="s">
        <v>66</v>
      </c>
      <c r="S781" s="1" t="s">
        <v>397</v>
      </c>
      <c r="T781" s="15" t="s">
        <v>27</v>
      </c>
    </row>
    <row r="782" spans="1:20" x14ac:dyDescent="0.3">
      <c r="A782" s="14">
        <v>781</v>
      </c>
      <c r="B782" s="4">
        <v>44305</v>
      </c>
      <c r="C782" s="1" t="s">
        <v>531</v>
      </c>
      <c r="D782" s="1" t="s">
        <v>20</v>
      </c>
      <c r="E782" s="1" t="s">
        <v>36</v>
      </c>
      <c r="F782" s="2">
        <v>6</v>
      </c>
      <c r="G782" s="5">
        <v>1120</v>
      </c>
      <c r="H782" s="24">
        <f t="shared" si="60"/>
        <v>6720</v>
      </c>
      <c r="I782" s="7">
        <v>0</v>
      </c>
      <c r="J782" s="5">
        <f t="shared" si="61"/>
        <v>0</v>
      </c>
      <c r="K782" s="5">
        <f t="shared" si="62"/>
        <v>6720</v>
      </c>
      <c r="L782" s="5">
        <v>730</v>
      </c>
      <c r="M782" s="5">
        <f t="shared" si="63"/>
        <v>2340</v>
      </c>
      <c r="N782" s="7">
        <f t="shared" si="64"/>
        <v>0.3482142857142857</v>
      </c>
      <c r="O782" s="1" t="s">
        <v>54</v>
      </c>
      <c r="P782" s="1" t="s">
        <v>62</v>
      </c>
      <c r="Q782" s="1" t="s">
        <v>48</v>
      </c>
      <c r="R782" s="1" t="s">
        <v>50</v>
      </c>
      <c r="S782" s="1" t="s">
        <v>188</v>
      </c>
      <c r="T782" s="15" t="s">
        <v>61</v>
      </c>
    </row>
    <row r="783" spans="1:20" x14ac:dyDescent="0.3">
      <c r="A783" s="14">
        <v>782</v>
      </c>
      <c r="B783" s="4">
        <v>44438</v>
      </c>
      <c r="C783" s="1" t="s">
        <v>534</v>
      </c>
      <c r="D783" s="1" t="s">
        <v>20</v>
      </c>
      <c r="E783" s="1" t="s">
        <v>43</v>
      </c>
      <c r="F783" s="2">
        <v>12</v>
      </c>
      <c r="G783" s="5">
        <v>280</v>
      </c>
      <c r="H783" s="24">
        <f t="shared" si="60"/>
        <v>3360</v>
      </c>
      <c r="I783" s="7">
        <v>0</v>
      </c>
      <c r="J783" s="5">
        <f t="shared" si="61"/>
        <v>0</v>
      </c>
      <c r="K783" s="5">
        <f t="shared" si="62"/>
        <v>3360</v>
      </c>
      <c r="L783" s="5">
        <v>220</v>
      </c>
      <c r="M783" s="5">
        <f t="shared" si="63"/>
        <v>720</v>
      </c>
      <c r="N783" s="7">
        <f t="shared" si="64"/>
        <v>0.21428571428571427</v>
      </c>
      <c r="O783" s="1" t="s">
        <v>54</v>
      </c>
      <c r="P783" s="1" t="s">
        <v>31</v>
      </c>
      <c r="Q783" s="1" t="s">
        <v>32</v>
      </c>
      <c r="R783" s="1" t="s">
        <v>63</v>
      </c>
      <c r="S783" s="1" t="s">
        <v>269</v>
      </c>
      <c r="T783" s="15" t="s">
        <v>61</v>
      </c>
    </row>
    <row r="784" spans="1:20" x14ac:dyDescent="0.3">
      <c r="A784" s="14">
        <v>783</v>
      </c>
      <c r="B784" s="4">
        <v>44455</v>
      </c>
      <c r="C784" s="1" t="s">
        <v>532</v>
      </c>
      <c r="D784" s="1" t="s">
        <v>20</v>
      </c>
      <c r="E784" s="1" t="s">
        <v>40</v>
      </c>
      <c r="F784" s="2">
        <v>11</v>
      </c>
      <c r="G784" s="5">
        <v>1370</v>
      </c>
      <c r="H784" s="24">
        <f t="shared" si="60"/>
        <v>15070</v>
      </c>
      <c r="I784" s="7">
        <v>0.05</v>
      </c>
      <c r="J784" s="5">
        <f t="shared" si="61"/>
        <v>753.5</v>
      </c>
      <c r="K784" s="5">
        <f t="shared" si="62"/>
        <v>14316.5</v>
      </c>
      <c r="L784" s="5">
        <v>830</v>
      </c>
      <c r="M784" s="5">
        <f t="shared" si="63"/>
        <v>5186.5</v>
      </c>
      <c r="N784" s="7">
        <f t="shared" si="64"/>
        <v>0.3622742988859009</v>
      </c>
      <c r="O784" s="1" t="s">
        <v>22</v>
      </c>
      <c r="P784" s="1" t="s">
        <v>31</v>
      </c>
      <c r="Q784" s="1" t="s">
        <v>24</v>
      </c>
      <c r="R784" s="1" t="s">
        <v>56</v>
      </c>
      <c r="S784" s="1" t="s">
        <v>290</v>
      </c>
      <c r="T784" s="15" t="s">
        <v>35</v>
      </c>
    </row>
    <row r="785" spans="1:20" x14ac:dyDescent="0.3">
      <c r="A785" s="14">
        <v>784</v>
      </c>
      <c r="B785" s="4">
        <v>44380</v>
      </c>
      <c r="C785" s="1" t="s">
        <v>531</v>
      </c>
      <c r="D785" s="1" t="s">
        <v>28</v>
      </c>
      <c r="E785" s="1" t="s">
        <v>36</v>
      </c>
      <c r="F785" s="2">
        <v>2</v>
      </c>
      <c r="G785" s="5">
        <v>1990</v>
      </c>
      <c r="H785" s="24">
        <f t="shared" si="60"/>
        <v>3980</v>
      </c>
      <c r="I785" s="7">
        <v>0.05</v>
      </c>
      <c r="J785" s="5">
        <f t="shared" si="61"/>
        <v>199</v>
      </c>
      <c r="K785" s="5">
        <f t="shared" si="62"/>
        <v>3781</v>
      </c>
      <c r="L785" s="5">
        <v>1230</v>
      </c>
      <c r="M785" s="5">
        <f t="shared" si="63"/>
        <v>1321</v>
      </c>
      <c r="N785" s="7">
        <f t="shared" si="64"/>
        <v>0.34937847130388788</v>
      </c>
      <c r="O785" s="1" t="s">
        <v>22</v>
      </c>
      <c r="P785" s="1" t="s">
        <v>31</v>
      </c>
      <c r="Q785" s="1" t="s">
        <v>24</v>
      </c>
      <c r="R785" s="1" t="s">
        <v>46</v>
      </c>
      <c r="S785" s="1" t="s">
        <v>90</v>
      </c>
      <c r="T785" s="15" t="s">
        <v>35</v>
      </c>
    </row>
    <row r="786" spans="1:20" x14ac:dyDescent="0.3">
      <c r="A786" s="14">
        <v>785</v>
      </c>
      <c r="B786" s="4">
        <v>44446</v>
      </c>
      <c r="C786" s="1" t="s">
        <v>529</v>
      </c>
      <c r="D786" s="1" t="s">
        <v>20</v>
      </c>
      <c r="E786" s="1" t="s">
        <v>36</v>
      </c>
      <c r="F786" s="2">
        <v>11</v>
      </c>
      <c r="G786" s="5">
        <v>2330</v>
      </c>
      <c r="H786" s="24">
        <f t="shared" si="60"/>
        <v>25630</v>
      </c>
      <c r="I786" s="7">
        <v>0</v>
      </c>
      <c r="J786" s="5">
        <f t="shared" si="61"/>
        <v>0</v>
      </c>
      <c r="K786" s="5">
        <f t="shared" si="62"/>
        <v>25630</v>
      </c>
      <c r="L786" s="5">
        <v>1450</v>
      </c>
      <c r="M786" s="5">
        <f t="shared" si="63"/>
        <v>9680</v>
      </c>
      <c r="N786" s="7">
        <f t="shared" si="64"/>
        <v>0.37768240343347642</v>
      </c>
      <c r="O786" s="1" t="s">
        <v>59</v>
      </c>
      <c r="P786" s="1" t="s">
        <v>31</v>
      </c>
      <c r="Q786" s="1" t="s">
        <v>32</v>
      </c>
      <c r="R786" s="1" t="s">
        <v>46</v>
      </c>
      <c r="S786" s="1" t="s">
        <v>374</v>
      </c>
      <c r="T786" s="15" t="s">
        <v>61</v>
      </c>
    </row>
    <row r="787" spans="1:20" x14ac:dyDescent="0.3">
      <c r="A787" s="14">
        <v>786</v>
      </c>
      <c r="B787" s="4">
        <v>44522</v>
      </c>
      <c r="C787" s="1" t="s">
        <v>534</v>
      </c>
      <c r="D787" s="1" t="s">
        <v>20</v>
      </c>
      <c r="E787" s="1" t="s">
        <v>21</v>
      </c>
      <c r="F787" s="2">
        <v>3</v>
      </c>
      <c r="G787" s="5">
        <v>240</v>
      </c>
      <c r="H787" s="24">
        <f t="shared" si="60"/>
        <v>720</v>
      </c>
      <c r="I787" s="7">
        <v>0</v>
      </c>
      <c r="J787" s="5">
        <f t="shared" si="61"/>
        <v>0</v>
      </c>
      <c r="K787" s="5">
        <f t="shared" si="62"/>
        <v>720</v>
      </c>
      <c r="L787" s="5">
        <v>140</v>
      </c>
      <c r="M787" s="5">
        <f t="shared" si="63"/>
        <v>300</v>
      </c>
      <c r="N787" s="7">
        <f t="shared" si="64"/>
        <v>0.41666666666666669</v>
      </c>
      <c r="O787" s="1" t="s">
        <v>59</v>
      </c>
      <c r="P787" s="1" t="s">
        <v>62</v>
      </c>
      <c r="Q787" s="1" t="s">
        <v>48</v>
      </c>
      <c r="R787" s="1" t="s">
        <v>88</v>
      </c>
      <c r="S787" s="1" t="s">
        <v>333</v>
      </c>
      <c r="T787" s="15" t="s">
        <v>61</v>
      </c>
    </row>
    <row r="788" spans="1:20" x14ac:dyDescent="0.3">
      <c r="A788" s="14">
        <v>787</v>
      </c>
      <c r="B788" s="4">
        <v>44460</v>
      </c>
      <c r="C788" s="1" t="s">
        <v>529</v>
      </c>
      <c r="D788" s="1" t="s">
        <v>28</v>
      </c>
      <c r="E788" s="1" t="s">
        <v>29</v>
      </c>
      <c r="F788" s="2">
        <v>7</v>
      </c>
      <c r="G788" s="5">
        <v>1900</v>
      </c>
      <c r="H788" s="24">
        <f t="shared" si="60"/>
        <v>13300</v>
      </c>
      <c r="I788" s="7">
        <v>0.1</v>
      </c>
      <c r="J788" s="5">
        <f t="shared" si="61"/>
        <v>1330</v>
      </c>
      <c r="K788" s="5">
        <f t="shared" si="62"/>
        <v>11970</v>
      </c>
      <c r="L788" s="5">
        <v>1280</v>
      </c>
      <c r="M788" s="5">
        <f t="shared" si="63"/>
        <v>3010</v>
      </c>
      <c r="N788" s="7">
        <f t="shared" si="64"/>
        <v>0.25146198830409355</v>
      </c>
      <c r="O788" s="1" t="s">
        <v>22</v>
      </c>
      <c r="P788" s="1" t="s">
        <v>31</v>
      </c>
      <c r="Q788" s="1" t="s">
        <v>32</v>
      </c>
      <c r="R788" s="1" t="s">
        <v>49</v>
      </c>
      <c r="S788" s="1" t="s">
        <v>152</v>
      </c>
      <c r="T788" s="15" t="s">
        <v>35</v>
      </c>
    </row>
    <row r="789" spans="1:20" x14ac:dyDescent="0.3">
      <c r="A789" s="14">
        <v>788</v>
      </c>
      <c r="B789" s="4">
        <v>44243</v>
      </c>
      <c r="C789" s="1" t="s">
        <v>530</v>
      </c>
      <c r="D789" s="1" t="s">
        <v>20</v>
      </c>
      <c r="E789" s="1" t="s">
        <v>29</v>
      </c>
      <c r="F789" s="2">
        <v>6</v>
      </c>
      <c r="G789" s="5">
        <v>2290</v>
      </c>
      <c r="H789" s="24">
        <f t="shared" si="60"/>
        <v>13740</v>
      </c>
      <c r="I789" s="7">
        <v>0.05</v>
      </c>
      <c r="J789" s="5">
        <f t="shared" si="61"/>
        <v>687</v>
      </c>
      <c r="K789" s="5">
        <f t="shared" si="62"/>
        <v>13053</v>
      </c>
      <c r="L789" s="5">
        <v>1400</v>
      </c>
      <c r="M789" s="5">
        <f t="shared" si="63"/>
        <v>4653</v>
      </c>
      <c r="N789" s="7">
        <f t="shared" si="64"/>
        <v>0.35646977706274419</v>
      </c>
      <c r="O789" s="1" t="s">
        <v>59</v>
      </c>
      <c r="P789" s="1" t="s">
        <v>31</v>
      </c>
      <c r="Q789" s="1" t="s">
        <v>32</v>
      </c>
      <c r="R789" s="1" t="s">
        <v>88</v>
      </c>
      <c r="S789" s="1" t="s">
        <v>407</v>
      </c>
      <c r="T789" s="15" t="s">
        <v>35</v>
      </c>
    </row>
    <row r="790" spans="1:20" x14ac:dyDescent="0.3">
      <c r="A790" s="14">
        <v>789</v>
      </c>
      <c r="B790" s="4">
        <v>44380</v>
      </c>
      <c r="C790" s="1" t="s">
        <v>534</v>
      </c>
      <c r="D790" s="1" t="s">
        <v>20</v>
      </c>
      <c r="E790" s="1" t="s">
        <v>36</v>
      </c>
      <c r="F790" s="2">
        <v>9</v>
      </c>
      <c r="G790" s="5">
        <v>1280</v>
      </c>
      <c r="H790" s="24">
        <f t="shared" si="60"/>
        <v>11520</v>
      </c>
      <c r="I790" s="7">
        <v>0</v>
      </c>
      <c r="J790" s="5">
        <f t="shared" si="61"/>
        <v>0</v>
      </c>
      <c r="K790" s="5">
        <f t="shared" si="62"/>
        <v>11520</v>
      </c>
      <c r="L790" s="5">
        <v>780</v>
      </c>
      <c r="M790" s="5">
        <f t="shared" si="63"/>
        <v>4500</v>
      </c>
      <c r="N790" s="7">
        <f t="shared" si="64"/>
        <v>0.390625</v>
      </c>
      <c r="O790" s="1" t="s">
        <v>30</v>
      </c>
      <c r="P790" s="1" t="s">
        <v>31</v>
      </c>
      <c r="Q790" s="1" t="s">
        <v>48</v>
      </c>
      <c r="R790" s="1" t="s">
        <v>88</v>
      </c>
      <c r="S790" s="1" t="s">
        <v>165</v>
      </c>
      <c r="T790" s="15" t="s">
        <v>27</v>
      </c>
    </row>
    <row r="791" spans="1:20" x14ac:dyDescent="0.3">
      <c r="A791" s="14">
        <v>790</v>
      </c>
      <c r="B791" s="4">
        <v>44443</v>
      </c>
      <c r="C791" s="1" t="s">
        <v>534</v>
      </c>
      <c r="D791" s="1" t="s">
        <v>28</v>
      </c>
      <c r="E791" s="1" t="s">
        <v>43</v>
      </c>
      <c r="F791" s="2">
        <v>12</v>
      </c>
      <c r="G791" s="5">
        <v>290</v>
      </c>
      <c r="H791" s="24">
        <f t="shared" si="60"/>
        <v>3480</v>
      </c>
      <c r="I791" s="7">
        <v>0</v>
      </c>
      <c r="J791" s="5">
        <f t="shared" si="61"/>
        <v>0</v>
      </c>
      <c r="K791" s="5">
        <f t="shared" si="62"/>
        <v>3480</v>
      </c>
      <c r="L791" s="5">
        <v>210</v>
      </c>
      <c r="M791" s="5">
        <f t="shared" si="63"/>
        <v>960</v>
      </c>
      <c r="N791" s="7">
        <f t="shared" si="64"/>
        <v>0.27586206896551724</v>
      </c>
      <c r="O791" s="1" t="s">
        <v>30</v>
      </c>
      <c r="P791" s="1" t="s">
        <v>31</v>
      </c>
      <c r="Q791" s="1" t="s">
        <v>24</v>
      </c>
      <c r="R791" s="1" t="s">
        <v>88</v>
      </c>
      <c r="S791" s="1" t="s">
        <v>341</v>
      </c>
      <c r="T791" s="15" t="s">
        <v>61</v>
      </c>
    </row>
    <row r="792" spans="1:20" x14ac:dyDescent="0.3">
      <c r="A792" s="14">
        <v>791</v>
      </c>
      <c r="B792" s="4">
        <v>44507</v>
      </c>
      <c r="C792" s="1" t="s">
        <v>530</v>
      </c>
      <c r="D792" s="1" t="s">
        <v>20</v>
      </c>
      <c r="E792" s="1" t="s">
        <v>43</v>
      </c>
      <c r="F792" s="2">
        <v>1</v>
      </c>
      <c r="G792" s="5">
        <v>290</v>
      </c>
      <c r="H792" s="24">
        <f t="shared" si="60"/>
        <v>290</v>
      </c>
      <c r="I792" s="7">
        <v>0.02</v>
      </c>
      <c r="J792" s="5">
        <f t="shared" si="61"/>
        <v>5.8</v>
      </c>
      <c r="K792" s="5">
        <f t="shared" si="62"/>
        <v>284.2</v>
      </c>
      <c r="L792" s="5">
        <v>220</v>
      </c>
      <c r="M792" s="5">
        <f t="shared" si="63"/>
        <v>64.199999999999989</v>
      </c>
      <c r="N792" s="7">
        <f t="shared" si="64"/>
        <v>0.22589725545390568</v>
      </c>
      <c r="O792" s="1" t="s">
        <v>41</v>
      </c>
      <c r="P792" s="1" t="s">
        <v>31</v>
      </c>
      <c r="Q792" s="1" t="s">
        <v>32</v>
      </c>
      <c r="R792" s="1" t="s">
        <v>63</v>
      </c>
      <c r="S792" s="1" t="s">
        <v>304</v>
      </c>
      <c r="T792" s="15" t="s">
        <v>61</v>
      </c>
    </row>
    <row r="793" spans="1:20" x14ac:dyDescent="0.3">
      <c r="A793" s="14">
        <v>792</v>
      </c>
      <c r="B793" s="4">
        <v>44235</v>
      </c>
      <c r="C793" s="1" t="s">
        <v>532</v>
      </c>
      <c r="D793" s="1" t="s">
        <v>20</v>
      </c>
      <c r="E793" s="1" t="s">
        <v>43</v>
      </c>
      <c r="F793" s="2">
        <v>10</v>
      </c>
      <c r="G793" s="5">
        <v>310</v>
      </c>
      <c r="H793" s="24">
        <f t="shared" si="60"/>
        <v>3100</v>
      </c>
      <c r="I793" s="7">
        <v>0.05</v>
      </c>
      <c r="J793" s="5">
        <f t="shared" si="61"/>
        <v>155</v>
      </c>
      <c r="K793" s="5">
        <f t="shared" si="62"/>
        <v>2945</v>
      </c>
      <c r="L793" s="5">
        <v>190</v>
      </c>
      <c r="M793" s="5">
        <f t="shared" si="63"/>
        <v>1045</v>
      </c>
      <c r="N793" s="7">
        <f t="shared" si="64"/>
        <v>0.35483870967741937</v>
      </c>
      <c r="O793" s="1" t="s">
        <v>59</v>
      </c>
      <c r="P793" s="1" t="s">
        <v>62</v>
      </c>
      <c r="Q793" s="1" t="s">
        <v>48</v>
      </c>
      <c r="R793" s="1" t="s">
        <v>66</v>
      </c>
      <c r="S793" s="1" t="s">
        <v>130</v>
      </c>
      <c r="T793" s="15" t="s">
        <v>61</v>
      </c>
    </row>
    <row r="794" spans="1:20" x14ac:dyDescent="0.3">
      <c r="A794" s="14">
        <v>793</v>
      </c>
      <c r="B794" s="4">
        <v>44205</v>
      </c>
      <c r="C794" s="1" t="s">
        <v>533</v>
      </c>
      <c r="D794" s="1" t="s">
        <v>20</v>
      </c>
      <c r="E794" s="1" t="s">
        <v>45</v>
      </c>
      <c r="F794" s="2">
        <v>7</v>
      </c>
      <c r="G794" s="5">
        <v>180</v>
      </c>
      <c r="H794" s="24">
        <f t="shared" si="60"/>
        <v>1260</v>
      </c>
      <c r="I794" s="7">
        <v>0.05</v>
      </c>
      <c r="J794" s="5">
        <f t="shared" si="61"/>
        <v>63</v>
      </c>
      <c r="K794" s="5">
        <f t="shared" si="62"/>
        <v>1197</v>
      </c>
      <c r="L794" s="5">
        <v>120</v>
      </c>
      <c r="M794" s="5">
        <f t="shared" si="63"/>
        <v>357</v>
      </c>
      <c r="N794" s="7">
        <f t="shared" si="64"/>
        <v>0.2982456140350877</v>
      </c>
      <c r="O794" s="1" t="s">
        <v>41</v>
      </c>
      <c r="P794" s="1" t="s">
        <v>31</v>
      </c>
      <c r="Q794" s="1" t="s">
        <v>48</v>
      </c>
      <c r="R794" s="1" t="s">
        <v>38</v>
      </c>
      <c r="S794" s="1" t="s">
        <v>424</v>
      </c>
      <c r="T794" s="15" t="s">
        <v>27</v>
      </c>
    </row>
    <row r="795" spans="1:20" x14ac:dyDescent="0.3">
      <c r="A795" s="14">
        <v>794</v>
      </c>
      <c r="B795" s="4">
        <v>44369</v>
      </c>
      <c r="C795" s="1" t="s">
        <v>532</v>
      </c>
      <c r="D795" s="1" t="s">
        <v>20</v>
      </c>
      <c r="E795" s="1" t="s">
        <v>29</v>
      </c>
      <c r="F795" s="2">
        <v>10</v>
      </c>
      <c r="G795" s="5">
        <v>2060</v>
      </c>
      <c r="H795" s="24">
        <f t="shared" si="60"/>
        <v>20600</v>
      </c>
      <c r="I795" s="7">
        <v>0.05</v>
      </c>
      <c r="J795" s="5">
        <f t="shared" si="61"/>
        <v>1030</v>
      </c>
      <c r="K795" s="5">
        <f t="shared" si="62"/>
        <v>19570</v>
      </c>
      <c r="L795" s="5">
        <v>1540</v>
      </c>
      <c r="M795" s="5">
        <f t="shared" si="63"/>
        <v>4170</v>
      </c>
      <c r="N795" s="7">
        <f t="shared" si="64"/>
        <v>0.21308124680633622</v>
      </c>
      <c r="O795" s="1" t="s">
        <v>41</v>
      </c>
      <c r="P795" s="1" t="s">
        <v>23</v>
      </c>
      <c r="Q795" s="1" t="s">
        <v>37</v>
      </c>
      <c r="R795" s="1" t="s">
        <v>49</v>
      </c>
      <c r="S795" s="1" t="s">
        <v>378</v>
      </c>
      <c r="T795" s="15" t="s">
        <v>53</v>
      </c>
    </row>
    <row r="796" spans="1:20" x14ac:dyDescent="0.3">
      <c r="A796" s="14">
        <v>795</v>
      </c>
      <c r="B796" s="4">
        <v>44320</v>
      </c>
      <c r="C796" s="1" t="s">
        <v>534</v>
      </c>
      <c r="D796" s="1" t="s">
        <v>28</v>
      </c>
      <c r="E796" s="1" t="s">
        <v>21</v>
      </c>
      <c r="F796" s="2">
        <v>3</v>
      </c>
      <c r="G796" s="5">
        <v>220</v>
      </c>
      <c r="H796" s="24">
        <f t="shared" si="60"/>
        <v>660</v>
      </c>
      <c r="I796" s="7">
        <v>0.1</v>
      </c>
      <c r="J796" s="5">
        <f t="shared" si="61"/>
        <v>66</v>
      </c>
      <c r="K796" s="5">
        <f t="shared" si="62"/>
        <v>594</v>
      </c>
      <c r="L796" s="5">
        <v>150</v>
      </c>
      <c r="M796" s="5">
        <f t="shared" si="63"/>
        <v>144</v>
      </c>
      <c r="N796" s="7">
        <f t="shared" si="64"/>
        <v>0.24242424242424243</v>
      </c>
      <c r="O796" s="1" t="s">
        <v>54</v>
      </c>
      <c r="P796" s="1" t="s">
        <v>31</v>
      </c>
      <c r="Q796" s="1" t="s">
        <v>37</v>
      </c>
      <c r="R796" s="1" t="s">
        <v>46</v>
      </c>
      <c r="S796" s="1" t="s">
        <v>150</v>
      </c>
      <c r="T796" s="15" t="s">
        <v>35</v>
      </c>
    </row>
    <row r="797" spans="1:20" x14ac:dyDescent="0.3">
      <c r="A797" s="14">
        <v>796</v>
      </c>
      <c r="B797" s="4">
        <v>44321</v>
      </c>
      <c r="C797" s="1" t="s">
        <v>533</v>
      </c>
      <c r="D797" s="1" t="s">
        <v>80</v>
      </c>
      <c r="E797" s="1" t="s">
        <v>43</v>
      </c>
      <c r="F797" s="2">
        <v>7</v>
      </c>
      <c r="G797" s="5">
        <v>270</v>
      </c>
      <c r="H797" s="24">
        <f t="shared" si="60"/>
        <v>1890</v>
      </c>
      <c r="I797" s="7">
        <v>0</v>
      </c>
      <c r="J797" s="5">
        <f t="shared" si="61"/>
        <v>0</v>
      </c>
      <c r="K797" s="5">
        <f t="shared" si="62"/>
        <v>1890</v>
      </c>
      <c r="L797" s="5">
        <v>210</v>
      </c>
      <c r="M797" s="5">
        <f t="shared" si="63"/>
        <v>420</v>
      </c>
      <c r="N797" s="7">
        <f t="shared" si="64"/>
        <v>0.22222222222222221</v>
      </c>
      <c r="O797" s="1" t="s">
        <v>54</v>
      </c>
      <c r="P797" s="1" t="s">
        <v>31</v>
      </c>
      <c r="Q797" s="1" t="s">
        <v>48</v>
      </c>
      <c r="R797" s="1" t="s">
        <v>38</v>
      </c>
      <c r="S797" s="1" t="s">
        <v>345</v>
      </c>
      <c r="T797" s="15" t="s">
        <v>61</v>
      </c>
    </row>
    <row r="798" spans="1:20" x14ac:dyDescent="0.3">
      <c r="A798" s="14">
        <v>797</v>
      </c>
      <c r="B798" s="4">
        <v>44555</v>
      </c>
      <c r="C798" s="1" t="s">
        <v>531</v>
      </c>
      <c r="D798" s="1" t="s">
        <v>82</v>
      </c>
      <c r="E798" s="1" t="s">
        <v>43</v>
      </c>
      <c r="F798" s="2">
        <v>9</v>
      </c>
      <c r="G798" s="5">
        <v>280</v>
      </c>
      <c r="H798" s="24">
        <f t="shared" si="60"/>
        <v>2520</v>
      </c>
      <c r="I798" s="7">
        <v>0</v>
      </c>
      <c r="J798" s="5">
        <f t="shared" si="61"/>
        <v>0</v>
      </c>
      <c r="K798" s="5">
        <f t="shared" si="62"/>
        <v>2520</v>
      </c>
      <c r="L798" s="5">
        <v>180</v>
      </c>
      <c r="M798" s="5">
        <f t="shared" si="63"/>
        <v>900</v>
      </c>
      <c r="N798" s="7">
        <f t="shared" si="64"/>
        <v>0.35714285714285715</v>
      </c>
      <c r="O798" s="1" t="s">
        <v>22</v>
      </c>
      <c r="P798" s="1" t="s">
        <v>31</v>
      </c>
      <c r="Q798" s="1" t="s">
        <v>48</v>
      </c>
      <c r="R798" s="1" t="s">
        <v>56</v>
      </c>
      <c r="S798" s="1" t="s">
        <v>425</v>
      </c>
      <c r="T798" s="15" t="s">
        <v>27</v>
      </c>
    </row>
    <row r="799" spans="1:20" x14ac:dyDescent="0.3">
      <c r="A799" s="14">
        <v>798</v>
      </c>
      <c r="B799" s="4">
        <v>44237</v>
      </c>
      <c r="C799" s="1" t="s">
        <v>529</v>
      </c>
      <c r="D799" s="1" t="s">
        <v>20</v>
      </c>
      <c r="E799" s="1" t="s">
        <v>29</v>
      </c>
      <c r="F799" s="2">
        <v>6</v>
      </c>
      <c r="G799" s="5">
        <v>2210</v>
      </c>
      <c r="H799" s="24">
        <f t="shared" si="60"/>
        <v>13260</v>
      </c>
      <c r="I799" s="7">
        <v>0.1</v>
      </c>
      <c r="J799" s="5">
        <f t="shared" si="61"/>
        <v>1326</v>
      </c>
      <c r="K799" s="5">
        <f t="shared" si="62"/>
        <v>11934</v>
      </c>
      <c r="L799" s="5">
        <v>1290</v>
      </c>
      <c r="M799" s="5">
        <f t="shared" si="63"/>
        <v>4194</v>
      </c>
      <c r="N799" s="7">
        <f t="shared" si="64"/>
        <v>0.35143288084464552</v>
      </c>
      <c r="O799" s="1" t="s">
        <v>22</v>
      </c>
      <c r="P799" s="1" t="s">
        <v>31</v>
      </c>
      <c r="Q799" s="1" t="s">
        <v>48</v>
      </c>
      <c r="R799" s="1" t="s">
        <v>38</v>
      </c>
      <c r="S799" s="1" t="s">
        <v>220</v>
      </c>
      <c r="T799" s="15" t="s">
        <v>61</v>
      </c>
    </row>
    <row r="800" spans="1:20" x14ac:dyDescent="0.3">
      <c r="A800" s="14">
        <v>799</v>
      </c>
      <c r="B800" s="4">
        <v>44465</v>
      </c>
      <c r="C800" s="1" t="s">
        <v>529</v>
      </c>
      <c r="D800" s="1" t="s">
        <v>20</v>
      </c>
      <c r="E800" s="1" t="s">
        <v>36</v>
      </c>
      <c r="F800" s="2">
        <v>2</v>
      </c>
      <c r="G800" s="5">
        <v>1160</v>
      </c>
      <c r="H800" s="24">
        <f t="shared" si="60"/>
        <v>2320</v>
      </c>
      <c r="I800" s="7">
        <v>0.15</v>
      </c>
      <c r="J800" s="5">
        <f t="shared" si="61"/>
        <v>348</v>
      </c>
      <c r="K800" s="5">
        <f t="shared" si="62"/>
        <v>1972</v>
      </c>
      <c r="L800" s="5">
        <v>760</v>
      </c>
      <c r="M800" s="5">
        <f t="shared" si="63"/>
        <v>452</v>
      </c>
      <c r="N800" s="7">
        <f t="shared" si="64"/>
        <v>0.22920892494929007</v>
      </c>
      <c r="O800" s="1" t="s">
        <v>54</v>
      </c>
      <c r="P800" s="1" t="s">
        <v>31</v>
      </c>
      <c r="Q800" s="1" t="s">
        <v>24</v>
      </c>
      <c r="R800" s="1" t="s">
        <v>49</v>
      </c>
      <c r="S800" s="1" t="s">
        <v>317</v>
      </c>
      <c r="T800" s="15" t="s">
        <v>53</v>
      </c>
    </row>
    <row r="801" spans="1:20" x14ac:dyDescent="0.3">
      <c r="A801" s="14">
        <v>800</v>
      </c>
      <c r="B801" s="4">
        <v>44379</v>
      </c>
      <c r="C801" s="1" t="s">
        <v>533</v>
      </c>
      <c r="D801" s="1" t="s">
        <v>20</v>
      </c>
      <c r="E801" s="1" t="s">
        <v>43</v>
      </c>
      <c r="F801" s="2">
        <v>1</v>
      </c>
      <c r="G801" s="5">
        <v>280</v>
      </c>
      <c r="H801" s="24">
        <f t="shared" si="60"/>
        <v>280</v>
      </c>
      <c r="I801" s="7">
        <v>0.15</v>
      </c>
      <c r="J801" s="5">
        <f t="shared" si="61"/>
        <v>42</v>
      </c>
      <c r="K801" s="5">
        <f t="shared" si="62"/>
        <v>238</v>
      </c>
      <c r="L801" s="5">
        <v>170</v>
      </c>
      <c r="M801" s="5">
        <f t="shared" si="63"/>
        <v>68</v>
      </c>
      <c r="N801" s="7">
        <f t="shared" si="64"/>
        <v>0.2857142857142857</v>
      </c>
      <c r="O801" s="1" t="s">
        <v>59</v>
      </c>
      <c r="P801" s="1" t="s">
        <v>31</v>
      </c>
      <c r="Q801" s="1" t="s">
        <v>24</v>
      </c>
      <c r="R801" s="1" t="s">
        <v>25</v>
      </c>
      <c r="S801" s="1" t="s">
        <v>419</v>
      </c>
      <c r="T801" s="15" t="s">
        <v>53</v>
      </c>
    </row>
    <row r="802" spans="1:20" x14ac:dyDescent="0.3">
      <c r="A802" s="14">
        <v>801</v>
      </c>
      <c r="B802" s="4">
        <v>44210</v>
      </c>
      <c r="C802" s="1" t="s">
        <v>530</v>
      </c>
      <c r="D802" s="1" t="s">
        <v>80</v>
      </c>
      <c r="E802" s="1" t="s">
        <v>21</v>
      </c>
      <c r="F802" s="2">
        <v>5</v>
      </c>
      <c r="G802" s="5">
        <v>220</v>
      </c>
      <c r="H802" s="24">
        <f t="shared" si="60"/>
        <v>1100</v>
      </c>
      <c r="I802" s="7">
        <v>0.1</v>
      </c>
      <c r="J802" s="5">
        <f t="shared" si="61"/>
        <v>110</v>
      </c>
      <c r="K802" s="5">
        <f t="shared" si="62"/>
        <v>990</v>
      </c>
      <c r="L802" s="5">
        <v>170</v>
      </c>
      <c r="M802" s="5">
        <f t="shared" si="63"/>
        <v>140</v>
      </c>
      <c r="N802" s="7">
        <f t="shared" si="64"/>
        <v>0.14141414141414141</v>
      </c>
      <c r="O802" s="1" t="s">
        <v>22</v>
      </c>
      <c r="P802" s="1" t="s">
        <v>31</v>
      </c>
      <c r="Q802" s="1" t="s">
        <v>37</v>
      </c>
      <c r="R802" s="1" t="s">
        <v>25</v>
      </c>
      <c r="S802" s="1" t="s">
        <v>391</v>
      </c>
      <c r="T802" s="15" t="s">
        <v>35</v>
      </c>
    </row>
    <row r="803" spans="1:20" x14ac:dyDescent="0.3">
      <c r="A803" s="14">
        <v>802</v>
      </c>
      <c r="B803" s="4">
        <v>44499</v>
      </c>
      <c r="C803" s="1" t="s">
        <v>530</v>
      </c>
      <c r="D803" s="1" t="s">
        <v>82</v>
      </c>
      <c r="E803" s="1" t="s">
        <v>36</v>
      </c>
      <c r="F803" s="2">
        <v>6</v>
      </c>
      <c r="G803" s="5">
        <v>1360</v>
      </c>
      <c r="H803" s="24">
        <f t="shared" si="60"/>
        <v>8160</v>
      </c>
      <c r="I803" s="7">
        <v>0</v>
      </c>
      <c r="J803" s="5">
        <f t="shared" si="61"/>
        <v>0</v>
      </c>
      <c r="K803" s="5">
        <f t="shared" si="62"/>
        <v>8160</v>
      </c>
      <c r="L803" s="5">
        <v>910</v>
      </c>
      <c r="M803" s="5">
        <f t="shared" si="63"/>
        <v>2700</v>
      </c>
      <c r="N803" s="7">
        <f t="shared" si="64"/>
        <v>0.33088235294117646</v>
      </c>
      <c r="O803" s="1" t="s">
        <v>41</v>
      </c>
      <c r="P803" s="1" t="s">
        <v>31</v>
      </c>
      <c r="Q803" s="1" t="s">
        <v>24</v>
      </c>
      <c r="R803" s="1" t="s">
        <v>46</v>
      </c>
      <c r="S803" s="1" t="s">
        <v>299</v>
      </c>
      <c r="T803" s="15" t="s">
        <v>35</v>
      </c>
    </row>
    <row r="804" spans="1:20" x14ac:dyDescent="0.3">
      <c r="A804" s="14">
        <v>803</v>
      </c>
      <c r="B804" s="4">
        <v>44380</v>
      </c>
      <c r="C804" s="1" t="s">
        <v>534</v>
      </c>
      <c r="D804" s="1" t="s">
        <v>82</v>
      </c>
      <c r="E804" s="1" t="s">
        <v>45</v>
      </c>
      <c r="F804" s="2">
        <v>3</v>
      </c>
      <c r="G804" s="5">
        <v>230</v>
      </c>
      <c r="H804" s="24">
        <f t="shared" si="60"/>
        <v>690</v>
      </c>
      <c r="I804" s="7">
        <v>0.1</v>
      </c>
      <c r="J804" s="5">
        <f t="shared" si="61"/>
        <v>69</v>
      </c>
      <c r="K804" s="5">
        <f t="shared" si="62"/>
        <v>621</v>
      </c>
      <c r="L804" s="5">
        <v>140</v>
      </c>
      <c r="M804" s="5">
        <f t="shared" si="63"/>
        <v>201</v>
      </c>
      <c r="N804" s="7">
        <f t="shared" si="64"/>
        <v>0.32367149758454106</v>
      </c>
      <c r="O804" s="1" t="s">
        <v>30</v>
      </c>
      <c r="P804" s="1" t="s">
        <v>31</v>
      </c>
      <c r="Q804" s="1" t="s">
        <v>32</v>
      </c>
      <c r="R804" s="1" t="s">
        <v>33</v>
      </c>
      <c r="S804" s="1" t="s">
        <v>400</v>
      </c>
      <c r="T804" s="15" t="s">
        <v>27</v>
      </c>
    </row>
    <row r="805" spans="1:20" x14ac:dyDescent="0.3">
      <c r="A805" s="14">
        <v>804</v>
      </c>
      <c r="B805" s="4">
        <v>44489</v>
      </c>
      <c r="C805" s="1" t="s">
        <v>532</v>
      </c>
      <c r="D805" s="1" t="s">
        <v>20</v>
      </c>
      <c r="E805" s="1" t="s">
        <v>21</v>
      </c>
      <c r="F805" s="2">
        <v>5</v>
      </c>
      <c r="G805" s="5">
        <v>240</v>
      </c>
      <c r="H805" s="24">
        <f t="shared" si="60"/>
        <v>1200</v>
      </c>
      <c r="I805" s="7">
        <v>0</v>
      </c>
      <c r="J805" s="5">
        <f t="shared" si="61"/>
        <v>0</v>
      </c>
      <c r="K805" s="5">
        <f t="shared" si="62"/>
        <v>1200</v>
      </c>
      <c r="L805" s="5">
        <v>140</v>
      </c>
      <c r="M805" s="5">
        <f t="shared" si="63"/>
        <v>500</v>
      </c>
      <c r="N805" s="7">
        <f t="shared" si="64"/>
        <v>0.41666666666666669</v>
      </c>
      <c r="O805" s="1" t="s">
        <v>54</v>
      </c>
      <c r="P805" s="1" t="s">
        <v>31</v>
      </c>
      <c r="Q805" s="1" t="s">
        <v>32</v>
      </c>
      <c r="R805" s="1" t="s">
        <v>66</v>
      </c>
      <c r="S805" s="1" t="s">
        <v>311</v>
      </c>
      <c r="T805" s="15" t="s">
        <v>27</v>
      </c>
    </row>
    <row r="806" spans="1:20" x14ac:dyDescent="0.3">
      <c r="A806" s="14">
        <v>805</v>
      </c>
      <c r="B806" s="4">
        <v>44284</v>
      </c>
      <c r="C806" s="1" t="s">
        <v>531</v>
      </c>
      <c r="D806" s="1" t="s">
        <v>20</v>
      </c>
      <c r="E806" s="1" t="s">
        <v>45</v>
      </c>
      <c r="F806" s="2">
        <v>5</v>
      </c>
      <c r="G806" s="5">
        <v>180</v>
      </c>
      <c r="H806" s="24">
        <f t="shared" si="60"/>
        <v>900</v>
      </c>
      <c r="I806" s="7">
        <v>0</v>
      </c>
      <c r="J806" s="5">
        <f t="shared" si="61"/>
        <v>0</v>
      </c>
      <c r="K806" s="5">
        <f t="shared" si="62"/>
        <v>900</v>
      </c>
      <c r="L806" s="5">
        <v>140</v>
      </c>
      <c r="M806" s="5">
        <f t="shared" si="63"/>
        <v>200</v>
      </c>
      <c r="N806" s="7">
        <f t="shared" si="64"/>
        <v>0.22222222222222221</v>
      </c>
      <c r="O806" s="1" t="s">
        <v>22</v>
      </c>
      <c r="P806" s="1" t="s">
        <v>31</v>
      </c>
      <c r="Q806" s="1" t="s">
        <v>48</v>
      </c>
      <c r="R806" s="1" t="s">
        <v>46</v>
      </c>
      <c r="S806" s="1" t="s">
        <v>420</v>
      </c>
      <c r="T806" s="15" t="s">
        <v>53</v>
      </c>
    </row>
    <row r="807" spans="1:20" x14ac:dyDescent="0.3">
      <c r="A807" s="14">
        <v>806</v>
      </c>
      <c r="B807" s="4">
        <v>44377</v>
      </c>
      <c r="C807" s="1" t="s">
        <v>533</v>
      </c>
      <c r="D807" s="1" t="s">
        <v>20</v>
      </c>
      <c r="E807" s="1" t="s">
        <v>40</v>
      </c>
      <c r="F807" s="2">
        <v>10</v>
      </c>
      <c r="G807" s="5">
        <v>1630</v>
      </c>
      <c r="H807" s="24">
        <f t="shared" si="60"/>
        <v>16300</v>
      </c>
      <c r="I807" s="7">
        <v>0.05</v>
      </c>
      <c r="J807" s="5">
        <f t="shared" si="61"/>
        <v>815</v>
      </c>
      <c r="K807" s="5">
        <f t="shared" si="62"/>
        <v>15485</v>
      </c>
      <c r="L807" s="5">
        <v>1150</v>
      </c>
      <c r="M807" s="5">
        <f t="shared" si="63"/>
        <v>3985</v>
      </c>
      <c r="N807" s="7">
        <f t="shared" si="64"/>
        <v>0.25734581853406524</v>
      </c>
      <c r="O807" s="1" t="s">
        <v>59</v>
      </c>
      <c r="P807" s="1" t="s">
        <v>31</v>
      </c>
      <c r="Q807" s="1" t="s">
        <v>24</v>
      </c>
      <c r="R807" s="1" t="s">
        <v>50</v>
      </c>
      <c r="S807" s="1" t="s">
        <v>415</v>
      </c>
      <c r="T807" s="15" t="s">
        <v>53</v>
      </c>
    </row>
    <row r="808" spans="1:20" x14ac:dyDescent="0.3">
      <c r="A808" s="14">
        <v>807</v>
      </c>
      <c r="B808" s="4">
        <v>44338</v>
      </c>
      <c r="C808" s="1" t="s">
        <v>532</v>
      </c>
      <c r="D808" s="1" t="s">
        <v>82</v>
      </c>
      <c r="E808" s="1" t="s">
        <v>43</v>
      </c>
      <c r="F808" s="2">
        <v>6</v>
      </c>
      <c r="G808" s="5">
        <v>270</v>
      </c>
      <c r="H808" s="24">
        <f t="shared" si="60"/>
        <v>1620</v>
      </c>
      <c r="I808" s="7">
        <v>0.15</v>
      </c>
      <c r="J808" s="5">
        <f t="shared" si="61"/>
        <v>243</v>
      </c>
      <c r="K808" s="5">
        <f t="shared" si="62"/>
        <v>1377</v>
      </c>
      <c r="L808" s="5">
        <v>190</v>
      </c>
      <c r="M808" s="5">
        <f t="shared" si="63"/>
        <v>237</v>
      </c>
      <c r="N808" s="7">
        <f t="shared" si="64"/>
        <v>0.17211328976034859</v>
      </c>
      <c r="O808" s="1" t="s">
        <v>59</v>
      </c>
      <c r="P808" s="1" t="s">
        <v>31</v>
      </c>
      <c r="Q808" s="1" t="s">
        <v>37</v>
      </c>
      <c r="R808" s="1" t="s">
        <v>46</v>
      </c>
      <c r="S808" s="1" t="s">
        <v>377</v>
      </c>
      <c r="T808" s="15" t="s">
        <v>27</v>
      </c>
    </row>
    <row r="809" spans="1:20" x14ac:dyDescent="0.3">
      <c r="A809" s="14">
        <v>808</v>
      </c>
      <c r="B809" s="4">
        <v>44214</v>
      </c>
      <c r="C809" s="1" t="s">
        <v>529</v>
      </c>
      <c r="D809" s="1" t="s">
        <v>20</v>
      </c>
      <c r="E809" s="1" t="s">
        <v>21</v>
      </c>
      <c r="F809" s="2">
        <v>12</v>
      </c>
      <c r="G809" s="5">
        <v>230</v>
      </c>
      <c r="H809" s="24">
        <f t="shared" si="60"/>
        <v>2760</v>
      </c>
      <c r="I809" s="7">
        <v>0.05</v>
      </c>
      <c r="J809" s="5">
        <f t="shared" si="61"/>
        <v>138</v>
      </c>
      <c r="K809" s="5">
        <f t="shared" si="62"/>
        <v>2622</v>
      </c>
      <c r="L809" s="5">
        <v>170</v>
      </c>
      <c r="M809" s="5">
        <f t="shared" si="63"/>
        <v>582</v>
      </c>
      <c r="N809" s="7">
        <f t="shared" si="64"/>
        <v>0.2219679633867277</v>
      </c>
      <c r="O809" s="1" t="s">
        <v>54</v>
      </c>
      <c r="P809" s="1" t="s">
        <v>31</v>
      </c>
      <c r="Q809" s="1" t="s">
        <v>24</v>
      </c>
      <c r="R809" s="1" t="s">
        <v>56</v>
      </c>
      <c r="S809" s="1" t="s">
        <v>87</v>
      </c>
      <c r="T809" s="15" t="s">
        <v>61</v>
      </c>
    </row>
    <row r="810" spans="1:20" x14ac:dyDescent="0.3">
      <c r="A810" s="14">
        <v>809</v>
      </c>
      <c r="B810" s="4">
        <v>44229</v>
      </c>
      <c r="C810" s="1" t="s">
        <v>533</v>
      </c>
      <c r="D810" s="1" t="s">
        <v>28</v>
      </c>
      <c r="E810" s="1" t="s">
        <v>40</v>
      </c>
      <c r="F810" s="2">
        <v>10</v>
      </c>
      <c r="G810" s="5">
        <v>1470</v>
      </c>
      <c r="H810" s="24">
        <f t="shared" si="60"/>
        <v>14700</v>
      </c>
      <c r="I810" s="7">
        <v>0.15</v>
      </c>
      <c r="J810" s="5">
        <f t="shared" si="61"/>
        <v>2205</v>
      </c>
      <c r="K810" s="5">
        <f t="shared" si="62"/>
        <v>12495</v>
      </c>
      <c r="L810" s="5">
        <v>890</v>
      </c>
      <c r="M810" s="5">
        <f t="shared" si="63"/>
        <v>3595</v>
      </c>
      <c r="N810" s="7">
        <f t="shared" si="64"/>
        <v>0.28771508603441376</v>
      </c>
      <c r="O810" s="1" t="s">
        <v>22</v>
      </c>
      <c r="P810" s="1" t="s">
        <v>31</v>
      </c>
      <c r="Q810" s="1" t="s">
        <v>37</v>
      </c>
      <c r="R810" s="1" t="s">
        <v>46</v>
      </c>
      <c r="S810" s="1" t="s">
        <v>281</v>
      </c>
      <c r="T810" s="15" t="s">
        <v>35</v>
      </c>
    </row>
    <row r="811" spans="1:20" x14ac:dyDescent="0.3">
      <c r="A811" s="14">
        <v>810</v>
      </c>
      <c r="B811" s="4">
        <v>44311</v>
      </c>
      <c r="C811" s="1" t="s">
        <v>533</v>
      </c>
      <c r="D811" s="1" t="s">
        <v>82</v>
      </c>
      <c r="E811" s="1" t="s">
        <v>21</v>
      </c>
      <c r="F811" s="2">
        <v>6</v>
      </c>
      <c r="G811" s="5">
        <v>210</v>
      </c>
      <c r="H811" s="24">
        <f t="shared" si="60"/>
        <v>1260</v>
      </c>
      <c r="I811" s="7">
        <v>0.02</v>
      </c>
      <c r="J811" s="5">
        <f t="shared" si="61"/>
        <v>25.2</v>
      </c>
      <c r="K811" s="5">
        <f t="shared" si="62"/>
        <v>1234.8</v>
      </c>
      <c r="L811" s="5">
        <v>170</v>
      </c>
      <c r="M811" s="5">
        <f t="shared" si="63"/>
        <v>214.79999999999995</v>
      </c>
      <c r="N811" s="7">
        <f t="shared" si="64"/>
        <v>0.17395529640427596</v>
      </c>
      <c r="O811" s="1" t="s">
        <v>22</v>
      </c>
      <c r="P811" s="1" t="s">
        <v>31</v>
      </c>
      <c r="Q811" s="1" t="s">
        <v>48</v>
      </c>
      <c r="R811" s="1" t="s">
        <v>88</v>
      </c>
      <c r="S811" s="1" t="s">
        <v>426</v>
      </c>
      <c r="T811" s="15" t="s">
        <v>35</v>
      </c>
    </row>
    <row r="812" spans="1:20" x14ac:dyDescent="0.3">
      <c r="A812" s="14">
        <v>811</v>
      </c>
      <c r="B812" s="4">
        <v>44519</v>
      </c>
      <c r="C812" s="1" t="s">
        <v>534</v>
      </c>
      <c r="D812" s="1" t="s">
        <v>20</v>
      </c>
      <c r="E812" s="1" t="s">
        <v>29</v>
      </c>
      <c r="F812" s="2">
        <v>10</v>
      </c>
      <c r="G812" s="5">
        <v>2220</v>
      </c>
      <c r="H812" s="24">
        <f t="shared" si="60"/>
        <v>22200</v>
      </c>
      <c r="I812" s="7">
        <v>0.05</v>
      </c>
      <c r="J812" s="5">
        <f t="shared" si="61"/>
        <v>1110</v>
      </c>
      <c r="K812" s="5">
        <f t="shared" si="62"/>
        <v>21090</v>
      </c>
      <c r="L812" s="5">
        <v>1700</v>
      </c>
      <c r="M812" s="5">
        <f t="shared" si="63"/>
        <v>4090</v>
      </c>
      <c r="N812" s="7">
        <f t="shared" si="64"/>
        <v>0.19393077287814131</v>
      </c>
      <c r="O812" s="1" t="s">
        <v>41</v>
      </c>
      <c r="P812" s="1" t="s">
        <v>31</v>
      </c>
      <c r="Q812" s="1" t="s">
        <v>48</v>
      </c>
      <c r="R812" s="1" t="s">
        <v>88</v>
      </c>
      <c r="S812" s="1" t="s">
        <v>204</v>
      </c>
      <c r="T812" s="15" t="s">
        <v>27</v>
      </c>
    </row>
    <row r="813" spans="1:20" x14ac:dyDescent="0.3">
      <c r="A813" s="14">
        <v>812</v>
      </c>
      <c r="B813" s="4">
        <v>44415</v>
      </c>
      <c r="C813" s="1" t="s">
        <v>533</v>
      </c>
      <c r="D813" s="1" t="s">
        <v>82</v>
      </c>
      <c r="E813" s="1" t="s">
        <v>40</v>
      </c>
      <c r="F813" s="2">
        <v>2</v>
      </c>
      <c r="G813" s="5">
        <v>1510</v>
      </c>
      <c r="H813" s="24">
        <f t="shared" si="60"/>
        <v>3020</v>
      </c>
      <c r="I813" s="7">
        <v>0.05</v>
      </c>
      <c r="J813" s="5">
        <f t="shared" si="61"/>
        <v>151</v>
      </c>
      <c r="K813" s="5">
        <f t="shared" si="62"/>
        <v>2869</v>
      </c>
      <c r="L813" s="5">
        <v>1200</v>
      </c>
      <c r="M813" s="5">
        <f t="shared" si="63"/>
        <v>469</v>
      </c>
      <c r="N813" s="7">
        <f t="shared" si="64"/>
        <v>0.16347159288950855</v>
      </c>
      <c r="O813" s="1" t="s">
        <v>59</v>
      </c>
      <c r="P813" s="1" t="s">
        <v>31</v>
      </c>
      <c r="Q813" s="1" t="s">
        <v>32</v>
      </c>
      <c r="R813" s="1" t="s">
        <v>50</v>
      </c>
      <c r="S813" s="1" t="s">
        <v>234</v>
      </c>
      <c r="T813" s="15" t="s">
        <v>35</v>
      </c>
    </row>
    <row r="814" spans="1:20" x14ac:dyDescent="0.3">
      <c r="A814" s="14">
        <v>813</v>
      </c>
      <c r="B814" s="4">
        <v>44536</v>
      </c>
      <c r="C814" s="1" t="s">
        <v>532</v>
      </c>
      <c r="D814" s="1" t="s">
        <v>28</v>
      </c>
      <c r="E814" s="1" t="s">
        <v>45</v>
      </c>
      <c r="F814" s="2">
        <v>8</v>
      </c>
      <c r="G814" s="5">
        <v>170</v>
      </c>
      <c r="H814" s="24">
        <f t="shared" si="60"/>
        <v>1360</v>
      </c>
      <c r="I814" s="7">
        <v>0.05</v>
      </c>
      <c r="J814" s="5">
        <f t="shared" si="61"/>
        <v>68</v>
      </c>
      <c r="K814" s="5">
        <f t="shared" si="62"/>
        <v>1292</v>
      </c>
      <c r="L814" s="5">
        <v>120</v>
      </c>
      <c r="M814" s="5">
        <f t="shared" si="63"/>
        <v>332</v>
      </c>
      <c r="N814" s="7">
        <f t="shared" si="64"/>
        <v>0.25696594427244585</v>
      </c>
      <c r="O814" s="1" t="s">
        <v>22</v>
      </c>
      <c r="P814" s="1" t="s">
        <v>31</v>
      </c>
      <c r="Q814" s="1" t="s">
        <v>24</v>
      </c>
      <c r="R814" s="1" t="s">
        <v>38</v>
      </c>
      <c r="S814" s="1" t="s">
        <v>408</v>
      </c>
      <c r="T814" s="15" t="s">
        <v>53</v>
      </c>
    </row>
    <row r="815" spans="1:20" x14ac:dyDescent="0.3">
      <c r="A815" s="14">
        <v>814</v>
      </c>
      <c r="B815" s="4">
        <v>44435</v>
      </c>
      <c r="C815" s="1" t="s">
        <v>530</v>
      </c>
      <c r="D815" s="1" t="s">
        <v>20</v>
      </c>
      <c r="E815" s="1" t="s">
        <v>21</v>
      </c>
      <c r="F815" s="2">
        <v>1</v>
      </c>
      <c r="G815" s="5">
        <v>200</v>
      </c>
      <c r="H815" s="24">
        <f t="shared" si="60"/>
        <v>200</v>
      </c>
      <c r="I815" s="7">
        <v>0.02</v>
      </c>
      <c r="J815" s="5">
        <f t="shared" si="61"/>
        <v>4</v>
      </c>
      <c r="K815" s="5">
        <f t="shared" si="62"/>
        <v>196</v>
      </c>
      <c r="L815" s="5">
        <v>150</v>
      </c>
      <c r="M815" s="5">
        <f t="shared" si="63"/>
        <v>46</v>
      </c>
      <c r="N815" s="7">
        <f t="shared" si="64"/>
        <v>0.23469387755102042</v>
      </c>
      <c r="O815" s="1" t="s">
        <v>59</v>
      </c>
      <c r="P815" s="1" t="s">
        <v>62</v>
      </c>
      <c r="Q815" s="1" t="s">
        <v>32</v>
      </c>
      <c r="R815" s="1" t="s">
        <v>88</v>
      </c>
      <c r="S815" s="1" t="s">
        <v>427</v>
      </c>
      <c r="T815" s="15" t="s">
        <v>61</v>
      </c>
    </row>
    <row r="816" spans="1:20" x14ac:dyDescent="0.3">
      <c r="A816" s="14">
        <v>815</v>
      </c>
      <c r="B816" s="4">
        <v>44474</v>
      </c>
      <c r="C816" s="1" t="s">
        <v>533</v>
      </c>
      <c r="D816" s="1" t="s">
        <v>82</v>
      </c>
      <c r="E816" s="1" t="s">
        <v>43</v>
      </c>
      <c r="F816" s="2">
        <v>6</v>
      </c>
      <c r="G816" s="5">
        <v>320</v>
      </c>
      <c r="H816" s="24">
        <f t="shared" si="60"/>
        <v>1920</v>
      </c>
      <c r="I816" s="7">
        <v>0.02</v>
      </c>
      <c r="J816" s="5">
        <f t="shared" si="61"/>
        <v>38.4</v>
      </c>
      <c r="K816" s="5">
        <f t="shared" si="62"/>
        <v>1881.6</v>
      </c>
      <c r="L816" s="5">
        <v>230</v>
      </c>
      <c r="M816" s="5">
        <f t="shared" si="63"/>
        <v>501.59999999999991</v>
      </c>
      <c r="N816" s="7">
        <f t="shared" si="64"/>
        <v>0.26658163265306117</v>
      </c>
      <c r="O816" s="1" t="s">
        <v>59</v>
      </c>
      <c r="P816" s="1" t="s">
        <v>31</v>
      </c>
      <c r="Q816" s="1" t="s">
        <v>48</v>
      </c>
      <c r="R816" s="1" t="s">
        <v>38</v>
      </c>
      <c r="S816" s="1" t="s">
        <v>105</v>
      </c>
      <c r="T816" s="15" t="s">
        <v>35</v>
      </c>
    </row>
    <row r="817" spans="1:20" x14ac:dyDescent="0.3">
      <c r="A817" s="14">
        <v>816</v>
      </c>
      <c r="B817" s="4">
        <v>44293</v>
      </c>
      <c r="C817" s="1" t="s">
        <v>529</v>
      </c>
      <c r="D817" s="1" t="s">
        <v>20</v>
      </c>
      <c r="E817" s="1" t="s">
        <v>21</v>
      </c>
      <c r="F817" s="2">
        <v>11</v>
      </c>
      <c r="G817" s="5">
        <v>190</v>
      </c>
      <c r="H817" s="24">
        <f t="shared" si="60"/>
        <v>2090</v>
      </c>
      <c r="I817" s="7">
        <v>0.15</v>
      </c>
      <c r="J817" s="5">
        <f t="shared" si="61"/>
        <v>313.5</v>
      </c>
      <c r="K817" s="5">
        <f t="shared" si="62"/>
        <v>1776.5</v>
      </c>
      <c r="L817" s="5">
        <v>130</v>
      </c>
      <c r="M817" s="5">
        <f t="shared" si="63"/>
        <v>346.5</v>
      </c>
      <c r="N817" s="7">
        <f t="shared" si="64"/>
        <v>0.19504643962848298</v>
      </c>
      <c r="O817" s="1" t="s">
        <v>30</v>
      </c>
      <c r="P817" s="1" t="s">
        <v>31</v>
      </c>
      <c r="Q817" s="1" t="s">
        <v>48</v>
      </c>
      <c r="R817" s="1" t="s">
        <v>56</v>
      </c>
      <c r="S817" s="1" t="s">
        <v>428</v>
      </c>
      <c r="T817" s="15" t="s">
        <v>35</v>
      </c>
    </row>
    <row r="818" spans="1:20" x14ac:dyDescent="0.3">
      <c r="A818" s="14">
        <v>817</v>
      </c>
      <c r="B818" s="4">
        <v>44408</v>
      </c>
      <c r="C818" s="1" t="s">
        <v>533</v>
      </c>
      <c r="D818" s="1" t="s">
        <v>80</v>
      </c>
      <c r="E818" s="1" t="s">
        <v>40</v>
      </c>
      <c r="F818" s="2">
        <v>10</v>
      </c>
      <c r="G818" s="5">
        <v>1390</v>
      </c>
      <c r="H818" s="24">
        <f t="shared" si="60"/>
        <v>13900</v>
      </c>
      <c r="I818" s="7">
        <v>0.02</v>
      </c>
      <c r="J818" s="5">
        <f t="shared" si="61"/>
        <v>278</v>
      </c>
      <c r="K818" s="5">
        <f t="shared" si="62"/>
        <v>13622</v>
      </c>
      <c r="L818" s="5">
        <v>880</v>
      </c>
      <c r="M818" s="5">
        <f t="shared" si="63"/>
        <v>4822</v>
      </c>
      <c r="N818" s="7">
        <f t="shared" si="64"/>
        <v>0.35398619879606519</v>
      </c>
      <c r="O818" s="1" t="s">
        <v>59</v>
      </c>
      <c r="P818" s="1" t="s">
        <v>23</v>
      </c>
      <c r="Q818" s="1" t="s">
        <v>32</v>
      </c>
      <c r="R818" s="1" t="s">
        <v>63</v>
      </c>
      <c r="S818" s="1" t="s">
        <v>206</v>
      </c>
      <c r="T818" s="15" t="s">
        <v>61</v>
      </c>
    </row>
    <row r="819" spans="1:20" x14ac:dyDescent="0.3">
      <c r="A819" s="14">
        <v>818</v>
      </c>
      <c r="B819" s="4">
        <v>44530</v>
      </c>
      <c r="C819" s="1" t="s">
        <v>533</v>
      </c>
      <c r="D819" s="1" t="s">
        <v>82</v>
      </c>
      <c r="E819" s="1" t="s">
        <v>21</v>
      </c>
      <c r="F819" s="2">
        <v>3</v>
      </c>
      <c r="G819" s="5">
        <v>230</v>
      </c>
      <c r="H819" s="24">
        <f t="shared" si="60"/>
        <v>690</v>
      </c>
      <c r="I819" s="7">
        <v>0.02</v>
      </c>
      <c r="J819" s="5">
        <f t="shared" si="61"/>
        <v>13.8</v>
      </c>
      <c r="K819" s="5">
        <f t="shared" si="62"/>
        <v>676.2</v>
      </c>
      <c r="L819" s="5">
        <v>180</v>
      </c>
      <c r="M819" s="5">
        <f t="shared" si="63"/>
        <v>136.20000000000005</v>
      </c>
      <c r="N819" s="7">
        <f t="shared" si="64"/>
        <v>0.2014196983141083</v>
      </c>
      <c r="O819" s="1" t="s">
        <v>54</v>
      </c>
      <c r="P819" s="1" t="s">
        <v>31</v>
      </c>
      <c r="Q819" s="1" t="s">
        <v>24</v>
      </c>
      <c r="R819" s="1" t="s">
        <v>38</v>
      </c>
      <c r="S819" s="1" t="s">
        <v>106</v>
      </c>
      <c r="T819" s="15" t="s">
        <v>53</v>
      </c>
    </row>
    <row r="820" spans="1:20" x14ac:dyDescent="0.3">
      <c r="A820" s="14">
        <v>819</v>
      </c>
      <c r="B820" s="4">
        <v>44471</v>
      </c>
      <c r="C820" s="1" t="s">
        <v>533</v>
      </c>
      <c r="D820" s="1" t="s">
        <v>82</v>
      </c>
      <c r="E820" s="1" t="s">
        <v>45</v>
      </c>
      <c r="F820" s="2">
        <v>1</v>
      </c>
      <c r="G820" s="5">
        <v>190</v>
      </c>
      <c r="H820" s="24">
        <f t="shared" si="60"/>
        <v>190</v>
      </c>
      <c r="I820" s="7">
        <v>0.1</v>
      </c>
      <c r="J820" s="5">
        <f t="shared" si="61"/>
        <v>19</v>
      </c>
      <c r="K820" s="5">
        <f t="shared" si="62"/>
        <v>171</v>
      </c>
      <c r="L820" s="5">
        <v>140</v>
      </c>
      <c r="M820" s="5">
        <f t="shared" si="63"/>
        <v>31</v>
      </c>
      <c r="N820" s="7">
        <f t="shared" si="64"/>
        <v>0.18128654970760233</v>
      </c>
      <c r="O820" s="1" t="s">
        <v>30</v>
      </c>
      <c r="P820" s="1" t="s">
        <v>31</v>
      </c>
      <c r="Q820" s="1" t="s">
        <v>37</v>
      </c>
      <c r="R820" s="1" t="s">
        <v>63</v>
      </c>
      <c r="S820" s="1" t="s">
        <v>191</v>
      </c>
      <c r="T820" s="15" t="s">
        <v>53</v>
      </c>
    </row>
    <row r="821" spans="1:20" x14ac:dyDescent="0.3">
      <c r="A821" s="14">
        <v>820</v>
      </c>
      <c r="B821" s="4">
        <v>44208</v>
      </c>
      <c r="C821" s="1" t="s">
        <v>533</v>
      </c>
      <c r="D821" s="1" t="s">
        <v>82</v>
      </c>
      <c r="E821" s="1" t="s">
        <v>43</v>
      </c>
      <c r="F821" s="2">
        <v>2</v>
      </c>
      <c r="G821" s="5">
        <v>310</v>
      </c>
      <c r="H821" s="24">
        <f t="shared" si="60"/>
        <v>620</v>
      </c>
      <c r="I821" s="7">
        <v>0</v>
      </c>
      <c r="J821" s="5">
        <f t="shared" si="61"/>
        <v>0</v>
      </c>
      <c r="K821" s="5">
        <f t="shared" si="62"/>
        <v>620</v>
      </c>
      <c r="L821" s="5">
        <v>220</v>
      </c>
      <c r="M821" s="5">
        <f t="shared" si="63"/>
        <v>180</v>
      </c>
      <c r="N821" s="7">
        <f t="shared" si="64"/>
        <v>0.29032258064516131</v>
      </c>
      <c r="O821" s="1" t="s">
        <v>54</v>
      </c>
      <c r="P821" s="1" t="s">
        <v>31</v>
      </c>
      <c r="Q821" s="1" t="s">
        <v>37</v>
      </c>
      <c r="R821" s="1" t="s">
        <v>63</v>
      </c>
      <c r="S821" s="1" t="s">
        <v>328</v>
      </c>
      <c r="T821" s="15" t="s">
        <v>53</v>
      </c>
    </row>
    <row r="822" spans="1:20" x14ac:dyDescent="0.3">
      <c r="A822" s="14">
        <v>821</v>
      </c>
      <c r="B822" s="4">
        <v>44375</v>
      </c>
      <c r="C822" s="1" t="s">
        <v>533</v>
      </c>
      <c r="D822" s="1" t="s">
        <v>20</v>
      </c>
      <c r="E822" s="1" t="s">
        <v>36</v>
      </c>
      <c r="F822" s="2">
        <v>10</v>
      </c>
      <c r="G822" s="5">
        <v>2290</v>
      </c>
      <c r="H822" s="24">
        <f t="shared" si="60"/>
        <v>22900</v>
      </c>
      <c r="I822" s="7">
        <v>0.05</v>
      </c>
      <c r="J822" s="5">
        <f t="shared" si="61"/>
        <v>1145</v>
      </c>
      <c r="K822" s="5">
        <f t="shared" si="62"/>
        <v>21755</v>
      </c>
      <c r="L822" s="5">
        <v>1340</v>
      </c>
      <c r="M822" s="5">
        <f t="shared" si="63"/>
        <v>8355</v>
      </c>
      <c r="N822" s="7">
        <f t="shared" si="64"/>
        <v>0.38404964376005518</v>
      </c>
      <c r="O822" s="1" t="s">
        <v>54</v>
      </c>
      <c r="P822" s="1" t="s">
        <v>31</v>
      </c>
      <c r="Q822" s="1" t="s">
        <v>37</v>
      </c>
      <c r="R822" s="1" t="s">
        <v>33</v>
      </c>
      <c r="S822" s="1" t="s">
        <v>429</v>
      </c>
      <c r="T822" s="15" t="s">
        <v>61</v>
      </c>
    </row>
    <row r="823" spans="1:20" x14ac:dyDescent="0.3">
      <c r="A823" s="14">
        <v>822</v>
      </c>
      <c r="B823" s="4">
        <v>44424</v>
      </c>
      <c r="C823" s="1" t="s">
        <v>529</v>
      </c>
      <c r="D823" s="1" t="s">
        <v>20</v>
      </c>
      <c r="E823" s="1" t="s">
        <v>29</v>
      </c>
      <c r="F823" s="2">
        <v>8</v>
      </c>
      <c r="G823" s="5">
        <v>2210</v>
      </c>
      <c r="H823" s="24">
        <f t="shared" si="60"/>
        <v>17680</v>
      </c>
      <c r="I823" s="7">
        <v>0.05</v>
      </c>
      <c r="J823" s="5">
        <f t="shared" si="61"/>
        <v>884</v>
      </c>
      <c r="K823" s="5">
        <f t="shared" si="62"/>
        <v>16796</v>
      </c>
      <c r="L823" s="5">
        <v>1360</v>
      </c>
      <c r="M823" s="5">
        <f t="shared" si="63"/>
        <v>5916</v>
      </c>
      <c r="N823" s="7">
        <f t="shared" si="64"/>
        <v>0.35222672064777327</v>
      </c>
      <c r="O823" s="1" t="s">
        <v>54</v>
      </c>
      <c r="P823" s="1" t="s">
        <v>31</v>
      </c>
      <c r="Q823" s="1" t="s">
        <v>24</v>
      </c>
      <c r="R823" s="1" t="s">
        <v>63</v>
      </c>
      <c r="S823" s="1" t="s">
        <v>135</v>
      </c>
      <c r="T823" s="15" t="s">
        <v>61</v>
      </c>
    </row>
    <row r="824" spans="1:20" x14ac:dyDescent="0.3">
      <c r="A824" s="14">
        <v>823</v>
      </c>
      <c r="B824" s="4">
        <v>44434</v>
      </c>
      <c r="C824" s="1" t="s">
        <v>532</v>
      </c>
      <c r="D824" s="1" t="s">
        <v>20</v>
      </c>
      <c r="E824" s="1" t="s">
        <v>43</v>
      </c>
      <c r="F824" s="2">
        <v>8</v>
      </c>
      <c r="G824" s="5">
        <v>280</v>
      </c>
      <c r="H824" s="24">
        <f t="shared" si="60"/>
        <v>2240</v>
      </c>
      <c r="I824" s="7">
        <v>0</v>
      </c>
      <c r="J824" s="5">
        <f t="shared" si="61"/>
        <v>0</v>
      </c>
      <c r="K824" s="5">
        <f t="shared" si="62"/>
        <v>2240</v>
      </c>
      <c r="L824" s="5">
        <v>170</v>
      </c>
      <c r="M824" s="5">
        <f t="shared" si="63"/>
        <v>880</v>
      </c>
      <c r="N824" s="7">
        <f t="shared" si="64"/>
        <v>0.39285714285714285</v>
      </c>
      <c r="O824" s="1" t="s">
        <v>22</v>
      </c>
      <c r="P824" s="1" t="s">
        <v>31</v>
      </c>
      <c r="Q824" s="1" t="s">
        <v>48</v>
      </c>
      <c r="R824" s="1" t="s">
        <v>63</v>
      </c>
      <c r="S824" s="1" t="s">
        <v>174</v>
      </c>
      <c r="T824" s="15" t="s">
        <v>61</v>
      </c>
    </row>
    <row r="825" spans="1:20" x14ac:dyDescent="0.3">
      <c r="A825" s="14">
        <v>824</v>
      </c>
      <c r="B825" s="4">
        <v>44513</v>
      </c>
      <c r="C825" s="1" t="s">
        <v>533</v>
      </c>
      <c r="D825" s="1" t="s">
        <v>20</v>
      </c>
      <c r="E825" s="1" t="s">
        <v>45</v>
      </c>
      <c r="F825" s="2">
        <v>1</v>
      </c>
      <c r="G825" s="5">
        <v>180</v>
      </c>
      <c r="H825" s="24">
        <f t="shared" si="60"/>
        <v>180</v>
      </c>
      <c r="I825" s="7">
        <v>0.05</v>
      </c>
      <c r="J825" s="5">
        <f t="shared" si="61"/>
        <v>9</v>
      </c>
      <c r="K825" s="5">
        <f t="shared" si="62"/>
        <v>171</v>
      </c>
      <c r="L825" s="5">
        <v>140</v>
      </c>
      <c r="M825" s="5">
        <f t="shared" si="63"/>
        <v>31</v>
      </c>
      <c r="N825" s="7">
        <f t="shared" si="64"/>
        <v>0.18128654970760233</v>
      </c>
      <c r="O825" s="1" t="s">
        <v>30</v>
      </c>
      <c r="P825" s="1" t="s">
        <v>31</v>
      </c>
      <c r="Q825" s="1" t="s">
        <v>32</v>
      </c>
      <c r="R825" s="1" t="s">
        <v>46</v>
      </c>
      <c r="S825" s="1" t="s">
        <v>430</v>
      </c>
      <c r="T825" s="15" t="s">
        <v>27</v>
      </c>
    </row>
    <row r="826" spans="1:20" x14ac:dyDescent="0.3">
      <c r="A826" s="14">
        <v>825</v>
      </c>
      <c r="B826" s="4">
        <v>44301</v>
      </c>
      <c r="C826" s="1" t="s">
        <v>533</v>
      </c>
      <c r="D826" s="1" t="s">
        <v>80</v>
      </c>
      <c r="E826" s="1" t="s">
        <v>21</v>
      </c>
      <c r="F826" s="2">
        <v>10</v>
      </c>
      <c r="G826" s="5">
        <v>240</v>
      </c>
      <c r="H826" s="24">
        <f t="shared" si="60"/>
        <v>2400</v>
      </c>
      <c r="I826" s="7">
        <v>0.1</v>
      </c>
      <c r="J826" s="5">
        <f t="shared" si="61"/>
        <v>240</v>
      </c>
      <c r="K826" s="5">
        <f t="shared" si="62"/>
        <v>2160</v>
      </c>
      <c r="L826" s="5">
        <v>150</v>
      </c>
      <c r="M826" s="5">
        <f t="shared" si="63"/>
        <v>660</v>
      </c>
      <c r="N826" s="7">
        <f t="shared" si="64"/>
        <v>0.30555555555555558</v>
      </c>
      <c r="O826" s="1" t="s">
        <v>30</v>
      </c>
      <c r="P826" s="1" t="s">
        <v>31</v>
      </c>
      <c r="Q826" s="1" t="s">
        <v>24</v>
      </c>
      <c r="R826" s="1" t="s">
        <v>88</v>
      </c>
      <c r="S826" s="1" t="s">
        <v>194</v>
      </c>
      <c r="T826" s="15" t="s">
        <v>35</v>
      </c>
    </row>
    <row r="827" spans="1:20" x14ac:dyDescent="0.3">
      <c r="A827" s="14">
        <v>826</v>
      </c>
      <c r="B827" s="4">
        <v>44291</v>
      </c>
      <c r="C827" s="1" t="s">
        <v>529</v>
      </c>
      <c r="D827" s="1" t="s">
        <v>82</v>
      </c>
      <c r="E827" s="1" t="s">
        <v>29</v>
      </c>
      <c r="F827" s="2">
        <v>12</v>
      </c>
      <c r="G827" s="5">
        <v>1910</v>
      </c>
      <c r="H827" s="24">
        <f t="shared" si="60"/>
        <v>22920</v>
      </c>
      <c r="I827" s="7">
        <v>0</v>
      </c>
      <c r="J827" s="5">
        <f t="shared" si="61"/>
        <v>0</v>
      </c>
      <c r="K827" s="5">
        <f t="shared" si="62"/>
        <v>22920</v>
      </c>
      <c r="L827" s="5">
        <v>1410</v>
      </c>
      <c r="M827" s="5">
        <f t="shared" si="63"/>
        <v>6000</v>
      </c>
      <c r="N827" s="7">
        <f t="shared" si="64"/>
        <v>0.26178010471204188</v>
      </c>
      <c r="O827" s="1" t="s">
        <v>59</v>
      </c>
      <c r="P827" s="1" t="s">
        <v>31</v>
      </c>
      <c r="Q827" s="1" t="s">
        <v>24</v>
      </c>
      <c r="R827" s="1" t="s">
        <v>66</v>
      </c>
      <c r="S827" s="1" t="s">
        <v>294</v>
      </c>
      <c r="T827" s="15" t="s">
        <v>53</v>
      </c>
    </row>
    <row r="828" spans="1:20" x14ac:dyDescent="0.3">
      <c r="A828" s="14">
        <v>827</v>
      </c>
      <c r="B828" s="4">
        <v>44262</v>
      </c>
      <c r="C828" s="1" t="s">
        <v>530</v>
      </c>
      <c r="D828" s="1" t="s">
        <v>28</v>
      </c>
      <c r="E828" s="1" t="s">
        <v>45</v>
      </c>
      <c r="F828" s="2">
        <v>3</v>
      </c>
      <c r="G828" s="5">
        <v>180</v>
      </c>
      <c r="H828" s="24">
        <f t="shared" si="60"/>
        <v>540</v>
      </c>
      <c r="I828" s="7">
        <v>0</v>
      </c>
      <c r="J828" s="5">
        <f t="shared" si="61"/>
        <v>0</v>
      </c>
      <c r="K828" s="5">
        <f t="shared" si="62"/>
        <v>540</v>
      </c>
      <c r="L828" s="5">
        <v>140</v>
      </c>
      <c r="M828" s="5">
        <f t="shared" si="63"/>
        <v>120</v>
      </c>
      <c r="N828" s="7">
        <f t="shared" si="64"/>
        <v>0.22222222222222221</v>
      </c>
      <c r="O828" s="1" t="s">
        <v>59</v>
      </c>
      <c r="P828" s="1" t="s">
        <v>31</v>
      </c>
      <c r="Q828" s="1" t="s">
        <v>37</v>
      </c>
      <c r="R828" s="1" t="s">
        <v>33</v>
      </c>
      <c r="S828" s="1" t="s">
        <v>431</v>
      </c>
      <c r="T828" s="15" t="s">
        <v>61</v>
      </c>
    </row>
    <row r="829" spans="1:20" x14ac:dyDescent="0.3">
      <c r="A829" s="14">
        <v>828</v>
      </c>
      <c r="B829" s="4">
        <v>44239</v>
      </c>
      <c r="C829" s="1" t="s">
        <v>530</v>
      </c>
      <c r="D829" s="1" t="s">
        <v>80</v>
      </c>
      <c r="E829" s="1" t="s">
        <v>29</v>
      </c>
      <c r="F829" s="2">
        <v>11</v>
      </c>
      <c r="G829" s="5">
        <v>1990</v>
      </c>
      <c r="H829" s="24">
        <f t="shared" si="60"/>
        <v>21890</v>
      </c>
      <c r="I829" s="7">
        <v>0.1</v>
      </c>
      <c r="J829" s="5">
        <f t="shared" si="61"/>
        <v>2189</v>
      </c>
      <c r="K829" s="5">
        <f t="shared" si="62"/>
        <v>19701</v>
      </c>
      <c r="L829" s="5">
        <v>1550</v>
      </c>
      <c r="M829" s="5">
        <f t="shared" si="63"/>
        <v>2651</v>
      </c>
      <c r="N829" s="7">
        <f t="shared" si="64"/>
        <v>0.13456169737576773</v>
      </c>
      <c r="O829" s="1" t="s">
        <v>54</v>
      </c>
      <c r="P829" s="1" t="s">
        <v>31</v>
      </c>
      <c r="Q829" s="1" t="s">
        <v>32</v>
      </c>
      <c r="R829" s="1" t="s">
        <v>38</v>
      </c>
      <c r="S829" s="1" t="s">
        <v>293</v>
      </c>
      <c r="T829" s="15" t="s">
        <v>27</v>
      </c>
    </row>
    <row r="830" spans="1:20" x14ac:dyDescent="0.3">
      <c r="A830" s="14">
        <v>829</v>
      </c>
      <c r="B830" s="4">
        <v>44509</v>
      </c>
      <c r="C830" s="1" t="s">
        <v>529</v>
      </c>
      <c r="D830" s="1" t="s">
        <v>28</v>
      </c>
      <c r="E830" s="1" t="s">
        <v>43</v>
      </c>
      <c r="F830" s="2">
        <v>4</v>
      </c>
      <c r="G830" s="5">
        <v>320</v>
      </c>
      <c r="H830" s="24">
        <f t="shared" si="60"/>
        <v>1280</v>
      </c>
      <c r="I830" s="7">
        <v>0.05</v>
      </c>
      <c r="J830" s="5">
        <f t="shared" si="61"/>
        <v>64</v>
      </c>
      <c r="K830" s="5">
        <f t="shared" si="62"/>
        <v>1216</v>
      </c>
      <c r="L830" s="5">
        <v>260</v>
      </c>
      <c r="M830" s="5">
        <f t="shared" si="63"/>
        <v>176</v>
      </c>
      <c r="N830" s="7">
        <f t="shared" si="64"/>
        <v>0.14473684210526316</v>
      </c>
      <c r="O830" s="1" t="s">
        <v>41</v>
      </c>
      <c r="P830" s="1" t="s">
        <v>31</v>
      </c>
      <c r="Q830" s="1" t="s">
        <v>24</v>
      </c>
      <c r="R830" s="1" t="s">
        <v>46</v>
      </c>
      <c r="S830" s="1" t="s">
        <v>71</v>
      </c>
      <c r="T830" s="15" t="s">
        <v>35</v>
      </c>
    </row>
    <row r="831" spans="1:20" x14ac:dyDescent="0.3">
      <c r="A831" s="14">
        <v>830</v>
      </c>
      <c r="B831" s="4">
        <v>44255</v>
      </c>
      <c r="C831" s="1" t="s">
        <v>529</v>
      </c>
      <c r="D831" s="1" t="s">
        <v>20</v>
      </c>
      <c r="E831" s="1" t="s">
        <v>21</v>
      </c>
      <c r="F831" s="2">
        <v>6</v>
      </c>
      <c r="G831" s="5">
        <v>220</v>
      </c>
      <c r="H831" s="24">
        <f t="shared" si="60"/>
        <v>1320</v>
      </c>
      <c r="I831" s="7">
        <v>0.05</v>
      </c>
      <c r="J831" s="5">
        <f t="shared" si="61"/>
        <v>66</v>
      </c>
      <c r="K831" s="5">
        <f t="shared" si="62"/>
        <v>1254</v>
      </c>
      <c r="L831" s="5">
        <v>160</v>
      </c>
      <c r="M831" s="5">
        <f t="shared" si="63"/>
        <v>294</v>
      </c>
      <c r="N831" s="7">
        <f t="shared" si="64"/>
        <v>0.23444976076555024</v>
      </c>
      <c r="O831" s="1" t="s">
        <v>59</v>
      </c>
      <c r="P831" s="1" t="s">
        <v>31</v>
      </c>
      <c r="Q831" s="1" t="s">
        <v>48</v>
      </c>
      <c r="R831" s="1" t="s">
        <v>50</v>
      </c>
      <c r="S831" s="1" t="s">
        <v>276</v>
      </c>
      <c r="T831" s="15" t="s">
        <v>53</v>
      </c>
    </row>
    <row r="832" spans="1:20" x14ac:dyDescent="0.3">
      <c r="A832" s="14">
        <v>831</v>
      </c>
      <c r="B832" s="4">
        <v>44530</v>
      </c>
      <c r="C832" s="1" t="s">
        <v>532</v>
      </c>
      <c r="D832" s="1" t="s">
        <v>20</v>
      </c>
      <c r="E832" s="1" t="s">
        <v>21</v>
      </c>
      <c r="F832" s="2">
        <v>10</v>
      </c>
      <c r="G832" s="5">
        <v>230</v>
      </c>
      <c r="H832" s="24">
        <f t="shared" si="60"/>
        <v>2300</v>
      </c>
      <c r="I832" s="7">
        <v>0.05</v>
      </c>
      <c r="J832" s="5">
        <f t="shared" si="61"/>
        <v>115</v>
      </c>
      <c r="K832" s="5">
        <f t="shared" si="62"/>
        <v>2185</v>
      </c>
      <c r="L832" s="5">
        <v>160</v>
      </c>
      <c r="M832" s="5">
        <f t="shared" si="63"/>
        <v>585</v>
      </c>
      <c r="N832" s="7">
        <f t="shared" si="64"/>
        <v>0.26773455377574373</v>
      </c>
      <c r="O832" s="1" t="s">
        <v>30</v>
      </c>
      <c r="P832" s="1" t="s">
        <v>31</v>
      </c>
      <c r="Q832" s="1" t="s">
        <v>24</v>
      </c>
      <c r="R832" s="1" t="s">
        <v>25</v>
      </c>
      <c r="S832" s="1" t="s">
        <v>185</v>
      </c>
      <c r="T832" s="15" t="s">
        <v>27</v>
      </c>
    </row>
    <row r="833" spans="1:20" x14ac:dyDescent="0.3">
      <c r="A833" s="14">
        <v>832</v>
      </c>
      <c r="B833" s="4">
        <v>44335</v>
      </c>
      <c r="C833" s="1" t="s">
        <v>529</v>
      </c>
      <c r="D833" s="1" t="s">
        <v>20</v>
      </c>
      <c r="E833" s="1" t="s">
        <v>40</v>
      </c>
      <c r="F833" s="2">
        <v>2</v>
      </c>
      <c r="G833" s="5">
        <v>1410</v>
      </c>
      <c r="H833" s="24">
        <f t="shared" si="60"/>
        <v>2820</v>
      </c>
      <c r="I833" s="7">
        <v>0.05</v>
      </c>
      <c r="J833" s="5">
        <f t="shared" si="61"/>
        <v>141</v>
      </c>
      <c r="K833" s="5">
        <f t="shared" si="62"/>
        <v>2679</v>
      </c>
      <c r="L833" s="5">
        <v>980</v>
      </c>
      <c r="M833" s="5">
        <f t="shared" si="63"/>
        <v>719</v>
      </c>
      <c r="N833" s="7">
        <f t="shared" si="64"/>
        <v>0.26838372527062337</v>
      </c>
      <c r="O833" s="1" t="s">
        <v>54</v>
      </c>
      <c r="P833" s="1" t="s">
        <v>31</v>
      </c>
      <c r="Q833" s="1" t="s">
        <v>32</v>
      </c>
      <c r="R833" s="1" t="s">
        <v>33</v>
      </c>
      <c r="S833" s="1" t="s">
        <v>302</v>
      </c>
      <c r="T833" s="15" t="s">
        <v>61</v>
      </c>
    </row>
    <row r="834" spans="1:20" x14ac:dyDescent="0.3">
      <c r="A834" s="14">
        <v>833</v>
      </c>
      <c r="B834" s="4">
        <v>44301</v>
      </c>
      <c r="C834" s="1" t="s">
        <v>531</v>
      </c>
      <c r="D834" s="1" t="s">
        <v>20</v>
      </c>
      <c r="E834" s="1" t="s">
        <v>36</v>
      </c>
      <c r="F834" s="2">
        <v>12</v>
      </c>
      <c r="G834" s="5">
        <v>1220</v>
      </c>
      <c r="H834" s="24">
        <f t="shared" ref="H834:H897" si="65">F834*G834</f>
        <v>14640</v>
      </c>
      <c r="I834" s="7">
        <v>0</v>
      </c>
      <c r="J834" s="5">
        <f t="shared" ref="J834:J897" si="66">H834*I834</f>
        <v>0</v>
      </c>
      <c r="K834" s="5">
        <f t="shared" ref="K834:K897" si="67">H834-J834</f>
        <v>14640</v>
      </c>
      <c r="L834" s="5">
        <v>840</v>
      </c>
      <c r="M834" s="5">
        <f t="shared" ref="M834:M897" si="68">K834-(F834*L834)</f>
        <v>4560</v>
      </c>
      <c r="N834" s="7">
        <f t="shared" ref="N834:N897" si="69">IFERROR(M834/K834,0)</f>
        <v>0.31147540983606559</v>
      </c>
      <c r="O834" s="1" t="s">
        <v>22</v>
      </c>
      <c r="P834" s="1" t="s">
        <v>31</v>
      </c>
      <c r="Q834" s="1" t="s">
        <v>48</v>
      </c>
      <c r="R834" s="1" t="s">
        <v>66</v>
      </c>
      <c r="S834" s="1" t="s">
        <v>110</v>
      </c>
      <c r="T834" s="15" t="s">
        <v>61</v>
      </c>
    </row>
    <row r="835" spans="1:20" x14ac:dyDescent="0.3">
      <c r="A835" s="14">
        <v>834</v>
      </c>
      <c r="B835" s="4">
        <v>44335</v>
      </c>
      <c r="C835" s="1" t="s">
        <v>529</v>
      </c>
      <c r="D835" s="1" t="s">
        <v>20</v>
      </c>
      <c r="E835" s="1" t="s">
        <v>43</v>
      </c>
      <c r="F835" s="2">
        <v>9</v>
      </c>
      <c r="G835" s="5">
        <v>340</v>
      </c>
      <c r="H835" s="24">
        <f t="shared" si="65"/>
        <v>3060</v>
      </c>
      <c r="I835" s="7">
        <v>0.15</v>
      </c>
      <c r="J835" s="5">
        <f t="shared" si="66"/>
        <v>459</v>
      </c>
      <c r="K835" s="5">
        <f t="shared" si="67"/>
        <v>2601</v>
      </c>
      <c r="L835" s="5">
        <v>240</v>
      </c>
      <c r="M835" s="5">
        <f t="shared" si="68"/>
        <v>441</v>
      </c>
      <c r="N835" s="7">
        <f t="shared" si="69"/>
        <v>0.16955017301038061</v>
      </c>
      <c r="O835" s="1" t="s">
        <v>30</v>
      </c>
      <c r="P835" s="1" t="s">
        <v>31</v>
      </c>
      <c r="Q835" s="1" t="s">
        <v>24</v>
      </c>
      <c r="R835" s="1" t="s">
        <v>49</v>
      </c>
      <c r="S835" s="1" t="s">
        <v>432</v>
      </c>
      <c r="T835" s="15" t="s">
        <v>53</v>
      </c>
    </row>
    <row r="836" spans="1:20" x14ac:dyDescent="0.3">
      <c r="A836" s="14">
        <v>835</v>
      </c>
      <c r="B836" s="4">
        <v>44557</v>
      </c>
      <c r="C836" s="1" t="s">
        <v>533</v>
      </c>
      <c r="D836" s="1" t="s">
        <v>82</v>
      </c>
      <c r="E836" s="1" t="s">
        <v>43</v>
      </c>
      <c r="F836" s="2">
        <v>10</v>
      </c>
      <c r="G836" s="5">
        <v>290</v>
      </c>
      <c r="H836" s="24">
        <f t="shared" si="65"/>
        <v>2900</v>
      </c>
      <c r="I836" s="7">
        <v>0.02</v>
      </c>
      <c r="J836" s="5">
        <f t="shared" si="66"/>
        <v>58</v>
      </c>
      <c r="K836" s="5">
        <f t="shared" si="67"/>
        <v>2842</v>
      </c>
      <c r="L836" s="5">
        <v>220</v>
      </c>
      <c r="M836" s="5">
        <f t="shared" si="68"/>
        <v>642</v>
      </c>
      <c r="N836" s="7">
        <f t="shared" si="69"/>
        <v>0.22589725545390571</v>
      </c>
      <c r="O836" s="1" t="s">
        <v>30</v>
      </c>
      <c r="P836" s="1" t="s">
        <v>31</v>
      </c>
      <c r="Q836" s="1" t="s">
        <v>37</v>
      </c>
      <c r="R836" s="1" t="s">
        <v>50</v>
      </c>
      <c r="S836" s="1" t="s">
        <v>433</v>
      </c>
      <c r="T836" s="15" t="s">
        <v>53</v>
      </c>
    </row>
    <row r="837" spans="1:20" x14ac:dyDescent="0.3">
      <c r="A837" s="14">
        <v>836</v>
      </c>
      <c r="B837" s="4">
        <v>44347</v>
      </c>
      <c r="C837" s="1" t="s">
        <v>532</v>
      </c>
      <c r="D837" s="1" t="s">
        <v>80</v>
      </c>
      <c r="E837" s="1" t="s">
        <v>29</v>
      </c>
      <c r="F837" s="2">
        <v>11</v>
      </c>
      <c r="G837" s="5">
        <v>1930</v>
      </c>
      <c r="H837" s="24">
        <f t="shared" si="65"/>
        <v>21230</v>
      </c>
      <c r="I837" s="7">
        <v>0.05</v>
      </c>
      <c r="J837" s="5">
        <f t="shared" si="66"/>
        <v>1061.5</v>
      </c>
      <c r="K837" s="5">
        <f t="shared" si="67"/>
        <v>20168.5</v>
      </c>
      <c r="L837" s="5">
        <v>1290</v>
      </c>
      <c r="M837" s="5">
        <f t="shared" si="68"/>
        <v>5978.5</v>
      </c>
      <c r="N837" s="7">
        <f t="shared" si="69"/>
        <v>0.29642759749113717</v>
      </c>
      <c r="O837" s="1" t="s">
        <v>41</v>
      </c>
      <c r="P837" s="1" t="s">
        <v>31</v>
      </c>
      <c r="Q837" s="1" t="s">
        <v>24</v>
      </c>
      <c r="R837" s="1" t="s">
        <v>63</v>
      </c>
      <c r="S837" s="1" t="s">
        <v>427</v>
      </c>
      <c r="T837" s="15" t="s">
        <v>61</v>
      </c>
    </row>
    <row r="838" spans="1:20" x14ac:dyDescent="0.3">
      <c r="A838" s="14">
        <v>837</v>
      </c>
      <c r="B838" s="4">
        <v>44400</v>
      </c>
      <c r="C838" s="1" t="s">
        <v>533</v>
      </c>
      <c r="D838" s="1" t="s">
        <v>20</v>
      </c>
      <c r="E838" s="1" t="s">
        <v>36</v>
      </c>
      <c r="F838" s="2">
        <v>2</v>
      </c>
      <c r="G838" s="5">
        <v>1240</v>
      </c>
      <c r="H838" s="24">
        <f t="shared" si="65"/>
        <v>2480</v>
      </c>
      <c r="I838" s="7">
        <v>0.02</v>
      </c>
      <c r="J838" s="5">
        <f t="shared" si="66"/>
        <v>49.6</v>
      </c>
      <c r="K838" s="5">
        <f t="shared" si="67"/>
        <v>2430.4</v>
      </c>
      <c r="L838" s="5">
        <v>970</v>
      </c>
      <c r="M838" s="5">
        <f t="shared" si="68"/>
        <v>490.40000000000009</v>
      </c>
      <c r="N838" s="7">
        <f t="shared" si="69"/>
        <v>0.20177748518762348</v>
      </c>
      <c r="O838" s="1" t="s">
        <v>54</v>
      </c>
      <c r="P838" s="1" t="s">
        <v>31</v>
      </c>
      <c r="Q838" s="1" t="s">
        <v>37</v>
      </c>
      <c r="R838" s="1" t="s">
        <v>49</v>
      </c>
      <c r="S838" s="1" t="s">
        <v>409</v>
      </c>
      <c r="T838" s="15" t="s">
        <v>53</v>
      </c>
    </row>
    <row r="839" spans="1:20" x14ac:dyDescent="0.3">
      <c r="A839" s="14">
        <v>838</v>
      </c>
      <c r="B839" s="4">
        <v>44234</v>
      </c>
      <c r="C839" s="1" t="s">
        <v>534</v>
      </c>
      <c r="D839" s="1" t="s">
        <v>20</v>
      </c>
      <c r="E839" s="1" t="s">
        <v>29</v>
      </c>
      <c r="F839" s="2">
        <v>11</v>
      </c>
      <c r="G839" s="5">
        <v>2090</v>
      </c>
      <c r="H839" s="24">
        <f t="shared" si="65"/>
        <v>22990</v>
      </c>
      <c r="I839" s="7">
        <v>0</v>
      </c>
      <c r="J839" s="5">
        <f t="shared" si="66"/>
        <v>0</v>
      </c>
      <c r="K839" s="5">
        <f t="shared" si="67"/>
        <v>22990</v>
      </c>
      <c r="L839" s="5">
        <v>1500</v>
      </c>
      <c r="M839" s="5">
        <f t="shared" si="68"/>
        <v>6490</v>
      </c>
      <c r="N839" s="7">
        <f t="shared" si="69"/>
        <v>0.28229665071770332</v>
      </c>
      <c r="O839" s="1" t="s">
        <v>30</v>
      </c>
      <c r="P839" s="1" t="s">
        <v>31</v>
      </c>
      <c r="Q839" s="1" t="s">
        <v>32</v>
      </c>
      <c r="R839" s="1" t="s">
        <v>46</v>
      </c>
      <c r="S839" s="1" t="s">
        <v>434</v>
      </c>
      <c r="T839" s="15" t="s">
        <v>53</v>
      </c>
    </row>
    <row r="840" spans="1:20" x14ac:dyDescent="0.3">
      <c r="A840" s="14">
        <v>839</v>
      </c>
      <c r="B840" s="4">
        <v>44205</v>
      </c>
      <c r="C840" s="1" t="s">
        <v>533</v>
      </c>
      <c r="D840" s="1" t="s">
        <v>20</v>
      </c>
      <c r="E840" s="1" t="s">
        <v>29</v>
      </c>
      <c r="F840" s="2">
        <v>9</v>
      </c>
      <c r="G840" s="5">
        <v>1980</v>
      </c>
      <c r="H840" s="24">
        <f t="shared" si="65"/>
        <v>17820</v>
      </c>
      <c r="I840" s="7">
        <v>0.15</v>
      </c>
      <c r="J840" s="5">
        <f t="shared" si="66"/>
        <v>2673</v>
      </c>
      <c r="K840" s="5">
        <f t="shared" si="67"/>
        <v>15147</v>
      </c>
      <c r="L840" s="5">
        <v>1310</v>
      </c>
      <c r="M840" s="5">
        <f t="shared" si="68"/>
        <v>3357</v>
      </c>
      <c r="N840" s="7">
        <f t="shared" si="69"/>
        <v>0.22162804515745693</v>
      </c>
      <c r="O840" s="1" t="s">
        <v>54</v>
      </c>
      <c r="P840" s="1" t="s">
        <v>31</v>
      </c>
      <c r="Q840" s="1" t="s">
        <v>48</v>
      </c>
      <c r="R840" s="1" t="s">
        <v>56</v>
      </c>
      <c r="S840" s="1" t="s">
        <v>243</v>
      </c>
      <c r="T840" s="15" t="s">
        <v>61</v>
      </c>
    </row>
    <row r="841" spans="1:20" x14ac:dyDescent="0.3">
      <c r="A841" s="14">
        <v>840</v>
      </c>
      <c r="B841" s="4">
        <v>44251</v>
      </c>
      <c r="C841" s="1" t="s">
        <v>529</v>
      </c>
      <c r="D841" s="1" t="s">
        <v>20</v>
      </c>
      <c r="E841" s="1" t="s">
        <v>29</v>
      </c>
      <c r="F841" s="2">
        <v>1</v>
      </c>
      <c r="G841" s="5">
        <v>1940</v>
      </c>
      <c r="H841" s="24">
        <f t="shared" si="65"/>
        <v>1940</v>
      </c>
      <c r="I841" s="7">
        <v>0</v>
      </c>
      <c r="J841" s="5">
        <f t="shared" si="66"/>
        <v>0</v>
      </c>
      <c r="K841" s="5">
        <f t="shared" si="67"/>
        <v>1940</v>
      </c>
      <c r="L841" s="5">
        <v>1540</v>
      </c>
      <c r="M841" s="5">
        <f t="shared" si="68"/>
        <v>400</v>
      </c>
      <c r="N841" s="7">
        <f t="shared" si="69"/>
        <v>0.20618556701030927</v>
      </c>
      <c r="O841" s="1" t="s">
        <v>59</v>
      </c>
      <c r="P841" s="1" t="s">
        <v>31</v>
      </c>
      <c r="Q841" s="1" t="s">
        <v>32</v>
      </c>
      <c r="R841" s="1" t="s">
        <v>25</v>
      </c>
      <c r="S841" s="1" t="s">
        <v>435</v>
      </c>
      <c r="T841" s="15" t="s">
        <v>53</v>
      </c>
    </row>
    <row r="842" spans="1:20" x14ac:dyDescent="0.3">
      <c r="A842" s="14">
        <v>841</v>
      </c>
      <c r="B842" s="4">
        <v>44203</v>
      </c>
      <c r="C842" s="1" t="s">
        <v>534</v>
      </c>
      <c r="D842" s="1" t="s">
        <v>28</v>
      </c>
      <c r="E842" s="1" t="s">
        <v>45</v>
      </c>
      <c r="F842" s="2">
        <v>7</v>
      </c>
      <c r="G842" s="5">
        <v>190</v>
      </c>
      <c r="H842" s="24">
        <f t="shared" si="65"/>
        <v>1330</v>
      </c>
      <c r="I842" s="7">
        <v>0</v>
      </c>
      <c r="J842" s="5">
        <f t="shared" si="66"/>
        <v>0</v>
      </c>
      <c r="K842" s="5">
        <f t="shared" si="67"/>
        <v>1330</v>
      </c>
      <c r="L842" s="5">
        <v>130</v>
      </c>
      <c r="M842" s="5">
        <f t="shared" si="68"/>
        <v>420</v>
      </c>
      <c r="N842" s="7">
        <f t="shared" si="69"/>
        <v>0.31578947368421051</v>
      </c>
      <c r="O842" s="1" t="s">
        <v>22</v>
      </c>
      <c r="P842" s="1" t="s">
        <v>31</v>
      </c>
      <c r="Q842" s="1" t="s">
        <v>37</v>
      </c>
      <c r="R842" s="1" t="s">
        <v>50</v>
      </c>
      <c r="S842" s="1" t="s">
        <v>359</v>
      </c>
      <c r="T842" s="15" t="s">
        <v>35</v>
      </c>
    </row>
    <row r="843" spans="1:20" x14ac:dyDescent="0.3">
      <c r="A843" s="14">
        <v>842</v>
      </c>
      <c r="B843" s="4">
        <v>44520</v>
      </c>
      <c r="C843" s="1" t="s">
        <v>531</v>
      </c>
      <c r="D843" s="1" t="s">
        <v>82</v>
      </c>
      <c r="E843" s="1" t="s">
        <v>43</v>
      </c>
      <c r="F843" s="2">
        <v>4</v>
      </c>
      <c r="G843" s="5">
        <v>310</v>
      </c>
      <c r="H843" s="24">
        <f t="shared" si="65"/>
        <v>1240</v>
      </c>
      <c r="I843" s="7">
        <v>0.05</v>
      </c>
      <c r="J843" s="5">
        <f t="shared" si="66"/>
        <v>62</v>
      </c>
      <c r="K843" s="5">
        <f t="shared" si="67"/>
        <v>1178</v>
      </c>
      <c r="L843" s="5">
        <v>190</v>
      </c>
      <c r="M843" s="5">
        <f t="shared" si="68"/>
        <v>418</v>
      </c>
      <c r="N843" s="7">
        <f t="shared" si="69"/>
        <v>0.35483870967741937</v>
      </c>
      <c r="O843" s="1" t="s">
        <v>41</v>
      </c>
      <c r="P843" s="1" t="s">
        <v>31</v>
      </c>
      <c r="Q843" s="1" t="s">
        <v>48</v>
      </c>
      <c r="R843" s="1" t="s">
        <v>49</v>
      </c>
      <c r="S843" s="1" t="s">
        <v>372</v>
      </c>
      <c r="T843" s="15" t="s">
        <v>61</v>
      </c>
    </row>
    <row r="844" spans="1:20" x14ac:dyDescent="0.3">
      <c r="A844" s="14">
        <v>843</v>
      </c>
      <c r="B844" s="4">
        <v>44266</v>
      </c>
      <c r="C844" s="1" t="s">
        <v>529</v>
      </c>
      <c r="D844" s="1" t="s">
        <v>20</v>
      </c>
      <c r="E844" s="1" t="s">
        <v>21</v>
      </c>
      <c r="F844" s="2">
        <v>1</v>
      </c>
      <c r="G844" s="5">
        <v>190</v>
      </c>
      <c r="H844" s="24">
        <f t="shared" si="65"/>
        <v>190</v>
      </c>
      <c r="I844" s="7">
        <v>0.1</v>
      </c>
      <c r="J844" s="5">
        <f t="shared" si="66"/>
        <v>19</v>
      </c>
      <c r="K844" s="5">
        <f t="shared" si="67"/>
        <v>171</v>
      </c>
      <c r="L844" s="5">
        <v>110</v>
      </c>
      <c r="M844" s="5">
        <f t="shared" si="68"/>
        <v>61</v>
      </c>
      <c r="N844" s="7">
        <f t="shared" si="69"/>
        <v>0.35672514619883039</v>
      </c>
      <c r="O844" s="1" t="s">
        <v>41</v>
      </c>
      <c r="P844" s="1" t="s">
        <v>31</v>
      </c>
      <c r="Q844" s="1" t="s">
        <v>32</v>
      </c>
      <c r="R844" s="1" t="s">
        <v>56</v>
      </c>
      <c r="S844" s="1" t="s">
        <v>200</v>
      </c>
      <c r="T844" s="15" t="s">
        <v>61</v>
      </c>
    </row>
    <row r="845" spans="1:20" x14ac:dyDescent="0.3">
      <c r="A845" s="14">
        <v>844</v>
      </c>
      <c r="B845" s="4">
        <v>44299</v>
      </c>
      <c r="C845" s="1" t="s">
        <v>533</v>
      </c>
      <c r="D845" s="1" t="s">
        <v>28</v>
      </c>
      <c r="E845" s="1" t="s">
        <v>45</v>
      </c>
      <c r="F845" s="2">
        <v>2</v>
      </c>
      <c r="G845" s="5">
        <v>210</v>
      </c>
      <c r="H845" s="24">
        <f t="shared" si="65"/>
        <v>420</v>
      </c>
      <c r="I845" s="7">
        <v>0.05</v>
      </c>
      <c r="J845" s="5">
        <f t="shared" si="66"/>
        <v>21</v>
      </c>
      <c r="K845" s="5">
        <f t="shared" si="67"/>
        <v>399</v>
      </c>
      <c r="L845" s="5">
        <v>140</v>
      </c>
      <c r="M845" s="5">
        <f t="shared" si="68"/>
        <v>119</v>
      </c>
      <c r="N845" s="7">
        <f t="shared" si="69"/>
        <v>0.2982456140350877</v>
      </c>
      <c r="O845" s="1" t="s">
        <v>30</v>
      </c>
      <c r="P845" s="1" t="s">
        <v>62</v>
      </c>
      <c r="Q845" s="1" t="s">
        <v>24</v>
      </c>
      <c r="R845" s="1" t="s">
        <v>33</v>
      </c>
      <c r="S845" s="1" t="s">
        <v>341</v>
      </c>
      <c r="T845" s="15" t="s">
        <v>53</v>
      </c>
    </row>
    <row r="846" spans="1:20" x14ac:dyDescent="0.3">
      <c r="A846" s="14">
        <v>845</v>
      </c>
      <c r="B846" s="4">
        <v>44363</v>
      </c>
      <c r="C846" s="1" t="s">
        <v>533</v>
      </c>
      <c r="D846" s="1" t="s">
        <v>28</v>
      </c>
      <c r="E846" s="1" t="s">
        <v>40</v>
      </c>
      <c r="F846" s="2">
        <v>12</v>
      </c>
      <c r="G846" s="5">
        <v>1660</v>
      </c>
      <c r="H846" s="24">
        <f t="shared" si="65"/>
        <v>19920</v>
      </c>
      <c r="I846" s="7">
        <v>0</v>
      </c>
      <c r="J846" s="5">
        <f t="shared" si="66"/>
        <v>0</v>
      </c>
      <c r="K846" s="5">
        <f t="shared" si="67"/>
        <v>19920</v>
      </c>
      <c r="L846" s="5">
        <v>1290</v>
      </c>
      <c r="M846" s="5">
        <f t="shared" si="68"/>
        <v>4440</v>
      </c>
      <c r="N846" s="7">
        <f t="shared" si="69"/>
        <v>0.22289156626506024</v>
      </c>
      <c r="O846" s="1" t="s">
        <v>54</v>
      </c>
      <c r="P846" s="1" t="s">
        <v>31</v>
      </c>
      <c r="Q846" s="1" t="s">
        <v>32</v>
      </c>
      <c r="R846" s="1" t="s">
        <v>33</v>
      </c>
      <c r="S846" s="1" t="s">
        <v>136</v>
      </c>
      <c r="T846" s="15" t="s">
        <v>27</v>
      </c>
    </row>
    <row r="847" spans="1:20" x14ac:dyDescent="0.3">
      <c r="A847" s="14">
        <v>846</v>
      </c>
      <c r="B847" s="4">
        <v>44230</v>
      </c>
      <c r="C847" s="1" t="s">
        <v>533</v>
      </c>
      <c r="D847" s="1" t="s">
        <v>20</v>
      </c>
      <c r="E847" s="1" t="s">
        <v>36</v>
      </c>
      <c r="F847" s="2">
        <v>11</v>
      </c>
      <c r="G847" s="5">
        <v>1140</v>
      </c>
      <c r="H847" s="24">
        <f t="shared" si="65"/>
        <v>12540</v>
      </c>
      <c r="I847" s="7">
        <v>0</v>
      </c>
      <c r="J847" s="5">
        <f t="shared" si="66"/>
        <v>0</v>
      </c>
      <c r="K847" s="5">
        <f t="shared" si="67"/>
        <v>12540</v>
      </c>
      <c r="L847" s="5">
        <v>690</v>
      </c>
      <c r="M847" s="5">
        <f t="shared" si="68"/>
        <v>4950</v>
      </c>
      <c r="N847" s="7">
        <f t="shared" si="69"/>
        <v>0.39473684210526316</v>
      </c>
      <c r="O847" s="1" t="s">
        <v>41</v>
      </c>
      <c r="P847" s="1" t="s">
        <v>31</v>
      </c>
      <c r="Q847" s="1" t="s">
        <v>48</v>
      </c>
      <c r="R847" s="1" t="s">
        <v>46</v>
      </c>
      <c r="S847" s="1" t="s">
        <v>389</v>
      </c>
      <c r="T847" s="15" t="s">
        <v>35</v>
      </c>
    </row>
    <row r="848" spans="1:20" x14ac:dyDescent="0.3">
      <c r="A848" s="14">
        <v>847</v>
      </c>
      <c r="B848" s="4">
        <v>44553</v>
      </c>
      <c r="C848" s="1" t="s">
        <v>530</v>
      </c>
      <c r="D848" s="1" t="s">
        <v>20</v>
      </c>
      <c r="E848" s="1" t="s">
        <v>36</v>
      </c>
      <c r="F848" s="2">
        <v>5</v>
      </c>
      <c r="G848" s="5">
        <v>1310</v>
      </c>
      <c r="H848" s="24">
        <f t="shared" si="65"/>
        <v>6550</v>
      </c>
      <c r="I848" s="7">
        <v>0.02</v>
      </c>
      <c r="J848" s="5">
        <f t="shared" si="66"/>
        <v>131</v>
      </c>
      <c r="K848" s="5">
        <f t="shared" si="67"/>
        <v>6419</v>
      </c>
      <c r="L848" s="5">
        <v>900</v>
      </c>
      <c r="M848" s="5">
        <f t="shared" si="68"/>
        <v>1919</v>
      </c>
      <c r="N848" s="7">
        <f t="shared" si="69"/>
        <v>0.29895622371085839</v>
      </c>
      <c r="O848" s="1" t="s">
        <v>22</v>
      </c>
      <c r="P848" s="1" t="s">
        <v>31</v>
      </c>
      <c r="Q848" s="1" t="s">
        <v>32</v>
      </c>
      <c r="R848" s="1" t="s">
        <v>38</v>
      </c>
      <c r="S848" s="1" t="s">
        <v>398</v>
      </c>
      <c r="T848" s="15" t="s">
        <v>35</v>
      </c>
    </row>
    <row r="849" spans="1:20" x14ac:dyDescent="0.3">
      <c r="A849" s="14">
        <v>848</v>
      </c>
      <c r="B849" s="4">
        <v>44280</v>
      </c>
      <c r="C849" s="1" t="s">
        <v>533</v>
      </c>
      <c r="D849" s="1" t="s">
        <v>20</v>
      </c>
      <c r="E849" s="1" t="s">
        <v>21</v>
      </c>
      <c r="F849" s="2">
        <v>6</v>
      </c>
      <c r="G849" s="5">
        <v>230</v>
      </c>
      <c r="H849" s="24">
        <f t="shared" si="65"/>
        <v>1380</v>
      </c>
      <c r="I849" s="7">
        <v>0</v>
      </c>
      <c r="J849" s="5">
        <f t="shared" si="66"/>
        <v>0</v>
      </c>
      <c r="K849" s="5">
        <f t="shared" si="67"/>
        <v>1380</v>
      </c>
      <c r="L849" s="5">
        <v>160</v>
      </c>
      <c r="M849" s="5">
        <f t="shared" si="68"/>
        <v>420</v>
      </c>
      <c r="N849" s="7">
        <f t="shared" si="69"/>
        <v>0.30434782608695654</v>
      </c>
      <c r="O849" s="1" t="s">
        <v>22</v>
      </c>
      <c r="P849" s="1" t="s">
        <v>31</v>
      </c>
      <c r="Q849" s="1" t="s">
        <v>32</v>
      </c>
      <c r="R849" s="1" t="s">
        <v>63</v>
      </c>
      <c r="S849" s="1" t="s">
        <v>290</v>
      </c>
      <c r="T849" s="15" t="s">
        <v>61</v>
      </c>
    </row>
    <row r="850" spans="1:20" x14ac:dyDescent="0.3">
      <c r="A850" s="14">
        <v>849</v>
      </c>
      <c r="B850" s="4">
        <v>44391</v>
      </c>
      <c r="C850" s="1" t="s">
        <v>533</v>
      </c>
      <c r="D850" s="1" t="s">
        <v>20</v>
      </c>
      <c r="E850" s="1" t="s">
        <v>21</v>
      </c>
      <c r="F850" s="2">
        <v>7</v>
      </c>
      <c r="G850" s="5">
        <v>210</v>
      </c>
      <c r="H850" s="24">
        <f t="shared" si="65"/>
        <v>1470</v>
      </c>
      <c r="I850" s="7">
        <v>0</v>
      </c>
      <c r="J850" s="5">
        <f t="shared" si="66"/>
        <v>0</v>
      </c>
      <c r="K850" s="5">
        <f t="shared" si="67"/>
        <v>1470</v>
      </c>
      <c r="L850" s="5">
        <v>160</v>
      </c>
      <c r="M850" s="5">
        <f t="shared" si="68"/>
        <v>350</v>
      </c>
      <c r="N850" s="7">
        <f t="shared" si="69"/>
        <v>0.23809523809523808</v>
      </c>
      <c r="O850" s="1" t="s">
        <v>59</v>
      </c>
      <c r="P850" s="1" t="s">
        <v>76</v>
      </c>
      <c r="Q850" s="1" t="s">
        <v>48</v>
      </c>
      <c r="R850" s="1" t="s">
        <v>25</v>
      </c>
      <c r="S850" s="1" t="s">
        <v>436</v>
      </c>
      <c r="T850" s="15" t="s">
        <v>27</v>
      </c>
    </row>
    <row r="851" spans="1:20" x14ac:dyDescent="0.3">
      <c r="A851" s="14">
        <v>850</v>
      </c>
      <c r="B851" s="4">
        <v>44238</v>
      </c>
      <c r="C851" s="1" t="s">
        <v>534</v>
      </c>
      <c r="D851" s="1" t="s">
        <v>82</v>
      </c>
      <c r="E851" s="1" t="s">
        <v>36</v>
      </c>
      <c r="F851" s="2">
        <v>1</v>
      </c>
      <c r="G851" s="5">
        <v>1120</v>
      </c>
      <c r="H851" s="24">
        <f t="shared" si="65"/>
        <v>1120</v>
      </c>
      <c r="I851" s="7">
        <v>0.15</v>
      </c>
      <c r="J851" s="5">
        <f t="shared" si="66"/>
        <v>168</v>
      </c>
      <c r="K851" s="5">
        <f t="shared" si="67"/>
        <v>952</v>
      </c>
      <c r="L851" s="5">
        <v>870</v>
      </c>
      <c r="M851" s="5">
        <f t="shared" si="68"/>
        <v>82</v>
      </c>
      <c r="N851" s="7">
        <f t="shared" si="69"/>
        <v>8.6134453781512604E-2</v>
      </c>
      <c r="O851" s="1" t="s">
        <v>59</v>
      </c>
      <c r="P851" s="1" t="s">
        <v>31</v>
      </c>
      <c r="Q851" s="1" t="s">
        <v>48</v>
      </c>
      <c r="R851" s="1" t="s">
        <v>66</v>
      </c>
      <c r="S851" s="1" t="s">
        <v>362</v>
      </c>
      <c r="T851" s="15" t="s">
        <v>53</v>
      </c>
    </row>
    <row r="852" spans="1:20" x14ac:dyDescent="0.3">
      <c r="A852" s="14">
        <v>851</v>
      </c>
      <c r="B852" s="4">
        <v>44405</v>
      </c>
      <c r="C852" s="1" t="s">
        <v>533</v>
      </c>
      <c r="D852" s="1" t="s">
        <v>28</v>
      </c>
      <c r="E852" s="1" t="s">
        <v>45</v>
      </c>
      <c r="F852" s="2">
        <v>2</v>
      </c>
      <c r="G852" s="5">
        <v>180</v>
      </c>
      <c r="H852" s="24">
        <f t="shared" si="65"/>
        <v>360</v>
      </c>
      <c r="I852" s="7">
        <v>0.05</v>
      </c>
      <c r="J852" s="5">
        <f t="shared" si="66"/>
        <v>18</v>
      </c>
      <c r="K852" s="5">
        <f t="shared" si="67"/>
        <v>342</v>
      </c>
      <c r="L852" s="5">
        <v>110</v>
      </c>
      <c r="M852" s="5">
        <f t="shared" si="68"/>
        <v>122</v>
      </c>
      <c r="N852" s="7">
        <f t="shared" si="69"/>
        <v>0.35672514619883039</v>
      </c>
      <c r="O852" s="1" t="s">
        <v>41</v>
      </c>
      <c r="P852" s="1" t="s">
        <v>31</v>
      </c>
      <c r="Q852" s="1" t="s">
        <v>24</v>
      </c>
      <c r="R852" s="1" t="s">
        <v>66</v>
      </c>
      <c r="S852" s="1" t="s">
        <v>423</v>
      </c>
      <c r="T852" s="15" t="s">
        <v>35</v>
      </c>
    </row>
    <row r="853" spans="1:20" x14ac:dyDescent="0.3">
      <c r="A853" s="14">
        <v>852</v>
      </c>
      <c r="B853" s="4">
        <v>44416</v>
      </c>
      <c r="C853" s="1" t="s">
        <v>533</v>
      </c>
      <c r="D853" s="1" t="s">
        <v>20</v>
      </c>
      <c r="E853" s="1" t="s">
        <v>21</v>
      </c>
      <c r="F853" s="2">
        <v>2</v>
      </c>
      <c r="G853" s="5">
        <v>210</v>
      </c>
      <c r="H853" s="24">
        <f t="shared" si="65"/>
        <v>420</v>
      </c>
      <c r="I853" s="7">
        <v>0.1</v>
      </c>
      <c r="J853" s="5">
        <f t="shared" si="66"/>
        <v>42</v>
      </c>
      <c r="K853" s="5">
        <f t="shared" si="67"/>
        <v>378</v>
      </c>
      <c r="L853" s="5">
        <v>130</v>
      </c>
      <c r="M853" s="5">
        <f t="shared" si="68"/>
        <v>118</v>
      </c>
      <c r="N853" s="7">
        <f t="shared" si="69"/>
        <v>0.31216931216931215</v>
      </c>
      <c r="O853" s="1" t="s">
        <v>30</v>
      </c>
      <c r="P853" s="1" t="s">
        <v>31</v>
      </c>
      <c r="Q853" s="1" t="s">
        <v>37</v>
      </c>
      <c r="R853" s="1" t="s">
        <v>63</v>
      </c>
      <c r="S853" s="1" t="s">
        <v>369</v>
      </c>
      <c r="T853" s="15" t="s">
        <v>35</v>
      </c>
    </row>
    <row r="854" spans="1:20" x14ac:dyDescent="0.3">
      <c r="A854" s="14">
        <v>853</v>
      </c>
      <c r="B854" s="4">
        <v>44328</v>
      </c>
      <c r="C854" s="1" t="s">
        <v>530</v>
      </c>
      <c r="D854" s="1" t="s">
        <v>20</v>
      </c>
      <c r="E854" s="1" t="s">
        <v>21</v>
      </c>
      <c r="F854" s="2">
        <v>11</v>
      </c>
      <c r="G854" s="5">
        <v>200</v>
      </c>
      <c r="H854" s="24">
        <f t="shared" si="65"/>
        <v>2200</v>
      </c>
      <c r="I854" s="7">
        <v>0</v>
      </c>
      <c r="J854" s="5">
        <f t="shared" si="66"/>
        <v>0</v>
      </c>
      <c r="K854" s="5">
        <f t="shared" si="67"/>
        <v>2200</v>
      </c>
      <c r="L854" s="5">
        <v>120</v>
      </c>
      <c r="M854" s="5">
        <f t="shared" si="68"/>
        <v>880</v>
      </c>
      <c r="N854" s="7">
        <f t="shared" si="69"/>
        <v>0.4</v>
      </c>
      <c r="O854" s="1" t="s">
        <v>54</v>
      </c>
      <c r="P854" s="1" t="s">
        <v>31</v>
      </c>
      <c r="Q854" s="1" t="s">
        <v>24</v>
      </c>
      <c r="R854" s="1" t="s">
        <v>50</v>
      </c>
      <c r="S854" s="1" t="s">
        <v>171</v>
      </c>
      <c r="T854" s="15" t="s">
        <v>53</v>
      </c>
    </row>
    <row r="855" spans="1:20" x14ac:dyDescent="0.3">
      <c r="A855" s="14">
        <v>854</v>
      </c>
      <c r="B855" s="4">
        <v>44535</v>
      </c>
      <c r="C855" s="1" t="s">
        <v>534</v>
      </c>
      <c r="D855" s="1" t="s">
        <v>80</v>
      </c>
      <c r="E855" s="1" t="s">
        <v>21</v>
      </c>
      <c r="F855" s="2">
        <v>8</v>
      </c>
      <c r="G855" s="5">
        <v>190</v>
      </c>
      <c r="H855" s="24">
        <f t="shared" si="65"/>
        <v>1520</v>
      </c>
      <c r="I855" s="7">
        <v>0.1</v>
      </c>
      <c r="J855" s="5">
        <f t="shared" si="66"/>
        <v>152</v>
      </c>
      <c r="K855" s="5">
        <f t="shared" si="67"/>
        <v>1368</v>
      </c>
      <c r="L855" s="5">
        <v>110</v>
      </c>
      <c r="M855" s="5">
        <f t="shared" si="68"/>
        <v>488</v>
      </c>
      <c r="N855" s="7">
        <f t="shared" si="69"/>
        <v>0.35672514619883039</v>
      </c>
      <c r="O855" s="1" t="s">
        <v>54</v>
      </c>
      <c r="P855" s="1" t="s">
        <v>31</v>
      </c>
      <c r="Q855" s="1" t="s">
        <v>48</v>
      </c>
      <c r="R855" s="1" t="s">
        <v>63</v>
      </c>
      <c r="S855" s="1" t="s">
        <v>154</v>
      </c>
      <c r="T855" s="15" t="s">
        <v>35</v>
      </c>
    </row>
    <row r="856" spans="1:20" x14ac:dyDescent="0.3">
      <c r="A856" s="14">
        <v>855</v>
      </c>
      <c r="B856" s="4">
        <v>44318</v>
      </c>
      <c r="C856" s="1" t="s">
        <v>530</v>
      </c>
      <c r="D856" s="1" t="s">
        <v>80</v>
      </c>
      <c r="E856" s="1" t="s">
        <v>29</v>
      </c>
      <c r="F856" s="2">
        <v>6</v>
      </c>
      <c r="G856" s="5">
        <v>2160</v>
      </c>
      <c r="H856" s="24">
        <f t="shared" si="65"/>
        <v>12960</v>
      </c>
      <c r="I856" s="7">
        <v>0.1</v>
      </c>
      <c r="J856" s="5">
        <f t="shared" si="66"/>
        <v>1296</v>
      </c>
      <c r="K856" s="5">
        <f t="shared" si="67"/>
        <v>11664</v>
      </c>
      <c r="L856" s="5">
        <v>1510</v>
      </c>
      <c r="M856" s="5">
        <f t="shared" si="68"/>
        <v>2604</v>
      </c>
      <c r="N856" s="7">
        <f t="shared" si="69"/>
        <v>0.22325102880658437</v>
      </c>
      <c r="O856" s="1" t="s">
        <v>30</v>
      </c>
      <c r="P856" s="1" t="s">
        <v>31</v>
      </c>
      <c r="Q856" s="1" t="s">
        <v>24</v>
      </c>
      <c r="R856" s="1" t="s">
        <v>25</v>
      </c>
      <c r="S856" s="1" t="s">
        <v>437</v>
      </c>
      <c r="T856" s="15" t="s">
        <v>35</v>
      </c>
    </row>
    <row r="857" spans="1:20" x14ac:dyDescent="0.3">
      <c r="A857" s="14">
        <v>856</v>
      </c>
      <c r="B857" s="4">
        <v>44490</v>
      </c>
      <c r="C857" s="1" t="s">
        <v>529</v>
      </c>
      <c r="D857" s="1" t="s">
        <v>20</v>
      </c>
      <c r="E857" s="1" t="s">
        <v>45</v>
      </c>
      <c r="F857" s="2">
        <v>1</v>
      </c>
      <c r="G857" s="5">
        <v>220</v>
      </c>
      <c r="H857" s="24">
        <f t="shared" si="65"/>
        <v>220</v>
      </c>
      <c r="I857" s="7">
        <v>0.05</v>
      </c>
      <c r="J857" s="5">
        <f t="shared" si="66"/>
        <v>11</v>
      </c>
      <c r="K857" s="5">
        <f t="shared" si="67"/>
        <v>209</v>
      </c>
      <c r="L857" s="5">
        <v>170</v>
      </c>
      <c r="M857" s="5">
        <f t="shared" si="68"/>
        <v>39</v>
      </c>
      <c r="N857" s="7">
        <f t="shared" si="69"/>
        <v>0.18660287081339713</v>
      </c>
      <c r="O857" s="1" t="s">
        <v>30</v>
      </c>
      <c r="P857" s="1" t="s">
        <v>31</v>
      </c>
      <c r="Q857" s="1" t="s">
        <v>32</v>
      </c>
      <c r="R857" s="1" t="s">
        <v>25</v>
      </c>
      <c r="S857" s="1" t="s">
        <v>434</v>
      </c>
      <c r="T857" s="15" t="s">
        <v>35</v>
      </c>
    </row>
    <row r="858" spans="1:20" x14ac:dyDescent="0.3">
      <c r="A858" s="14">
        <v>857</v>
      </c>
      <c r="B858" s="4">
        <v>44528</v>
      </c>
      <c r="C858" s="1" t="s">
        <v>529</v>
      </c>
      <c r="D858" s="1" t="s">
        <v>82</v>
      </c>
      <c r="E858" s="1" t="s">
        <v>45</v>
      </c>
      <c r="F858" s="2">
        <v>3</v>
      </c>
      <c r="G858" s="5">
        <v>200</v>
      </c>
      <c r="H858" s="24">
        <f t="shared" si="65"/>
        <v>600</v>
      </c>
      <c r="I858" s="7">
        <v>0.05</v>
      </c>
      <c r="J858" s="5">
        <f t="shared" si="66"/>
        <v>30</v>
      </c>
      <c r="K858" s="5">
        <f t="shared" si="67"/>
        <v>570</v>
      </c>
      <c r="L858" s="5">
        <v>140</v>
      </c>
      <c r="M858" s="5">
        <f t="shared" si="68"/>
        <v>150</v>
      </c>
      <c r="N858" s="7">
        <f t="shared" si="69"/>
        <v>0.26315789473684209</v>
      </c>
      <c r="O858" s="1" t="s">
        <v>30</v>
      </c>
      <c r="P858" s="1" t="s">
        <v>31</v>
      </c>
      <c r="Q858" s="1" t="s">
        <v>37</v>
      </c>
      <c r="R858" s="1" t="s">
        <v>56</v>
      </c>
      <c r="S858" s="1" t="s">
        <v>383</v>
      </c>
      <c r="T858" s="15" t="s">
        <v>35</v>
      </c>
    </row>
    <row r="859" spans="1:20" x14ac:dyDescent="0.3">
      <c r="A859" s="14">
        <v>858</v>
      </c>
      <c r="B859" s="4">
        <v>44213</v>
      </c>
      <c r="C859" s="1" t="s">
        <v>530</v>
      </c>
      <c r="D859" s="1" t="s">
        <v>20</v>
      </c>
      <c r="E859" s="1" t="s">
        <v>21</v>
      </c>
      <c r="F859" s="2">
        <v>11</v>
      </c>
      <c r="G859" s="5">
        <v>200</v>
      </c>
      <c r="H859" s="24">
        <f t="shared" si="65"/>
        <v>2200</v>
      </c>
      <c r="I859" s="7">
        <v>0.02</v>
      </c>
      <c r="J859" s="5">
        <f t="shared" si="66"/>
        <v>44</v>
      </c>
      <c r="K859" s="5">
        <f t="shared" si="67"/>
        <v>2156</v>
      </c>
      <c r="L859" s="5">
        <v>160</v>
      </c>
      <c r="M859" s="5">
        <f t="shared" si="68"/>
        <v>396</v>
      </c>
      <c r="N859" s="7">
        <f t="shared" si="69"/>
        <v>0.18367346938775511</v>
      </c>
      <c r="O859" s="1" t="s">
        <v>59</v>
      </c>
      <c r="P859" s="1" t="s">
        <v>31</v>
      </c>
      <c r="Q859" s="1" t="s">
        <v>24</v>
      </c>
      <c r="R859" s="1" t="s">
        <v>33</v>
      </c>
      <c r="S859" s="1" t="s">
        <v>438</v>
      </c>
      <c r="T859" s="15" t="s">
        <v>35</v>
      </c>
    </row>
    <row r="860" spans="1:20" x14ac:dyDescent="0.3">
      <c r="A860" s="14">
        <v>859</v>
      </c>
      <c r="B860" s="4">
        <v>44328</v>
      </c>
      <c r="C860" s="1" t="s">
        <v>533</v>
      </c>
      <c r="D860" s="1" t="s">
        <v>82</v>
      </c>
      <c r="E860" s="1" t="s">
        <v>21</v>
      </c>
      <c r="F860" s="2">
        <v>2</v>
      </c>
      <c r="G860" s="5">
        <v>200</v>
      </c>
      <c r="H860" s="24">
        <f t="shared" si="65"/>
        <v>400</v>
      </c>
      <c r="I860" s="7">
        <v>0.1</v>
      </c>
      <c r="J860" s="5">
        <f t="shared" si="66"/>
        <v>40</v>
      </c>
      <c r="K860" s="5">
        <f t="shared" si="67"/>
        <v>360</v>
      </c>
      <c r="L860" s="5">
        <v>140</v>
      </c>
      <c r="M860" s="5">
        <f t="shared" si="68"/>
        <v>80</v>
      </c>
      <c r="N860" s="7">
        <f t="shared" si="69"/>
        <v>0.22222222222222221</v>
      </c>
      <c r="O860" s="1" t="s">
        <v>59</v>
      </c>
      <c r="P860" s="1" t="s">
        <v>31</v>
      </c>
      <c r="Q860" s="1" t="s">
        <v>24</v>
      </c>
      <c r="R860" s="1" t="s">
        <v>88</v>
      </c>
      <c r="S860" s="1" t="s">
        <v>329</v>
      </c>
      <c r="T860" s="15" t="s">
        <v>35</v>
      </c>
    </row>
    <row r="861" spans="1:20" x14ac:dyDescent="0.3">
      <c r="A861" s="14">
        <v>860</v>
      </c>
      <c r="B861" s="4">
        <v>44508</v>
      </c>
      <c r="C861" s="1" t="s">
        <v>534</v>
      </c>
      <c r="D861" s="1" t="s">
        <v>82</v>
      </c>
      <c r="E861" s="1" t="s">
        <v>21</v>
      </c>
      <c r="F861" s="2">
        <v>11</v>
      </c>
      <c r="G861" s="5">
        <v>230</v>
      </c>
      <c r="H861" s="24">
        <f t="shared" si="65"/>
        <v>2530</v>
      </c>
      <c r="I861" s="7">
        <v>0.15</v>
      </c>
      <c r="J861" s="5">
        <f t="shared" si="66"/>
        <v>379.5</v>
      </c>
      <c r="K861" s="5">
        <f t="shared" si="67"/>
        <v>2150.5</v>
      </c>
      <c r="L861" s="5">
        <v>160</v>
      </c>
      <c r="M861" s="5">
        <f t="shared" si="68"/>
        <v>390.5</v>
      </c>
      <c r="N861" s="7">
        <f t="shared" si="69"/>
        <v>0.1815856777493606</v>
      </c>
      <c r="O861" s="1" t="s">
        <v>22</v>
      </c>
      <c r="P861" s="1" t="s">
        <v>31</v>
      </c>
      <c r="Q861" s="1" t="s">
        <v>37</v>
      </c>
      <c r="R861" s="1" t="s">
        <v>33</v>
      </c>
      <c r="S861" s="1" t="s">
        <v>246</v>
      </c>
      <c r="T861" s="15" t="s">
        <v>27</v>
      </c>
    </row>
    <row r="862" spans="1:20" x14ac:dyDescent="0.3">
      <c r="A862" s="14">
        <v>861</v>
      </c>
      <c r="B862" s="4">
        <v>44495</v>
      </c>
      <c r="C862" s="1" t="s">
        <v>529</v>
      </c>
      <c r="D862" s="1" t="s">
        <v>20</v>
      </c>
      <c r="E862" s="1" t="s">
        <v>40</v>
      </c>
      <c r="F862" s="2">
        <v>9</v>
      </c>
      <c r="G862" s="5">
        <v>1690</v>
      </c>
      <c r="H862" s="24">
        <f t="shared" si="65"/>
        <v>15210</v>
      </c>
      <c r="I862" s="7">
        <v>0.1</v>
      </c>
      <c r="J862" s="5">
        <f t="shared" si="66"/>
        <v>1521</v>
      </c>
      <c r="K862" s="5">
        <f t="shared" si="67"/>
        <v>13689</v>
      </c>
      <c r="L862" s="5">
        <v>1010</v>
      </c>
      <c r="M862" s="5">
        <f t="shared" si="68"/>
        <v>4599</v>
      </c>
      <c r="N862" s="7">
        <f t="shared" si="69"/>
        <v>0.33596318211702825</v>
      </c>
      <c r="O862" s="1" t="s">
        <v>22</v>
      </c>
      <c r="P862" s="1" t="s">
        <v>31</v>
      </c>
      <c r="Q862" s="1" t="s">
        <v>32</v>
      </c>
      <c r="R862" s="1" t="s">
        <v>63</v>
      </c>
      <c r="S862" s="1" t="s">
        <v>340</v>
      </c>
      <c r="T862" s="15" t="s">
        <v>61</v>
      </c>
    </row>
    <row r="863" spans="1:20" x14ac:dyDescent="0.3">
      <c r="A863" s="14">
        <v>862</v>
      </c>
      <c r="B863" s="4">
        <v>44475</v>
      </c>
      <c r="C863" s="1" t="s">
        <v>530</v>
      </c>
      <c r="D863" s="1" t="s">
        <v>20</v>
      </c>
      <c r="E863" s="1" t="s">
        <v>45</v>
      </c>
      <c r="F863" s="2">
        <v>9</v>
      </c>
      <c r="G863" s="5">
        <v>180</v>
      </c>
      <c r="H863" s="24">
        <f t="shared" si="65"/>
        <v>1620</v>
      </c>
      <c r="I863" s="7">
        <v>0.05</v>
      </c>
      <c r="J863" s="5">
        <f t="shared" si="66"/>
        <v>81</v>
      </c>
      <c r="K863" s="5">
        <f t="shared" si="67"/>
        <v>1539</v>
      </c>
      <c r="L863" s="5">
        <v>130</v>
      </c>
      <c r="M863" s="5">
        <f t="shared" si="68"/>
        <v>369</v>
      </c>
      <c r="N863" s="7">
        <f t="shared" si="69"/>
        <v>0.23976608187134502</v>
      </c>
      <c r="O863" s="1" t="s">
        <v>54</v>
      </c>
      <c r="P863" s="1" t="s">
        <v>31</v>
      </c>
      <c r="Q863" s="1" t="s">
        <v>32</v>
      </c>
      <c r="R863" s="1" t="s">
        <v>88</v>
      </c>
      <c r="S863" s="1" t="s">
        <v>439</v>
      </c>
      <c r="T863" s="15" t="s">
        <v>61</v>
      </c>
    </row>
    <row r="864" spans="1:20" x14ac:dyDescent="0.3">
      <c r="A864" s="14">
        <v>863</v>
      </c>
      <c r="B864" s="4">
        <v>44378</v>
      </c>
      <c r="C864" s="1" t="s">
        <v>529</v>
      </c>
      <c r="D864" s="1" t="s">
        <v>82</v>
      </c>
      <c r="E864" s="1" t="s">
        <v>43</v>
      </c>
      <c r="F864" s="2">
        <v>3</v>
      </c>
      <c r="G864" s="5">
        <v>280</v>
      </c>
      <c r="H864" s="24">
        <f t="shared" si="65"/>
        <v>840</v>
      </c>
      <c r="I864" s="7">
        <v>0.02</v>
      </c>
      <c r="J864" s="5">
        <f t="shared" si="66"/>
        <v>16.8</v>
      </c>
      <c r="K864" s="5">
        <f t="shared" si="67"/>
        <v>823.2</v>
      </c>
      <c r="L864" s="5">
        <v>180</v>
      </c>
      <c r="M864" s="5">
        <f t="shared" si="68"/>
        <v>283.20000000000005</v>
      </c>
      <c r="N864" s="7">
        <f t="shared" si="69"/>
        <v>0.34402332361516036</v>
      </c>
      <c r="O864" s="1" t="s">
        <v>22</v>
      </c>
      <c r="P864" s="1" t="s">
        <v>62</v>
      </c>
      <c r="Q864" s="1" t="s">
        <v>32</v>
      </c>
      <c r="R864" s="1" t="s">
        <v>25</v>
      </c>
      <c r="S864" s="1" t="s">
        <v>369</v>
      </c>
      <c r="T864" s="15" t="s">
        <v>27</v>
      </c>
    </row>
    <row r="865" spans="1:20" x14ac:dyDescent="0.3">
      <c r="A865" s="14">
        <v>864</v>
      </c>
      <c r="B865" s="4">
        <v>44304</v>
      </c>
      <c r="C865" s="1" t="s">
        <v>529</v>
      </c>
      <c r="D865" s="1" t="s">
        <v>82</v>
      </c>
      <c r="E865" s="1" t="s">
        <v>40</v>
      </c>
      <c r="F865" s="2">
        <v>6</v>
      </c>
      <c r="G865" s="5">
        <v>1640</v>
      </c>
      <c r="H865" s="24">
        <f t="shared" si="65"/>
        <v>9840</v>
      </c>
      <c r="I865" s="7">
        <v>0</v>
      </c>
      <c r="J865" s="5">
        <f t="shared" si="66"/>
        <v>0</v>
      </c>
      <c r="K865" s="5">
        <f t="shared" si="67"/>
        <v>9840</v>
      </c>
      <c r="L865" s="5">
        <v>1280</v>
      </c>
      <c r="M865" s="5">
        <f t="shared" si="68"/>
        <v>2160</v>
      </c>
      <c r="N865" s="7">
        <f t="shared" si="69"/>
        <v>0.21951219512195122</v>
      </c>
      <c r="O865" s="1" t="s">
        <v>30</v>
      </c>
      <c r="P865" s="1" t="s">
        <v>23</v>
      </c>
      <c r="Q865" s="1" t="s">
        <v>24</v>
      </c>
      <c r="R865" s="1" t="s">
        <v>38</v>
      </c>
      <c r="S865" s="1" t="s">
        <v>133</v>
      </c>
      <c r="T865" s="15" t="s">
        <v>35</v>
      </c>
    </row>
    <row r="866" spans="1:20" x14ac:dyDescent="0.3">
      <c r="A866" s="14">
        <v>865</v>
      </c>
      <c r="B866" s="4">
        <v>44323</v>
      </c>
      <c r="C866" s="1" t="s">
        <v>530</v>
      </c>
      <c r="D866" s="1" t="s">
        <v>82</v>
      </c>
      <c r="E866" s="1" t="s">
        <v>36</v>
      </c>
      <c r="F866" s="2">
        <v>1</v>
      </c>
      <c r="G866" s="5">
        <v>1140</v>
      </c>
      <c r="H866" s="24">
        <f t="shared" si="65"/>
        <v>1140</v>
      </c>
      <c r="I866" s="7">
        <v>0.05</v>
      </c>
      <c r="J866" s="5">
        <f t="shared" si="66"/>
        <v>57</v>
      </c>
      <c r="K866" s="5">
        <f t="shared" si="67"/>
        <v>1083</v>
      </c>
      <c r="L866" s="5">
        <v>680</v>
      </c>
      <c r="M866" s="5">
        <f t="shared" si="68"/>
        <v>403</v>
      </c>
      <c r="N866" s="7">
        <f t="shared" si="69"/>
        <v>0.37211449676823638</v>
      </c>
      <c r="O866" s="1" t="s">
        <v>54</v>
      </c>
      <c r="P866" s="1" t="s">
        <v>31</v>
      </c>
      <c r="Q866" s="1" t="s">
        <v>48</v>
      </c>
      <c r="R866" s="1" t="s">
        <v>33</v>
      </c>
      <c r="S866" s="1" t="s">
        <v>166</v>
      </c>
      <c r="T866" s="15" t="s">
        <v>53</v>
      </c>
    </row>
    <row r="867" spans="1:20" x14ac:dyDescent="0.3">
      <c r="A867" s="14">
        <v>866</v>
      </c>
      <c r="B867" s="4">
        <v>44501</v>
      </c>
      <c r="C867" s="1" t="s">
        <v>531</v>
      </c>
      <c r="D867" s="1" t="s">
        <v>28</v>
      </c>
      <c r="E867" s="1" t="s">
        <v>29</v>
      </c>
      <c r="F867" s="2">
        <v>3</v>
      </c>
      <c r="G867" s="5">
        <v>2220</v>
      </c>
      <c r="H867" s="24">
        <f t="shared" si="65"/>
        <v>6660</v>
      </c>
      <c r="I867" s="7">
        <v>0</v>
      </c>
      <c r="J867" s="5">
        <f t="shared" si="66"/>
        <v>0</v>
      </c>
      <c r="K867" s="5">
        <f t="shared" si="67"/>
        <v>6660</v>
      </c>
      <c r="L867" s="5">
        <v>1330</v>
      </c>
      <c r="M867" s="5">
        <f t="shared" si="68"/>
        <v>2670</v>
      </c>
      <c r="N867" s="7">
        <f t="shared" si="69"/>
        <v>0.40090090090090091</v>
      </c>
      <c r="O867" s="1" t="s">
        <v>54</v>
      </c>
      <c r="P867" s="1" t="s">
        <v>31</v>
      </c>
      <c r="Q867" s="1" t="s">
        <v>32</v>
      </c>
      <c r="R867" s="1" t="s">
        <v>88</v>
      </c>
      <c r="S867" s="1" t="s">
        <v>440</v>
      </c>
      <c r="T867" s="15" t="s">
        <v>35</v>
      </c>
    </row>
    <row r="868" spans="1:20" x14ac:dyDescent="0.3">
      <c r="A868" s="14">
        <v>867</v>
      </c>
      <c r="B868" s="4">
        <v>44257</v>
      </c>
      <c r="C868" s="1" t="s">
        <v>533</v>
      </c>
      <c r="D868" s="1" t="s">
        <v>28</v>
      </c>
      <c r="E868" s="1" t="s">
        <v>45</v>
      </c>
      <c r="F868" s="2">
        <v>3</v>
      </c>
      <c r="G868" s="5">
        <v>210</v>
      </c>
      <c r="H868" s="24">
        <f t="shared" si="65"/>
        <v>630</v>
      </c>
      <c r="I868" s="7">
        <v>0</v>
      </c>
      <c r="J868" s="5">
        <f t="shared" si="66"/>
        <v>0</v>
      </c>
      <c r="K868" s="5">
        <f t="shared" si="67"/>
        <v>630</v>
      </c>
      <c r="L868" s="5">
        <v>170</v>
      </c>
      <c r="M868" s="5">
        <f t="shared" si="68"/>
        <v>120</v>
      </c>
      <c r="N868" s="7">
        <f t="shared" si="69"/>
        <v>0.19047619047619047</v>
      </c>
      <c r="O868" s="1" t="s">
        <v>59</v>
      </c>
      <c r="P868" s="1" t="s">
        <v>31</v>
      </c>
      <c r="Q868" s="1" t="s">
        <v>24</v>
      </c>
      <c r="R868" s="1" t="s">
        <v>33</v>
      </c>
      <c r="S868" s="1" t="s">
        <v>83</v>
      </c>
      <c r="T868" s="15" t="s">
        <v>35</v>
      </c>
    </row>
    <row r="869" spans="1:20" x14ac:dyDescent="0.3">
      <c r="A869" s="14">
        <v>868</v>
      </c>
      <c r="B869" s="4">
        <v>44318</v>
      </c>
      <c r="C869" s="1" t="s">
        <v>533</v>
      </c>
      <c r="D869" s="1" t="s">
        <v>20</v>
      </c>
      <c r="E869" s="1" t="s">
        <v>29</v>
      </c>
      <c r="F869" s="2">
        <v>8</v>
      </c>
      <c r="G869" s="5">
        <v>2250</v>
      </c>
      <c r="H869" s="24">
        <f t="shared" si="65"/>
        <v>18000</v>
      </c>
      <c r="I869" s="7">
        <v>0.05</v>
      </c>
      <c r="J869" s="5">
        <f t="shared" si="66"/>
        <v>900</v>
      </c>
      <c r="K869" s="5">
        <f t="shared" si="67"/>
        <v>17100</v>
      </c>
      <c r="L869" s="5">
        <v>1730</v>
      </c>
      <c r="M869" s="5">
        <f t="shared" si="68"/>
        <v>3260</v>
      </c>
      <c r="N869" s="7">
        <f t="shared" si="69"/>
        <v>0.19064327485380117</v>
      </c>
      <c r="O869" s="1" t="s">
        <v>41</v>
      </c>
      <c r="P869" s="1" t="s">
        <v>31</v>
      </c>
      <c r="Q869" s="1" t="s">
        <v>48</v>
      </c>
      <c r="R869" s="1" t="s">
        <v>56</v>
      </c>
      <c r="S869" s="1" t="s">
        <v>191</v>
      </c>
      <c r="T869" s="15" t="s">
        <v>27</v>
      </c>
    </row>
    <row r="870" spans="1:20" x14ac:dyDescent="0.3">
      <c r="A870" s="14">
        <v>869</v>
      </c>
      <c r="B870" s="4">
        <v>44490</v>
      </c>
      <c r="C870" s="1" t="s">
        <v>532</v>
      </c>
      <c r="D870" s="1" t="s">
        <v>82</v>
      </c>
      <c r="E870" s="1" t="s">
        <v>29</v>
      </c>
      <c r="F870" s="2">
        <v>4</v>
      </c>
      <c r="G870" s="5">
        <v>1950</v>
      </c>
      <c r="H870" s="24">
        <f t="shared" si="65"/>
        <v>7800</v>
      </c>
      <c r="I870" s="7">
        <v>0</v>
      </c>
      <c r="J870" s="5">
        <f t="shared" si="66"/>
        <v>0</v>
      </c>
      <c r="K870" s="5">
        <f t="shared" si="67"/>
        <v>7800</v>
      </c>
      <c r="L870" s="5">
        <v>1210</v>
      </c>
      <c r="M870" s="5">
        <f t="shared" si="68"/>
        <v>2960</v>
      </c>
      <c r="N870" s="7">
        <f t="shared" si="69"/>
        <v>0.37948717948717947</v>
      </c>
      <c r="O870" s="1" t="s">
        <v>22</v>
      </c>
      <c r="P870" s="1" t="s">
        <v>23</v>
      </c>
      <c r="Q870" s="1" t="s">
        <v>24</v>
      </c>
      <c r="R870" s="1" t="s">
        <v>63</v>
      </c>
      <c r="S870" s="1" t="s">
        <v>91</v>
      </c>
      <c r="T870" s="15" t="s">
        <v>27</v>
      </c>
    </row>
    <row r="871" spans="1:20" x14ac:dyDescent="0.3">
      <c r="A871" s="14">
        <v>870</v>
      </c>
      <c r="B871" s="4">
        <v>44509</v>
      </c>
      <c r="C871" s="1" t="s">
        <v>533</v>
      </c>
      <c r="D871" s="1" t="s">
        <v>20</v>
      </c>
      <c r="E871" s="1" t="s">
        <v>43</v>
      </c>
      <c r="F871" s="2">
        <v>5</v>
      </c>
      <c r="G871" s="5">
        <v>340</v>
      </c>
      <c r="H871" s="24">
        <f t="shared" si="65"/>
        <v>1700</v>
      </c>
      <c r="I871" s="7">
        <v>0</v>
      </c>
      <c r="J871" s="5">
        <f t="shared" si="66"/>
        <v>0</v>
      </c>
      <c r="K871" s="5">
        <f t="shared" si="67"/>
        <v>1700</v>
      </c>
      <c r="L871" s="5">
        <v>250</v>
      </c>
      <c r="M871" s="5">
        <f t="shared" si="68"/>
        <v>450</v>
      </c>
      <c r="N871" s="7">
        <f t="shared" si="69"/>
        <v>0.26470588235294118</v>
      </c>
      <c r="O871" s="1" t="s">
        <v>41</v>
      </c>
      <c r="P871" s="1" t="s">
        <v>31</v>
      </c>
      <c r="Q871" s="1" t="s">
        <v>32</v>
      </c>
      <c r="R871" s="1" t="s">
        <v>88</v>
      </c>
      <c r="S871" s="1" t="s">
        <v>104</v>
      </c>
      <c r="T871" s="15" t="s">
        <v>53</v>
      </c>
    </row>
    <row r="872" spans="1:20" x14ac:dyDescent="0.3">
      <c r="A872" s="14">
        <v>871</v>
      </c>
      <c r="B872" s="4">
        <v>44208</v>
      </c>
      <c r="C872" s="1" t="s">
        <v>530</v>
      </c>
      <c r="D872" s="1" t="s">
        <v>28</v>
      </c>
      <c r="E872" s="1" t="s">
        <v>45</v>
      </c>
      <c r="F872" s="2">
        <v>2</v>
      </c>
      <c r="G872" s="5">
        <v>190</v>
      </c>
      <c r="H872" s="24">
        <f t="shared" si="65"/>
        <v>380</v>
      </c>
      <c r="I872" s="7">
        <v>0</v>
      </c>
      <c r="J872" s="5">
        <f t="shared" si="66"/>
        <v>0</v>
      </c>
      <c r="K872" s="5">
        <f t="shared" si="67"/>
        <v>380</v>
      </c>
      <c r="L872" s="5">
        <v>120</v>
      </c>
      <c r="M872" s="5">
        <f t="shared" si="68"/>
        <v>140</v>
      </c>
      <c r="N872" s="7">
        <f t="shared" si="69"/>
        <v>0.36842105263157893</v>
      </c>
      <c r="O872" s="1" t="s">
        <v>54</v>
      </c>
      <c r="P872" s="1" t="s">
        <v>31</v>
      </c>
      <c r="Q872" s="1" t="s">
        <v>24</v>
      </c>
      <c r="R872" s="1" t="s">
        <v>88</v>
      </c>
      <c r="S872" s="1" t="s">
        <v>441</v>
      </c>
      <c r="T872" s="15" t="s">
        <v>61</v>
      </c>
    </row>
    <row r="873" spans="1:20" x14ac:dyDescent="0.3">
      <c r="A873" s="14">
        <v>872</v>
      </c>
      <c r="B873" s="4">
        <v>44430</v>
      </c>
      <c r="C873" s="1" t="s">
        <v>530</v>
      </c>
      <c r="D873" s="1" t="s">
        <v>28</v>
      </c>
      <c r="E873" s="1" t="s">
        <v>43</v>
      </c>
      <c r="F873" s="2">
        <v>8</v>
      </c>
      <c r="G873" s="5">
        <v>280</v>
      </c>
      <c r="H873" s="24">
        <f t="shared" si="65"/>
        <v>2240</v>
      </c>
      <c r="I873" s="7">
        <v>0</v>
      </c>
      <c r="J873" s="5">
        <f t="shared" si="66"/>
        <v>0</v>
      </c>
      <c r="K873" s="5">
        <f t="shared" si="67"/>
        <v>2240</v>
      </c>
      <c r="L873" s="5">
        <v>180</v>
      </c>
      <c r="M873" s="5">
        <f t="shared" si="68"/>
        <v>800</v>
      </c>
      <c r="N873" s="7">
        <f t="shared" si="69"/>
        <v>0.35714285714285715</v>
      </c>
      <c r="O873" s="1" t="s">
        <v>59</v>
      </c>
      <c r="P873" s="1" t="s">
        <v>31</v>
      </c>
      <c r="Q873" s="1" t="s">
        <v>32</v>
      </c>
      <c r="R873" s="1" t="s">
        <v>50</v>
      </c>
      <c r="S873" s="1" t="s">
        <v>440</v>
      </c>
      <c r="T873" s="15" t="s">
        <v>61</v>
      </c>
    </row>
    <row r="874" spans="1:20" x14ac:dyDescent="0.3">
      <c r="A874" s="14">
        <v>873</v>
      </c>
      <c r="B874" s="4">
        <v>44247</v>
      </c>
      <c r="C874" s="1" t="s">
        <v>530</v>
      </c>
      <c r="D874" s="1" t="s">
        <v>82</v>
      </c>
      <c r="E874" s="1" t="s">
        <v>29</v>
      </c>
      <c r="F874" s="2">
        <v>9</v>
      </c>
      <c r="G874" s="5">
        <v>1990</v>
      </c>
      <c r="H874" s="24">
        <f t="shared" si="65"/>
        <v>17910</v>
      </c>
      <c r="I874" s="7">
        <v>0.15</v>
      </c>
      <c r="J874" s="5">
        <f t="shared" si="66"/>
        <v>2686.5</v>
      </c>
      <c r="K874" s="5">
        <f t="shared" si="67"/>
        <v>15223.5</v>
      </c>
      <c r="L874" s="5">
        <v>1300</v>
      </c>
      <c r="M874" s="5">
        <f t="shared" si="68"/>
        <v>3523.5</v>
      </c>
      <c r="N874" s="7">
        <f t="shared" si="69"/>
        <v>0.23145137451965711</v>
      </c>
      <c r="O874" s="1" t="s">
        <v>41</v>
      </c>
      <c r="P874" s="1" t="s">
        <v>31</v>
      </c>
      <c r="Q874" s="1" t="s">
        <v>24</v>
      </c>
      <c r="R874" s="1" t="s">
        <v>56</v>
      </c>
      <c r="S874" s="1" t="s">
        <v>442</v>
      </c>
      <c r="T874" s="15" t="s">
        <v>27</v>
      </c>
    </row>
    <row r="875" spans="1:20" x14ac:dyDescent="0.3">
      <c r="A875" s="14">
        <v>874</v>
      </c>
      <c r="B875" s="4">
        <v>44428</v>
      </c>
      <c r="C875" s="1" t="s">
        <v>532</v>
      </c>
      <c r="D875" s="1" t="s">
        <v>82</v>
      </c>
      <c r="E875" s="1" t="s">
        <v>36</v>
      </c>
      <c r="F875" s="2">
        <v>5</v>
      </c>
      <c r="G875" s="5">
        <v>1240</v>
      </c>
      <c r="H875" s="24">
        <f t="shared" si="65"/>
        <v>6200</v>
      </c>
      <c r="I875" s="7">
        <v>0.02</v>
      </c>
      <c r="J875" s="5">
        <f t="shared" si="66"/>
        <v>124</v>
      </c>
      <c r="K875" s="5">
        <f t="shared" si="67"/>
        <v>6076</v>
      </c>
      <c r="L875" s="5">
        <v>920</v>
      </c>
      <c r="M875" s="5">
        <f t="shared" si="68"/>
        <v>1476</v>
      </c>
      <c r="N875" s="7">
        <f t="shared" si="69"/>
        <v>0.24292297564186965</v>
      </c>
      <c r="O875" s="1" t="s">
        <v>59</v>
      </c>
      <c r="P875" s="1" t="s">
        <v>31</v>
      </c>
      <c r="Q875" s="1" t="s">
        <v>37</v>
      </c>
      <c r="R875" s="1" t="s">
        <v>25</v>
      </c>
      <c r="S875" s="1" t="s">
        <v>169</v>
      </c>
      <c r="T875" s="15" t="s">
        <v>35</v>
      </c>
    </row>
    <row r="876" spans="1:20" x14ac:dyDescent="0.3">
      <c r="A876" s="14">
        <v>875</v>
      </c>
      <c r="B876" s="4">
        <v>44258</v>
      </c>
      <c r="C876" s="1" t="s">
        <v>534</v>
      </c>
      <c r="D876" s="1" t="s">
        <v>20</v>
      </c>
      <c r="E876" s="1" t="s">
        <v>29</v>
      </c>
      <c r="F876" s="2">
        <v>2</v>
      </c>
      <c r="G876" s="5">
        <v>2130</v>
      </c>
      <c r="H876" s="24">
        <f t="shared" si="65"/>
        <v>4260</v>
      </c>
      <c r="I876" s="7">
        <v>0.1</v>
      </c>
      <c r="J876" s="5">
        <f t="shared" si="66"/>
        <v>426</v>
      </c>
      <c r="K876" s="5">
        <f t="shared" si="67"/>
        <v>3834</v>
      </c>
      <c r="L876" s="5">
        <v>1530</v>
      </c>
      <c r="M876" s="5">
        <f t="shared" si="68"/>
        <v>774</v>
      </c>
      <c r="N876" s="7">
        <f t="shared" si="69"/>
        <v>0.20187793427230047</v>
      </c>
      <c r="O876" s="1" t="s">
        <v>54</v>
      </c>
      <c r="P876" s="1" t="s">
        <v>31</v>
      </c>
      <c r="Q876" s="1" t="s">
        <v>24</v>
      </c>
      <c r="R876" s="1" t="s">
        <v>33</v>
      </c>
      <c r="S876" s="1" t="s">
        <v>443</v>
      </c>
      <c r="T876" s="15" t="s">
        <v>35</v>
      </c>
    </row>
    <row r="877" spans="1:20" x14ac:dyDescent="0.3">
      <c r="A877" s="14">
        <v>876</v>
      </c>
      <c r="B877" s="4">
        <v>44344</v>
      </c>
      <c r="C877" s="1" t="s">
        <v>533</v>
      </c>
      <c r="D877" s="1" t="s">
        <v>82</v>
      </c>
      <c r="E877" s="1" t="s">
        <v>36</v>
      </c>
      <c r="F877" s="2">
        <v>4</v>
      </c>
      <c r="G877" s="5">
        <v>1300</v>
      </c>
      <c r="H877" s="24">
        <f t="shared" si="65"/>
        <v>5200</v>
      </c>
      <c r="I877" s="7">
        <v>0.05</v>
      </c>
      <c r="J877" s="5">
        <f t="shared" si="66"/>
        <v>260</v>
      </c>
      <c r="K877" s="5">
        <f t="shared" si="67"/>
        <v>4940</v>
      </c>
      <c r="L877" s="5">
        <v>970</v>
      </c>
      <c r="M877" s="5">
        <f t="shared" si="68"/>
        <v>1060</v>
      </c>
      <c r="N877" s="7">
        <f t="shared" si="69"/>
        <v>0.2145748987854251</v>
      </c>
      <c r="O877" s="1" t="s">
        <v>59</v>
      </c>
      <c r="P877" s="1" t="s">
        <v>76</v>
      </c>
      <c r="Q877" s="1" t="s">
        <v>48</v>
      </c>
      <c r="R877" s="1" t="s">
        <v>46</v>
      </c>
      <c r="S877" s="1" t="s">
        <v>444</v>
      </c>
      <c r="T877" s="15" t="s">
        <v>35</v>
      </c>
    </row>
    <row r="878" spans="1:20" x14ac:dyDescent="0.3">
      <c r="A878" s="14">
        <v>877</v>
      </c>
      <c r="B878" s="4">
        <v>44469</v>
      </c>
      <c r="C878" s="1" t="s">
        <v>532</v>
      </c>
      <c r="D878" s="1" t="s">
        <v>82</v>
      </c>
      <c r="E878" s="1" t="s">
        <v>29</v>
      </c>
      <c r="F878" s="2">
        <v>12</v>
      </c>
      <c r="G878" s="5">
        <v>2300</v>
      </c>
      <c r="H878" s="24">
        <f t="shared" si="65"/>
        <v>27600</v>
      </c>
      <c r="I878" s="7">
        <v>0.1</v>
      </c>
      <c r="J878" s="5">
        <f t="shared" si="66"/>
        <v>2760</v>
      </c>
      <c r="K878" s="5">
        <f t="shared" si="67"/>
        <v>24840</v>
      </c>
      <c r="L878" s="5">
        <v>1850</v>
      </c>
      <c r="M878" s="5">
        <f t="shared" si="68"/>
        <v>2640</v>
      </c>
      <c r="N878" s="7">
        <f t="shared" si="69"/>
        <v>0.10628019323671498</v>
      </c>
      <c r="O878" s="1" t="s">
        <v>54</v>
      </c>
      <c r="P878" s="1" t="s">
        <v>31</v>
      </c>
      <c r="Q878" s="1" t="s">
        <v>48</v>
      </c>
      <c r="R878" s="1" t="s">
        <v>25</v>
      </c>
      <c r="S878" s="1" t="s">
        <v>303</v>
      </c>
      <c r="T878" s="15" t="s">
        <v>35</v>
      </c>
    </row>
    <row r="879" spans="1:20" x14ac:dyDescent="0.3">
      <c r="A879" s="14">
        <v>878</v>
      </c>
      <c r="B879" s="4">
        <v>44275</v>
      </c>
      <c r="C879" s="1" t="s">
        <v>530</v>
      </c>
      <c r="D879" s="1" t="s">
        <v>28</v>
      </c>
      <c r="E879" s="1" t="s">
        <v>43</v>
      </c>
      <c r="F879" s="2">
        <v>1</v>
      </c>
      <c r="G879" s="5">
        <v>300</v>
      </c>
      <c r="H879" s="24">
        <f t="shared" si="65"/>
        <v>300</v>
      </c>
      <c r="I879" s="7">
        <v>0</v>
      </c>
      <c r="J879" s="5">
        <f t="shared" si="66"/>
        <v>0</v>
      </c>
      <c r="K879" s="5">
        <f t="shared" si="67"/>
        <v>300</v>
      </c>
      <c r="L879" s="5">
        <v>220</v>
      </c>
      <c r="M879" s="5">
        <f t="shared" si="68"/>
        <v>80</v>
      </c>
      <c r="N879" s="7">
        <f t="shared" si="69"/>
        <v>0.26666666666666666</v>
      </c>
      <c r="O879" s="1" t="s">
        <v>22</v>
      </c>
      <c r="P879" s="1" t="s">
        <v>31</v>
      </c>
      <c r="Q879" s="1" t="s">
        <v>24</v>
      </c>
      <c r="R879" s="1" t="s">
        <v>25</v>
      </c>
      <c r="S879" s="1" t="s">
        <v>445</v>
      </c>
      <c r="T879" s="15" t="s">
        <v>35</v>
      </c>
    </row>
    <row r="880" spans="1:20" x14ac:dyDescent="0.3">
      <c r="A880" s="14">
        <v>879</v>
      </c>
      <c r="B880" s="4">
        <v>44305</v>
      </c>
      <c r="C880" s="1" t="s">
        <v>531</v>
      </c>
      <c r="D880" s="1" t="s">
        <v>80</v>
      </c>
      <c r="E880" s="1" t="s">
        <v>29</v>
      </c>
      <c r="F880" s="2">
        <v>6</v>
      </c>
      <c r="G880" s="5">
        <v>2370</v>
      </c>
      <c r="H880" s="24">
        <f t="shared" si="65"/>
        <v>14220</v>
      </c>
      <c r="I880" s="7">
        <v>0.02</v>
      </c>
      <c r="J880" s="5">
        <f t="shared" si="66"/>
        <v>284.40000000000003</v>
      </c>
      <c r="K880" s="5">
        <f t="shared" si="67"/>
        <v>13935.6</v>
      </c>
      <c r="L880" s="5">
        <v>1540</v>
      </c>
      <c r="M880" s="5">
        <f t="shared" si="68"/>
        <v>4695.6000000000004</v>
      </c>
      <c r="N880" s="7">
        <f t="shared" si="69"/>
        <v>0.33694996986136228</v>
      </c>
      <c r="O880" s="1" t="s">
        <v>41</v>
      </c>
      <c r="P880" s="1" t="s">
        <v>62</v>
      </c>
      <c r="Q880" s="1" t="s">
        <v>48</v>
      </c>
      <c r="R880" s="1" t="s">
        <v>49</v>
      </c>
      <c r="S880" s="1" t="s">
        <v>128</v>
      </c>
      <c r="T880" s="15" t="s">
        <v>61</v>
      </c>
    </row>
    <row r="881" spans="1:20" x14ac:dyDescent="0.3">
      <c r="A881" s="14">
        <v>880</v>
      </c>
      <c r="B881" s="4">
        <v>44210</v>
      </c>
      <c r="C881" s="1" t="s">
        <v>533</v>
      </c>
      <c r="D881" s="1" t="s">
        <v>20</v>
      </c>
      <c r="E881" s="1" t="s">
        <v>36</v>
      </c>
      <c r="F881" s="2">
        <v>6</v>
      </c>
      <c r="G881" s="5">
        <v>2260</v>
      </c>
      <c r="H881" s="24">
        <f t="shared" si="65"/>
        <v>13560</v>
      </c>
      <c r="I881" s="7">
        <v>0</v>
      </c>
      <c r="J881" s="5">
        <f t="shared" si="66"/>
        <v>0</v>
      </c>
      <c r="K881" s="5">
        <f t="shared" si="67"/>
        <v>13560</v>
      </c>
      <c r="L881" s="5">
        <v>1740</v>
      </c>
      <c r="M881" s="5">
        <f t="shared" si="68"/>
        <v>3120</v>
      </c>
      <c r="N881" s="7">
        <f t="shared" si="69"/>
        <v>0.23008849557522124</v>
      </c>
      <c r="O881" s="1" t="s">
        <v>30</v>
      </c>
      <c r="P881" s="1" t="s">
        <v>31</v>
      </c>
      <c r="Q881" s="1" t="s">
        <v>48</v>
      </c>
      <c r="R881" s="1" t="s">
        <v>33</v>
      </c>
      <c r="S881" s="1" t="s">
        <v>380</v>
      </c>
      <c r="T881" s="15" t="s">
        <v>53</v>
      </c>
    </row>
    <row r="882" spans="1:20" x14ac:dyDescent="0.3">
      <c r="A882" s="14">
        <v>881</v>
      </c>
      <c r="B882" s="4">
        <v>44533</v>
      </c>
      <c r="C882" s="1" t="s">
        <v>533</v>
      </c>
      <c r="D882" s="1" t="s">
        <v>80</v>
      </c>
      <c r="E882" s="1" t="s">
        <v>43</v>
      </c>
      <c r="F882" s="2">
        <v>11</v>
      </c>
      <c r="G882" s="5">
        <v>280</v>
      </c>
      <c r="H882" s="24">
        <f t="shared" si="65"/>
        <v>3080</v>
      </c>
      <c r="I882" s="7">
        <v>0.05</v>
      </c>
      <c r="J882" s="5">
        <f t="shared" si="66"/>
        <v>154</v>
      </c>
      <c r="K882" s="5">
        <f t="shared" si="67"/>
        <v>2926</v>
      </c>
      <c r="L882" s="5">
        <v>190</v>
      </c>
      <c r="M882" s="5">
        <f t="shared" si="68"/>
        <v>836</v>
      </c>
      <c r="N882" s="7">
        <f t="shared" si="69"/>
        <v>0.2857142857142857</v>
      </c>
      <c r="O882" s="1" t="s">
        <v>59</v>
      </c>
      <c r="P882" s="1" t="s">
        <v>31</v>
      </c>
      <c r="Q882" s="1" t="s">
        <v>48</v>
      </c>
      <c r="R882" s="1" t="s">
        <v>49</v>
      </c>
      <c r="S882" s="1" t="s">
        <v>336</v>
      </c>
      <c r="T882" s="15" t="s">
        <v>35</v>
      </c>
    </row>
    <row r="883" spans="1:20" x14ac:dyDescent="0.3">
      <c r="A883" s="14">
        <v>882</v>
      </c>
      <c r="B883" s="4">
        <v>44280</v>
      </c>
      <c r="C883" s="1" t="s">
        <v>530</v>
      </c>
      <c r="D883" s="1" t="s">
        <v>20</v>
      </c>
      <c r="E883" s="1" t="s">
        <v>21</v>
      </c>
      <c r="F883" s="2">
        <v>12</v>
      </c>
      <c r="G883" s="5">
        <v>190</v>
      </c>
      <c r="H883" s="24">
        <f t="shared" si="65"/>
        <v>2280</v>
      </c>
      <c r="I883" s="7">
        <v>0.05</v>
      </c>
      <c r="J883" s="5">
        <f t="shared" si="66"/>
        <v>114</v>
      </c>
      <c r="K883" s="5">
        <f t="shared" si="67"/>
        <v>2166</v>
      </c>
      <c r="L883" s="5">
        <v>140</v>
      </c>
      <c r="M883" s="5">
        <f t="shared" si="68"/>
        <v>486</v>
      </c>
      <c r="N883" s="7">
        <f t="shared" si="69"/>
        <v>0.22437673130193905</v>
      </c>
      <c r="O883" s="1" t="s">
        <v>22</v>
      </c>
      <c r="P883" s="1" t="s">
        <v>31</v>
      </c>
      <c r="Q883" s="1" t="s">
        <v>37</v>
      </c>
      <c r="R883" s="1" t="s">
        <v>25</v>
      </c>
      <c r="S883" s="1" t="s">
        <v>90</v>
      </c>
      <c r="T883" s="15" t="s">
        <v>53</v>
      </c>
    </row>
    <row r="884" spans="1:20" x14ac:dyDescent="0.3">
      <c r="A884" s="14">
        <v>883</v>
      </c>
      <c r="B884" s="4">
        <v>44252</v>
      </c>
      <c r="C884" s="1" t="s">
        <v>534</v>
      </c>
      <c r="D884" s="1" t="s">
        <v>20</v>
      </c>
      <c r="E884" s="1" t="s">
        <v>43</v>
      </c>
      <c r="F884" s="2">
        <v>9</v>
      </c>
      <c r="G884" s="5">
        <v>290</v>
      </c>
      <c r="H884" s="24">
        <f t="shared" si="65"/>
        <v>2610</v>
      </c>
      <c r="I884" s="7">
        <v>0</v>
      </c>
      <c r="J884" s="5">
        <f t="shared" si="66"/>
        <v>0</v>
      </c>
      <c r="K884" s="5">
        <f t="shared" si="67"/>
        <v>2610</v>
      </c>
      <c r="L884" s="5">
        <v>200</v>
      </c>
      <c r="M884" s="5">
        <f t="shared" si="68"/>
        <v>810</v>
      </c>
      <c r="N884" s="7">
        <f t="shared" si="69"/>
        <v>0.31034482758620691</v>
      </c>
      <c r="O884" s="1" t="s">
        <v>59</v>
      </c>
      <c r="P884" s="1" t="s">
        <v>31</v>
      </c>
      <c r="Q884" s="1" t="s">
        <v>32</v>
      </c>
      <c r="R884" s="1" t="s">
        <v>56</v>
      </c>
      <c r="S884" s="1" t="s">
        <v>224</v>
      </c>
      <c r="T884" s="15" t="s">
        <v>61</v>
      </c>
    </row>
    <row r="885" spans="1:20" x14ac:dyDescent="0.3">
      <c r="A885" s="14">
        <v>884</v>
      </c>
      <c r="B885" s="4">
        <v>44553</v>
      </c>
      <c r="C885" s="1" t="s">
        <v>530</v>
      </c>
      <c r="D885" s="1" t="s">
        <v>20</v>
      </c>
      <c r="E885" s="1" t="s">
        <v>29</v>
      </c>
      <c r="F885" s="2">
        <v>6</v>
      </c>
      <c r="G885" s="5">
        <v>2020</v>
      </c>
      <c r="H885" s="24">
        <f t="shared" si="65"/>
        <v>12120</v>
      </c>
      <c r="I885" s="7">
        <v>0</v>
      </c>
      <c r="J885" s="5">
        <f t="shared" si="66"/>
        <v>0</v>
      </c>
      <c r="K885" s="5">
        <f t="shared" si="67"/>
        <v>12120</v>
      </c>
      <c r="L885" s="5">
        <v>1470</v>
      </c>
      <c r="M885" s="5">
        <f t="shared" si="68"/>
        <v>3300</v>
      </c>
      <c r="N885" s="7">
        <f t="shared" si="69"/>
        <v>0.2722772277227723</v>
      </c>
      <c r="O885" s="1" t="s">
        <v>54</v>
      </c>
      <c r="P885" s="1" t="s">
        <v>31</v>
      </c>
      <c r="Q885" s="1" t="s">
        <v>48</v>
      </c>
      <c r="R885" s="1" t="s">
        <v>33</v>
      </c>
      <c r="S885" s="1" t="s">
        <v>93</v>
      </c>
      <c r="T885" s="15" t="s">
        <v>35</v>
      </c>
    </row>
    <row r="886" spans="1:20" x14ac:dyDescent="0.3">
      <c r="A886" s="14">
        <v>885</v>
      </c>
      <c r="B886" s="4">
        <v>44281</v>
      </c>
      <c r="C886" s="1" t="s">
        <v>530</v>
      </c>
      <c r="D886" s="1" t="s">
        <v>20</v>
      </c>
      <c r="E886" s="1" t="s">
        <v>45</v>
      </c>
      <c r="F886" s="2">
        <v>7</v>
      </c>
      <c r="G886" s="5">
        <v>210</v>
      </c>
      <c r="H886" s="24">
        <f t="shared" si="65"/>
        <v>1470</v>
      </c>
      <c r="I886" s="7">
        <v>0</v>
      </c>
      <c r="J886" s="5">
        <f t="shared" si="66"/>
        <v>0</v>
      </c>
      <c r="K886" s="5">
        <f t="shared" si="67"/>
        <v>1470</v>
      </c>
      <c r="L886" s="5">
        <v>160</v>
      </c>
      <c r="M886" s="5">
        <f t="shared" si="68"/>
        <v>350</v>
      </c>
      <c r="N886" s="7">
        <f t="shared" si="69"/>
        <v>0.23809523809523808</v>
      </c>
      <c r="O886" s="1" t="s">
        <v>41</v>
      </c>
      <c r="P886" s="1" t="s">
        <v>31</v>
      </c>
      <c r="Q886" s="1" t="s">
        <v>32</v>
      </c>
      <c r="R886" s="1" t="s">
        <v>49</v>
      </c>
      <c r="S886" s="1" t="s">
        <v>419</v>
      </c>
      <c r="T886" s="15" t="s">
        <v>35</v>
      </c>
    </row>
    <row r="887" spans="1:20" x14ac:dyDescent="0.3">
      <c r="A887" s="14">
        <v>886</v>
      </c>
      <c r="B887" s="4">
        <v>44224</v>
      </c>
      <c r="C887" s="1" t="s">
        <v>530</v>
      </c>
      <c r="D887" s="1" t="s">
        <v>20</v>
      </c>
      <c r="E887" s="1" t="s">
        <v>29</v>
      </c>
      <c r="F887" s="2">
        <v>1</v>
      </c>
      <c r="G887" s="5">
        <v>1990</v>
      </c>
      <c r="H887" s="24">
        <f t="shared" si="65"/>
        <v>1990</v>
      </c>
      <c r="I887" s="7">
        <v>0</v>
      </c>
      <c r="J887" s="5">
        <f t="shared" si="66"/>
        <v>0</v>
      </c>
      <c r="K887" s="5">
        <f t="shared" si="67"/>
        <v>1990</v>
      </c>
      <c r="L887" s="5">
        <v>1150</v>
      </c>
      <c r="M887" s="5">
        <f t="shared" si="68"/>
        <v>840</v>
      </c>
      <c r="N887" s="7">
        <f t="shared" si="69"/>
        <v>0.42211055276381909</v>
      </c>
      <c r="O887" s="1" t="s">
        <v>54</v>
      </c>
      <c r="P887" s="1" t="s">
        <v>31</v>
      </c>
      <c r="Q887" s="1" t="s">
        <v>48</v>
      </c>
      <c r="R887" s="1" t="s">
        <v>56</v>
      </c>
      <c r="S887" s="1" t="s">
        <v>421</v>
      </c>
      <c r="T887" s="15" t="s">
        <v>27</v>
      </c>
    </row>
    <row r="888" spans="1:20" x14ac:dyDescent="0.3">
      <c r="A888" s="14">
        <v>887</v>
      </c>
      <c r="B888" s="4">
        <v>44237</v>
      </c>
      <c r="C888" s="1" t="s">
        <v>530</v>
      </c>
      <c r="D888" s="1" t="s">
        <v>28</v>
      </c>
      <c r="E888" s="1" t="s">
        <v>21</v>
      </c>
      <c r="F888" s="2">
        <v>3</v>
      </c>
      <c r="G888" s="5">
        <v>180</v>
      </c>
      <c r="H888" s="24">
        <f t="shared" si="65"/>
        <v>540</v>
      </c>
      <c r="I888" s="7">
        <v>0.05</v>
      </c>
      <c r="J888" s="5">
        <f t="shared" si="66"/>
        <v>27</v>
      </c>
      <c r="K888" s="5">
        <f t="shared" si="67"/>
        <v>513</v>
      </c>
      <c r="L888" s="5">
        <v>140</v>
      </c>
      <c r="M888" s="5">
        <f t="shared" si="68"/>
        <v>93</v>
      </c>
      <c r="N888" s="7">
        <f t="shared" si="69"/>
        <v>0.18128654970760233</v>
      </c>
      <c r="O888" s="1" t="s">
        <v>41</v>
      </c>
      <c r="P888" s="1" t="s">
        <v>62</v>
      </c>
      <c r="Q888" s="1" t="s">
        <v>32</v>
      </c>
      <c r="R888" s="1" t="s">
        <v>63</v>
      </c>
      <c r="S888" s="1" t="s">
        <v>145</v>
      </c>
      <c r="T888" s="15" t="s">
        <v>61</v>
      </c>
    </row>
    <row r="889" spans="1:20" x14ac:dyDescent="0.3">
      <c r="A889" s="14">
        <v>888</v>
      </c>
      <c r="B889" s="4">
        <v>44465</v>
      </c>
      <c r="C889" s="1" t="s">
        <v>533</v>
      </c>
      <c r="D889" s="1" t="s">
        <v>20</v>
      </c>
      <c r="E889" s="1" t="s">
        <v>45</v>
      </c>
      <c r="F889" s="2">
        <v>3</v>
      </c>
      <c r="G889" s="5">
        <v>220</v>
      </c>
      <c r="H889" s="24">
        <f t="shared" si="65"/>
        <v>660</v>
      </c>
      <c r="I889" s="7">
        <v>0.05</v>
      </c>
      <c r="J889" s="5">
        <f t="shared" si="66"/>
        <v>33</v>
      </c>
      <c r="K889" s="5">
        <f t="shared" si="67"/>
        <v>627</v>
      </c>
      <c r="L889" s="5">
        <v>140</v>
      </c>
      <c r="M889" s="5">
        <f t="shared" si="68"/>
        <v>207</v>
      </c>
      <c r="N889" s="7">
        <f t="shared" si="69"/>
        <v>0.33014354066985646</v>
      </c>
      <c r="O889" s="1" t="s">
        <v>59</v>
      </c>
      <c r="P889" s="1" t="s">
        <v>31</v>
      </c>
      <c r="Q889" s="1" t="s">
        <v>32</v>
      </c>
      <c r="R889" s="1" t="s">
        <v>38</v>
      </c>
      <c r="S889" s="1" t="s">
        <v>231</v>
      </c>
      <c r="T889" s="15" t="s">
        <v>53</v>
      </c>
    </row>
    <row r="890" spans="1:20" x14ac:dyDescent="0.3">
      <c r="A890" s="14">
        <v>889</v>
      </c>
      <c r="B890" s="4">
        <v>44264</v>
      </c>
      <c r="C890" s="1" t="s">
        <v>529</v>
      </c>
      <c r="D890" s="1" t="s">
        <v>82</v>
      </c>
      <c r="E890" s="1" t="s">
        <v>21</v>
      </c>
      <c r="F890" s="2">
        <v>8</v>
      </c>
      <c r="G890" s="5">
        <v>180</v>
      </c>
      <c r="H890" s="24">
        <f t="shared" si="65"/>
        <v>1440</v>
      </c>
      <c r="I890" s="7">
        <v>0</v>
      </c>
      <c r="J890" s="5">
        <f t="shared" si="66"/>
        <v>0</v>
      </c>
      <c r="K890" s="5">
        <f t="shared" si="67"/>
        <v>1440</v>
      </c>
      <c r="L890" s="5">
        <v>130</v>
      </c>
      <c r="M890" s="5">
        <f t="shared" si="68"/>
        <v>400</v>
      </c>
      <c r="N890" s="7">
        <f t="shared" si="69"/>
        <v>0.27777777777777779</v>
      </c>
      <c r="O890" s="1" t="s">
        <v>59</v>
      </c>
      <c r="P890" s="1" t="s">
        <v>31</v>
      </c>
      <c r="Q890" s="1" t="s">
        <v>37</v>
      </c>
      <c r="R890" s="1" t="s">
        <v>33</v>
      </c>
      <c r="S890" s="1" t="s">
        <v>187</v>
      </c>
      <c r="T890" s="15" t="s">
        <v>61</v>
      </c>
    </row>
    <row r="891" spans="1:20" x14ac:dyDescent="0.3">
      <c r="A891" s="14">
        <v>890</v>
      </c>
      <c r="B891" s="4">
        <v>44530</v>
      </c>
      <c r="C891" s="1" t="s">
        <v>533</v>
      </c>
      <c r="D891" s="1" t="s">
        <v>82</v>
      </c>
      <c r="E891" s="1" t="s">
        <v>40</v>
      </c>
      <c r="F891" s="2">
        <v>10</v>
      </c>
      <c r="G891" s="5">
        <v>1440</v>
      </c>
      <c r="H891" s="24">
        <f t="shared" si="65"/>
        <v>14400</v>
      </c>
      <c r="I891" s="7">
        <v>0</v>
      </c>
      <c r="J891" s="5">
        <f t="shared" si="66"/>
        <v>0</v>
      </c>
      <c r="K891" s="5">
        <f t="shared" si="67"/>
        <v>14400</v>
      </c>
      <c r="L891" s="5">
        <v>960</v>
      </c>
      <c r="M891" s="5">
        <f t="shared" si="68"/>
        <v>4800</v>
      </c>
      <c r="N891" s="7">
        <f t="shared" si="69"/>
        <v>0.33333333333333331</v>
      </c>
      <c r="O891" s="1" t="s">
        <v>41</v>
      </c>
      <c r="P891" s="1" t="s">
        <v>31</v>
      </c>
      <c r="Q891" s="1" t="s">
        <v>24</v>
      </c>
      <c r="R891" s="1" t="s">
        <v>38</v>
      </c>
      <c r="S891" s="1" t="s">
        <v>199</v>
      </c>
      <c r="T891" s="15" t="s">
        <v>35</v>
      </c>
    </row>
    <row r="892" spans="1:20" x14ac:dyDescent="0.3">
      <c r="A892" s="14">
        <v>891</v>
      </c>
      <c r="B892" s="4">
        <v>44207</v>
      </c>
      <c r="C892" s="1" t="s">
        <v>533</v>
      </c>
      <c r="D892" s="1" t="s">
        <v>80</v>
      </c>
      <c r="E892" s="1" t="s">
        <v>29</v>
      </c>
      <c r="F892" s="2">
        <v>8</v>
      </c>
      <c r="G892" s="5">
        <v>2410</v>
      </c>
      <c r="H892" s="24">
        <f t="shared" si="65"/>
        <v>19280</v>
      </c>
      <c r="I892" s="7">
        <v>0.05</v>
      </c>
      <c r="J892" s="5">
        <f t="shared" si="66"/>
        <v>964</v>
      </c>
      <c r="K892" s="5">
        <f t="shared" si="67"/>
        <v>18316</v>
      </c>
      <c r="L892" s="5">
        <v>1420</v>
      </c>
      <c r="M892" s="5">
        <f t="shared" si="68"/>
        <v>6956</v>
      </c>
      <c r="N892" s="7">
        <f t="shared" si="69"/>
        <v>0.37977724393972484</v>
      </c>
      <c r="O892" s="1" t="s">
        <v>22</v>
      </c>
      <c r="P892" s="1" t="s">
        <v>31</v>
      </c>
      <c r="Q892" s="1" t="s">
        <v>24</v>
      </c>
      <c r="R892" s="1" t="s">
        <v>46</v>
      </c>
      <c r="S892" s="1" t="s">
        <v>112</v>
      </c>
      <c r="T892" s="15" t="s">
        <v>53</v>
      </c>
    </row>
    <row r="893" spans="1:20" x14ac:dyDescent="0.3">
      <c r="A893" s="14">
        <v>892</v>
      </c>
      <c r="B893" s="4">
        <v>44502</v>
      </c>
      <c r="C893" s="1" t="s">
        <v>531</v>
      </c>
      <c r="D893" s="1" t="s">
        <v>82</v>
      </c>
      <c r="E893" s="1" t="s">
        <v>29</v>
      </c>
      <c r="F893" s="2">
        <v>5</v>
      </c>
      <c r="G893" s="5">
        <v>2390</v>
      </c>
      <c r="H893" s="24">
        <f t="shared" si="65"/>
        <v>11950</v>
      </c>
      <c r="I893" s="7">
        <v>0</v>
      </c>
      <c r="J893" s="5">
        <f t="shared" si="66"/>
        <v>0</v>
      </c>
      <c r="K893" s="5">
        <f t="shared" si="67"/>
        <v>11950</v>
      </c>
      <c r="L893" s="5">
        <v>1500</v>
      </c>
      <c r="M893" s="5">
        <f t="shared" si="68"/>
        <v>4450</v>
      </c>
      <c r="N893" s="7">
        <f t="shared" si="69"/>
        <v>0.3723849372384937</v>
      </c>
      <c r="O893" s="1" t="s">
        <v>59</v>
      </c>
      <c r="P893" s="1" t="s">
        <v>31</v>
      </c>
      <c r="Q893" s="1" t="s">
        <v>48</v>
      </c>
      <c r="R893" s="1" t="s">
        <v>38</v>
      </c>
      <c r="S893" s="1" t="s">
        <v>284</v>
      </c>
      <c r="T893" s="15" t="s">
        <v>61</v>
      </c>
    </row>
    <row r="894" spans="1:20" x14ac:dyDescent="0.3">
      <c r="A894" s="14">
        <v>893</v>
      </c>
      <c r="B894" s="4">
        <v>44303</v>
      </c>
      <c r="C894" s="1" t="s">
        <v>533</v>
      </c>
      <c r="D894" s="1" t="s">
        <v>28</v>
      </c>
      <c r="E894" s="1" t="s">
        <v>40</v>
      </c>
      <c r="F894" s="2">
        <v>5</v>
      </c>
      <c r="G894" s="5">
        <v>1610</v>
      </c>
      <c r="H894" s="24">
        <f t="shared" si="65"/>
        <v>8050</v>
      </c>
      <c r="I894" s="7">
        <v>0.05</v>
      </c>
      <c r="J894" s="5">
        <f t="shared" si="66"/>
        <v>402.5</v>
      </c>
      <c r="K894" s="5">
        <f t="shared" si="67"/>
        <v>7647.5</v>
      </c>
      <c r="L894" s="5">
        <v>990</v>
      </c>
      <c r="M894" s="5">
        <f t="shared" si="68"/>
        <v>2697.5</v>
      </c>
      <c r="N894" s="7">
        <f t="shared" si="69"/>
        <v>0.35272965021248776</v>
      </c>
      <c r="O894" s="1" t="s">
        <v>22</v>
      </c>
      <c r="P894" s="1" t="s">
        <v>31</v>
      </c>
      <c r="Q894" s="1" t="s">
        <v>32</v>
      </c>
      <c r="R894" s="1" t="s">
        <v>33</v>
      </c>
      <c r="S894" s="1" t="s">
        <v>163</v>
      </c>
      <c r="T894" s="15" t="s">
        <v>35</v>
      </c>
    </row>
    <row r="895" spans="1:20" x14ac:dyDescent="0.3">
      <c r="A895" s="14">
        <v>894</v>
      </c>
      <c r="B895" s="4">
        <v>44522</v>
      </c>
      <c r="C895" s="1" t="s">
        <v>530</v>
      </c>
      <c r="D895" s="1" t="s">
        <v>20</v>
      </c>
      <c r="E895" s="1" t="s">
        <v>29</v>
      </c>
      <c r="F895" s="2">
        <v>3</v>
      </c>
      <c r="G895" s="5">
        <v>1940</v>
      </c>
      <c r="H895" s="24">
        <f t="shared" si="65"/>
        <v>5820</v>
      </c>
      <c r="I895" s="7">
        <v>0.15</v>
      </c>
      <c r="J895" s="5">
        <f t="shared" si="66"/>
        <v>873</v>
      </c>
      <c r="K895" s="5">
        <f t="shared" si="67"/>
        <v>4947</v>
      </c>
      <c r="L895" s="5">
        <v>1530</v>
      </c>
      <c r="M895" s="5">
        <f t="shared" si="68"/>
        <v>357</v>
      </c>
      <c r="N895" s="7">
        <f t="shared" si="69"/>
        <v>7.2164948453608241E-2</v>
      </c>
      <c r="O895" s="1" t="s">
        <v>59</v>
      </c>
      <c r="P895" s="1" t="s">
        <v>31</v>
      </c>
      <c r="Q895" s="1" t="s">
        <v>24</v>
      </c>
      <c r="R895" s="1" t="s">
        <v>66</v>
      </c>
      <c r="S895" s="1" t="s">
        <v>446</v>
      </c>
      <c r="T895" s="15" t="s">
        <v>35</v>
      </c>
    </row>
    <row r="896" spans="1:20" x14ac:dyDescent="0.3">
      <c r="A896" s="14">
        <v>895</v>
      </c>
      <c r="B896" s="4">
        <v>44244</v>
      </c>
      <c r="C896" s="1" t="s">
        <v>534</v>
      </c>
      <c r="D896" s="1" t="s">
        <v>82</v>
      </c>
      <c r="E896" s="1" t="s">
        <v>36</v>
      </c>
      <c r="F896" s="2">
        <v>5</v>
      </c>
      <c r="G896" s="5">
        <v>2120</v>
      </c>
      <c r="H896" s="24">
        <f t="shared" si="65"/>
        <v>10600</v>
      </c>
      <c r="I896" s="7">
        <v>0.05</v>
      </c>
      <c r="J896" s="5">
        <f t="shared" si="66"/>
        <v>530</v>
      </c>
      <c r="K896" s="5">
        <f t="shared" si="67"/>
        <v>10070</v>
      </c>
      <c r="L896" s="5">
        <v>1410</v>
      </c>
      <c r="M896" s="5">
        <f t="shared" si="68"/>
        <v>3020</v>
      </c>
      <c r="N896" s="7">
        <f t="shared" si="69"/>
        <v>0.29990069513406159</v>
      </c>
      <c r="O896" s="1" t="s">
        <v>41</v>
      </c>
      <c r="P896" s="1" t="s">
        <v>76</v>
      </c>
      <c r="Q896" s="1" t="s">
        <v>24</v>
      </c>
      <c r="R896" s="1" t="s">
        <v>33</v>
      </c>
      <c r="S896" s="1" t="s">
        <v>269</v>
      </c>
      <c r="T896" s="15" t="s">
        <v>61</v>
      </c>
    </row>
    <row r="897" spans="1:20" x14ac:dyDescent="0.3">
      <c r="A897" s="14">
        <v>896</v>
      </c>
      <c r="B897" s="4">
        <v>44253</v>
      </c>
      <c r="C897" s="1" t="s">
        <v>533</v>
      </c>
      <c r="D897" s="1" t="s">
        <v>82</v>
      </c>
      <c r="E897" s="1" t="s">
        <v>40</v>
      </c>
      <c r="F897" s="2">
        <v>6</v>
      </c>
      <c r="G897" s="5">
        <v>1460</v>
      </c>
      <c r="H897" s="24">
        <f t="shared" si="65"/>
        <v>8760</v>
      </c>
      <c r="I897" s="7">
        <v>0.02</v>
      </c>
      <c r="J897" s="5">
        <f t="shared" si="66"/>
        <v>175.20000000000002</v>
      </c>
      <c r="K897" s="5">
        <f t="shared" si="67"/>
        <v>8584.7999999999993</v>
      </c>
      <c r="L897" s="5">
        <v>1180</v>
      </c>
      <c r="M897" s="5">
        <f t="shared" si="68"/>
        <v>1504.7999999999993</v>
      </c>
      <c r="N897" s="7">
        <f t="shared" si="69"/>
        <v>0.17528655297735526</v>
      </c>
      <c r="O897" s="1" t="s">
        <v>59</v>
      </c>
      <c r="P897" s="1" t="s">
        <v>31</v>
      </c>
      <c r="Q897" s="1" t="s">
        <v>37</v>
      </c>
      <c r="R897" s="1" t="s">
        <v>50</v>
      </c>
      <c r="S897" s="1" t="s">
        <v>447</v>
      </c>
      <c r="T897" s="15" t="s">
        <v>61</v>
      </c>
    </row>
    <row r="898" spans="1:20" x14ac:dyDescent="0.3">
      <c r="A898" s="14">
        <v>897</v>
      </c>
      <c r="B898" s="4">
        <v>44428</v>
      </c>
      <c r="C898" s="1" t="s">
        <v>530</v>
      </c>
      <c r="D898" s="1" t="s">
        <v>82</v>
      </c>
      <c r="E898" s="1" t="s">
        <v>29</v>
      </c>
      <c r="F898" s="2">
        <v>12</v>
      </c>
      <c r="G898" s="5">
        <v>1990</v>
      </c>
      <c r="H898" s="24">
        <f t="shared" ref="H898:H961" si="70">F898*G898</f>
        <v>23880</v>
      </c>
      <c r="I898" s="7">
        <v>0.05</v>
      </c>
      <c r="J898" s="5">
        <f t="shared" ref="J898:J961" si="71">H898*I898</f>
        <v>1194</v>
      </c>
      <c r="K898" s="5">
        <f t="shared" ref="K898:K961" si="72">H898-J898</f>
        <v>22686</v>
      </c>
      <c r="L898" s="5">
        <v>1420</v>
      </c>
      <c r="M898" s="5">
        <f t="shared" ref="M898:M961" si="73">K898-(F898*L898)</f>
        <v>5646</v>
      </c>
      <c r="N898" s="7">
        <f t="shared" ref="N898:N961" si="74">IFERROR(M898/K898,0)</f>
        <v>0.24887595874107379</v>
      </c>
      <c r="O898" s="1" t="s">
        <v>59</v>
      </c>
      <c r="P898" s="1" t="s">
        <v>31</v>
      </c>
      <c r="Q898" s="1" t="s">
        <v>24</v>
      </c>
      <c r="R898" s="1" t="s">
        <v>88</v>
      </c>
      <c r="S898" s="1" t="s">
        <v>121</v>
      </c>
      <c r="T898" s="15" t="s">
        <v>61</v>
      </c>
    </row>
    <row r="899" spans="1:20" x14ac:dyDescent="0.3">
      <c r="A899" s="14">
        <v>898</v>
      </c>
      <c r="B899" s="4">
        <v>44231</v>
      </c>
      <c r="C899" s="1" t="s">
        <v>529</v>
      </c>
      <c r="D899" s="1" t="s">
        <v>20</v>
      </c>
      <c r="E899" s="1" t="s">
        <v>36</v>
      </c>
      <c r="F899" s="2">
        <v>9</v>
      </c>
      <c r="G899" s="5">
        <v>1260</v>
      </c>
      <c r="H899" s="24">
        <f t="shared" si="70"/>
        <v>11340</v>
      </c>
      <c r="I899" s="7">
        <v>0</v>
      </c>
      <c r="J899" s="5">
        <f t="shared" si="71"/>
        <v>0</v>
      </c>
      <c r="K899" s="5">
        <f t="shared" si="72"/>
        <v>11340</v>
      </c>
      <c r="L899" s="5">
        <v>850</v>
      </c>
      <c r="M899" s="5">
        <f t="shared" si="73"/>
        <v>3690</v>
      </c>
      <c r="N899" s="7">
        <f t="shared" si="74"/>
        <v>0.32539682539682541</v>
      </c>
      <c r="O899" s="1" t="s">
        <v>30</v>
      </c>
      <c r="P899" s="1" t="s">
        <v>31</v>
      </c>
      <c r="Q899" s="1" t="s">
        <v>37</v>
      </c>
      <c r="R899" s="1" t="s">
        <v>25</v>
      </c>
      <c r="S899" s="1" t="s">
        <v>281</v>
      </c>
      <c r="T899" s="15" t="s">
        <v>53</v>
      </c>
    </row>
    <row r="900" spans="1:20" x14ac:dyDescent="0.3">
      <c r="A900" s="14">
        <v>899</v>
      </c>
      <c r="B900" s="4">
        <v>44391</v>
      </c>
      <c r="C900" s="1" t="s">
        <v>530</v>
      </c>
      <c r="D900" s="1" t="s">
        <v>20</v>
      </c>
      <c r="E900" s="1" t="s">
        <v>45</v>
      </c>
      <c r="F900" s="2">
        <v>2</v>
      </c>
      <c r="G900" s="5">
        <v>190</v>
      </c>
      <c r="H900" s="24">
        <f t="shared" si="70"/>
        <v>380</v>
      </c>
      <c r="I900" s="7">
        <v>0</v>
      </c>
      <c r="J900" s="5">
        <f t="shared" si="71"/>
        <v>0</v>
      </c>
      <c r="K900" s="5">
        <f t="shared" si="72"/>
        <v>380</v>
      </c>
      <c r="L900" s="5">
        <v>110</v>
      </c>
      <c r="M900" s="5">
        <f t="shared" si="73"/>
        <v>160</v>
      </c>
      <c r="N900" s="7">
        <f t="shared" si="74"/>
        <v>0.42105263157894735</v>
      </c>
      <c r="O900" s="1" t="s">
        <v>30</v>
      </c>
      <c r="P900" s="1" t="s">
        <v>31</v>
      </c>
      <c r="Q900" s="1" t="s">
        <v>37</v>
      </c>
      <c r="R900" s="1" t="s">
        <v>49</v>
      </c>
      <c r="S900" s="1" t="s">
        <v>395</v>
      </c>
      <c r="T900" s="15" t="s">
        <v>35</v>
      </c>
    </row>
    <row r="901" spans="1:20" x14ac:dyDescent="0.3">
      <c r="A901" s="14">
        <v>900</v>
      </c>
      <c r="B901" s="4">
        <v>44198</v>
      </c>
      <c r="C901" s="1" t="s">
        <v>530</v>
      </c>
      <c r="D901" s="1" t="s">
        <v>20</v>
      </c>
      <c r="E901" s="1" t="s">
        <v>29</v>
      </c>
      <c r="F901" s="2">
        <v>9</v>
      </c>
      <c r="G901" s="5">
        <v>2260</v>
      </c>
      <c r="H901" s="24">
        <f t="shared" si="70"/>
        <v>20340</v>
      </c>
      <c r="I901" s="7">
        <v>0.05</v>
      </c>
      <c r="J901" s="5">
        <f t="shared" si="71"/>
        <v>1017</v>
      </c>
      <c r="K901" s="5">
        <f t="shared" si="72"/>
        <v>19323</v>
      </c>
      <c r="L901" s="5">
        <v>1360</v>
      </c>
      <c r="M901" s="5">
        <f t="shared" si="73"/>
        <v>7083</v>
      </c>
      <c r="N901" s="7">
        <f t="shared" si="74"/>
        <v>0.36655798789007921</v>
      </c>
      <c r="O901" s="1" t="s">
        <v>59</v>
      </c>
      <c r="P901" s="1" t="s">
        <v>31</v>
      </c>
      <c r="Q901" s="1" t="s">
        <v>32</v>
      </c>
      <c r="R901" s="1" t="s">
        <v>46</v>
      </c>
      <c r="S901" s="1" t="s">
        <v>102</v>
      </c>
      <c r="T901" s="15" t="s">
        <v>27</v>
      </c>
    </row>
    <row r="902" spans="1:20" x14ac:dyDescent="0.3">
      <c r="A902" s="14">
        <v>901</v>
      </c>
      <c r="B902" s="4">
        <v>44481</v>
      </c>
      <c r="C902" s="1" t="s">
        <v>533</v>
      </c>
      <c r="D902" s="1" t="s">
        <v>80</v>
      </c>
      <c r="E902" s="1" t="s">
        <v>36</v>
      </c>
      <c r="F902" s="2">
        <v>8</v>
      </c>
      <c r="G902" s="5">
        <v>1340</v>
      </c>
      <c r="H902" s="24">
        <f t="shared" si="70"/>
        <v>10720</v>
      </c>
      <c r="I902" s="7">
        <v>0.15</v>
      </c>
      <c r="J902" s="5">
        <f t="shared" si="71"/>
        <v>1608</v>
      </c>
      <c r="K902" s="5">
        <f t="shared" si="72"/>
        <v>9112</v>
      </c>
      <c r="L902" s="5">
        <v>900</v>
      </c>
      <c r="M902" s="5">
        <f t="shared" si="73"/>
        <v>1912</v>
      </c>
      <c r="N902" s="7">
        <f t="shared" si="74"/>
        <v>0.20983318700614575</v>
      </c>
      <c r="O902" s="1" t="s">
        <v>59</v>
      </c>
      <c r="P902" s="1" t="s">
        <v>31</v>
      </c>
      <c r="Q902" s="1" t="s">
        <v>32</v>
      </c>
      <c r="R902" s="1" t="s">
        <v>88</v>
      </c>
      <c r="S902" s="1" t="s">
        <v>351</v>
      </c>
      <c r="T902" s="15" t="s">
        <v>53</v>
      </c>
    </row>
    <row r="903" spans="1:20" x14ac:dyDescent="0.3">
      <c r="A903" s="14">
        <v>902</v>
      </c>
      <c r="B903" s="4">
        <v>44329</v>
      </c>
      <c r="C903" s="1" t="s">
        <v>533</v>
      </c>
      <c r="D903" s="1" t="s">
        <v>82</v>
      </c>
      <c r="E903" s="1" t="s">
        <v>36</v>
      </c>
      <c r="F903" s="2">
        <v>3</v>
      </c>
      <c r="G903" s="5">
        <v>2190</v>
      </c>
      <c r="H903" s="24">
        <f t="shared" si="70"/>
        <v>6570</v>
      </c>
      <c r="I903" s="7">
        <v>0.15</v>
      </c>
      <c r="J903" s="5">
        <f t="shared" si="71"/>
        <v>985.5</v>
      </c>
      <c r="K903" s="5">
        <f t="shared" si="72"/>
        <v>5584.5</v>
      </c>
      <c r="L903" s="5">
        <v>1780</v>
      </c>
      <c r="M903" s="5">
        <f t="shared" si="73"/>
        <v>244.5</v>
      </c>
      <c r="N903" s="7">
        <f t="shared" si="74"/>
        <v>4.3781896320171904E-2</v>
      </c>
      <c r="O903" s="1" t="s">
        <v>59</v>
      </c>
      <c r="P903" s="1" t="s">
        <v>31</v>
      </c>
      <c r="Q903" s="1" t="s">
        <v>24</v>
      </c>
      <c r="R903" s="1" t="s">
        <v>88</v>
      </c>
      <c r="S903" s="1" t="s">
        <v>159</v>
      </c>
      <c r="T903" s="15" t="s">
        <v>53</v>
      </c>
    </row>
    <row r="904" spans="1:20" x14ac:dyDescent="0.3">
      <c r="A904" s="14">
        <v>903</v>
      </c>
      <c r="B904" s="4">
        <v>44261</v>
      </c>
      <c r="C904" s="1" t="s">
        <v>532</v>
      </c>
      <c r="D904" s="1" t="s">
        <v>20</v>
      </c>
      <c r="E904" s="1" t="s">
        <v>40</v>
      </c>
      <c r="F904" s="2">
        <v>11</v>
      </c>
      <c r="G904" s="5">
        <v>1610</v>
      </c>
      <c r="H904" s="24">
        <f t="shared" si="70"/>
        <v>17710</v>
      </c>
      <c r="I904" s="7">
        <v>0</v>
      </c>
      <c r="J904" s="5">
        <f t="shared" si="71"/>
        <v>0</v>
      </c>
      <c r="K904" s="5">
        <f t="shared" si="72"/>
        <v>17710</v>
      </c>
      <c r="L904" s="5">
        <v>1310</v>
      </c>
      <c r="M904" s="5">
        <f t="shared" si="73"/>
        <v>3300</v>
      </c>
      <c r="N904" s="7">
        <f t="shared" si="74"/>
        <v>0.18633540372670807</v>
      </c>
      <c r="O904" s="1" t="s">
        <v>54</v>
      </c>
      <c r="P904" s="1" t="s">
        <v>31</v>
      </c>
      <c r="Q904" s="1" t="s">
        <v>24</v>
      </c>
      <c r="R904" s="1" t="s">
        <v>63</v>
      </c>
      <c r="S904" s="1" t="s">
        <v>417</v>
      </c>
      <c r="T904" s="15" t="s">
        <v>61</v>
      </c>
    </row>
    <row r="905" spans="1:20" x14ac:dyDescent="0.3">
      <c r="A905" s="14">
        <v>904</v>
      </c>
      <c r="B905" s="4">
        <v>44252</v>
      </c>
      <c r="C905" s="1" t="s">
        <v>532</v>
      </c>
      <c r="D905" s="1" t="s">
        <v>20</v>
      </c>
      <c r="E905" s="1" t="s">
        <v>45</v>
      </c>
      <c r="F905" s="2">
        <v>8</v>
      </c>
      <c r="G905" s="5">
        <v>200</v>
      </c>
      <c r="H905" s="24">
        <f t="shared" si="70"/>
        <v>1600</v>
      </c>
      <c r="I905" s="7">
        <v>0.1</v>
      </c>
      <c r="J905" s="5">
        <f t="shared" si="71"/>
        <v>160</v>
      </c>
      <c r="K905" s="5">
        <f t="shared" si="72"/>
        <v>1440</v>
      </c>
      <c r="L905" s="5">
        <v>120</v>
      </c>
      <c r="M905" s="5">
        <f t="shared" si="73"/>
        <v>480</v>
      </c>
      <c r="N905" s="7">
        <f t="shared" si="74"/>
        <v>0.33333333333333331</v>
      </c>
      <c r="O905" s="1" t="s">
        <v>22</v>
      </c>
      <c r="P905" s="1" t="s">
        <v>31</v>
      </c>
      <c r="Q905" s="1" t="s">
        <v>48</v>
      </c>
      <c r="R905" s="1" t="s">
        <v>46</v>
      </c>
      <c r="S905" s="1" t="s">
        <v>106</v>
      </c>
      <c r="T905" s="15" t="s">
        <v>53</v>
      </c>
    </row>
    <row r="906" spans="1:20" x14ac:dyDescent="0.3">
      <c r="A906" s="14">
        <v>905</v>
      </c>
      <c r="B906" s="4">
        <v>44282</v>
      </c>
      <c r="C906" s="1" t="s">
        <v>530</v>
      </c>
      <c r="D906" s="1" t="s">
        <v>82</v>
      </c>
      <c r="E906" s="1" t="s">
        <v>29</v>
      </c>
      <c r="F906" s="2">
        <v>4</v>
      </c>
      <c r="G906" s="5">
        <v>2000</v>
      </c>
      <c r="H906" s="24">
        <f t="shared" si="70"/>
        <v>8000</v>
      </c>
      <c r="I906" s="7">
        <v>0.05</v>
      </c>
      <c r="J906" s="5">
        <f t="shared" si="71"/>
        <v>400</v>
      </c>
      <c r="K906" s="5">
        <f t="shared" si="72"/>
        <v>7600</v>
      </c>
      <c r="L906" s="5">
        <v>1310</v>
      </c>
      <c r="M906" s="5">
        <f t="shared" si="73"/>
        <v>2360</v>
      </c>
      <c r="N906" s="7">
        <f t="shared" si="74"/>
        <v>0.31052631578947371</v>
      </c>
      <c r="O906" s="1" t="s">
        <v>59</v>
      </c>
      <c r="P906" s="1" t="s">
        <v>31</v>
      </c>
      <c r="Q906" s="1" t="s">
        <v>24</v>
      </c>
      <c r="R906" s="1" t="s">
        <v>88</v>
      </c>
      <c r="S906" s="1" t="s">
        <v>448</v>
      </c>
      <c r="T906" s="15" t="s">
        <v>35</v>
      </c>
    </row>
    <row r="907" spans="1:20" x14ac:dyDescent="0.3">
      <c r="A907" s="14">
        <v>906</v>
      </c>
      <c r="B907" s="4">
        <v>44374</v>
      </c>
      <c r="C907" s="1" t="s">
        <v>533</v>
      </c>
      <c r="D907" s="1" t="s">
        <v>20</v>
      </c>
      <c r="E907" s="1" t="s">
        <v>29</v>
      </c>
      <c r="F907" s="2">
        <v>4</v>
      </c>
      <c r="G907" s="5">
        <v>1990</v>
      </c>
      <c r="H907" s="24">
        <f t="shared" si="70"/>
        <v>7960</v>
      </c>
      <c r="I907" s="7">
        <v>0.05</v>
      </c>
      <c r="J907" s="5">
        <f t="shared" si="71"/>
        <v>398</v>
      </c>
      <c r="K907" s="5">
        <f t="shared" si="72"/>
        <v>7562</v>
      </c>
      <c r="L907" s="5">
        <v>1270</v>
      </c>
      <c r="M907" s="5">
        <f t="shared" si="73"/>
        <v>2482</v>
      </c>
      <c r="N907" s="7">
        <f t="shared" si="74"/>
        <v>0.32822004760645335</v>
      </c>
      <c r="O907" s="1" t="s">
        <v>22</v>
      </c>
      <c r="P907" s="1" t="s">
        <v>31</v>
      </c>
      <c r="Q907" s="1" t="s">
        <v>48</v>
      </c>
      <c r="R907" s="1" t="s">
        <v>33</v>
      </c>
      <c r="S907" s="1" t="s">
        <v>449</v>
      </c>
      <c r="T907" s="15" t="s">
        <v>61</v>
      </c>
    </row>
    <row r="908" spans="1:20" x14ac:dyDescent="0.3">
      <c r="A908" s="14">
        <v>907</v>
      </c>
      <c r="B908" s="4">
        <v>44509</v>
      </c>
      <c r="C908" s="1" t="s">
        <v>530</v>
      </c>
      <c r="D908" s="1" t="s">
        <v>28</v>
      </c>
      <c r="E908" s="1" t="s">
        <v>29</v>
      </c>
      <c r="F908" s="2">
        <v>7</v>
      </c>
      <c r="G908" s="5">
        <v>2070</v>
      </c>
      <c r="H908" s="24">
        <f t="shared" si="70"/>
        <v>14490</v>
      </c>
      <c r="I908" s="7">
        <v>0</v>
      </c>
      <c r="J908" s="5">
        <f t="shared" si="71"/>
        <v>0</v>
      </c>
      <c r="K908" s="5">
        <f t="shared" si="72"/>
        <v>14490</v>
      </c>
      <c r="L908" s="5">
        <v>1590</v>
      </c>
      <c r="M908" s="5">
        <f t="shared" si="73"/>
        <v>3360</v>
      </c>
      <c r="N908" s="7">
        <f t="shared" si="74"/>
        <v>0.2318840579710145</v>
      </c>
      <c r="O908" s="1" t="s">
        <v>54</v>
      </c>
      <c r="P908" s="1" t="s">
        <v>31</v>
      </c>
      <c r="Q908" s="1" t="s">
        <v>24</v>
      </c>
      <c r="R908" s="1" t="s">
        <v>56</v>
      </c>
      <c r="S908" s="1" t="s">
        <v>275</v>
      </c>
      <c r="T908" s="15" t="s">
        <v>35</v>
      </c>
    </row>
    <row r="909" spans="1:20" x14ac:dyDescent="0.3">
      <c r="A909" s="14">
        <v>908</v>
      </c>
      <c r="B909" s="4">
        <v>44216</v>
      </c>
      <c r="C909" s="1" t="s">
        <v>529</v>
      </c>
      <c r="D909" s="1" t="s">
        <v>82</v>
      </c>
      <c r="E909" s="1" t="s">
        <v>43</v>
      </c>
      <c r="F909" s="2">
        <v>4</v>
      </c>
      <c r="G909" s="5">
        <v>330</v>
      </c>
      <c r="H909" s="24">
        <f t="shared" si="70"/>
        <v>1320</v>
      </c>
      <c r="I909" s="7">
        <v>0.1</v>
      </c>
      <c r="J909" s="5">
        <f t="shared" si="71"/>
        <v>132</v>
      </c>
      <c r="K909" s="5">
        <f t="shared" si="72"/>
        <v>1188</v>
      </c>
      <c r="L909" s="5">
        <v>200</v>
      </c>
      <c r="M909" s="5">
        <f t="shared" si="73"/>
        <v>388</v>
      </c>
      <c r="N909" s="7">
        <f t="shared" si="74"/>
        <v>0.32659932659932661</v>
      </c>
      <c r="O909" s="1" t="s">
        <v>30</v>
      </c>
      <c r="P909" s="1" t="s">
        <v>31</v>
      </c>
      <c r="Q909" s="1" t="s">
        <v>48</v>
      </c>
      <c r="R909" s="1" t="s">
        <v>63</v>
      </c>
      <c r="S909" s="1" t="s">
        <v>346</v>
      </c>
      <c r="T909" s="15" t="s">
        <v>61</v>
      </c>
    </row>
    <row r="910" spans="1:20" x14ac:dyDescent="0.3">
      <c r="A910" s="14">
        <v>909</v>
      </c>
      <c r="B910" s="4">
        <v>44508</v>
      </c>
      <c r="C910" s="1" t="s">
        <v>534</v>
      </c>
      <c r="D910" s="1" t="s">
        <v>20</v>
      </c>
      <c r="E910" s="1" t="s">
        <v>21</v>
      </c>
      <c r="F910" s="2">
        <v>3</v>
      </c>
      <c r="G910" s="5">
        <v>200</v>
      </c>
      <c r="H910" s="24">
        <f t="shared" si="70"/>
        <v>600</v>
      </c>
      <c r="I910" s="7">
        <v>0.05</v>
      </c>
      <c r="J910" s="5">
        <f t="shared" si="71"/>
        <v>30</v>
      </c>
      <c r="K910" s="5">
        <f t="shared" si="72"/>
        <v>570</v>
      </c>
      <c r="L910" s="5">
        <v>140</v>
      </c>
      <c r="M910" s="5">
        <f t="shared" si="73"/>
        <v>150</v>
      </c>
      <c r="N910" s="7">
        <f t="shared" si="74"/>
        <v>0.26315789473684209</v>
      </c>
      <c r="O910" s="1" t="s">
        <v>54</v>
      </c>
      <c r="P910" s="1" t="s">
        <v>23</v>
      </c>
      <c r="Q910" s="1" t="s">
        <v>37</v>
      </c>
      <c r="R910" s="1" t="s">
        <v>63</v>
      </c>
      <c r="S910" s="1" t="s">
        <v>51</v>
      </c>
      <c r="T910" s="15" t="s">
        <v>27</v>
      </c>
    </row>
    <row r="911" spans="1:20" x14ac:dyDescent="0.3">
      <c r="A911" s="14">
        <v>910</v>
      </c>
      <c r="B911" s="4">
        <v>44225</v>
      </c>
      <c r="C911" s="1" t="s">
        <v>534</v>
      </c>
      <c r="D911" s="1" t="s">
        <v>20</v>
      </c>
      <c r="E911" s="1" t="s">
        <v>29</v>
      </c>
      <c r="F911" s="2">
        <v>12</v>
      </c>
      <c r="G911" s="5">
        <v>2220</v>
      </c>
      <c r="H911" s="24">
        <f t="shared" si="70"/>
        <v>26640</v>
      </c>
      <c r="I911" s="7">
        <v>0</v>
      </c>
      <c r="J911" s="5">
        <f t="shared" si="71"/>
        <v>0</v>
      </c>
      <c r="K911" s="5">
        <f t="shared" si="72"/>
        <v>26640</v>
      </c>
      <c r="L911" s="5">
        <v>1600</v>
      </c>
      <c r="M911" s="5">
        <f t="shared" si="73"/>
        <v>7440</v>
      </c>
      <c r="N911" s="7">
        <f t="shared" si="74"/>
        <v>0.27927927927927926</v>
      </c>
      <c r="O911" s="1" t="s">
        <v>59</v>
      </c>
      <c r="P911" s="1" t="s">
        <v>31</v>
      </c>
      <c r="Q911" s="1" t="s">
        <v>24</v>
      </c>
      <c r="R911" s="1" t="s">
        <v>63</v>
      </c>
      <c r="S911" s="1" t="s">
        <v>450</v>
      </c>
      <c r="T911" s="15" t="s">
        <v>35</v>
      </c>
    </row>
    <row r="912" spans="1:20" x14ac:dyDescent="0.3">
      <c r="A912" s="14">
        <v>911</v>
      </c>
      <c r="B912" s="4">
        <v>44211</v>
      </c>
      <c r="C912" s="1" t="s">
        <v>533</v>
      </c>
      <c r="D912" s="1" t="s">
        <v>80</v>
      </c>
      <c r="E912" s="1" t="s">
        <v>29</v>
      </c>
      <c r="F912" s="2">
        <v>3</v>
      </c>
      <c r="G912" s="5">
        <v>2320</v>
      </c>
      <c r="H912" s="24">
        <f t="shared" si="70"/>
        <v>6960</v>
      </c>
      <c r="I912" s="7">
        <v>0.1</v>
      </c>
      <c r="J912" s="5">
        <f t="shared" si="71"/>
        <v>696</v>
      </c>
      <c r="K912" s="5">
        <f t="shared" si="72"/>
        <v>6264</v>
      </c>
      <c r="L912" s="5">
        <v>1670</v>
      </c>
      <c r="M912" s="5">
        <f t="shared" si="73"/>
        <v>1254</v>
      </c>
      <c r="N912" s="7">
        <f t="shared" si="74"/>
        <v>0.20019157088122605</v>
      </c>
      <c r="O912" s="1" t="s">
        <v>30</v>
      </c>
      <c r="P912" s="1" t="s">
        <v>31</v>
      </c>
      <c r="Q912" s="1" t="s">
        <v>24</v>
      </c>
      <c r="R912" s="1" t="s">
        <v>46</v>
      </c>
      <c r="S912" s="1" t="s">
        <v>422</v>
      </c>
      <c r="T912" s="15" t="s">
        <v>61</v>
      </c>
    </row>
    <row r="913" spans="1:20" x14ac:dyDescent="0.3">
      <c r="A913" s="14">
        <v>912</v>
      </c>
      <c r="B913" s="4">
        <v>44307</v>
      </c>
      <c r="C913" s="1" t="s">
        <v>531</v>
      </c>
      <c r="D913" s="1" t="s">
        <v>82</v>
      </c>
      <c r="E913" s="1" t="s">
        <v>36</v>
      </c>
      <c r="F913" s="2">
        <v>7</v>
      </c>
      <c r="G913" s="5">
        <v>1130</v>
      </c>
      <c r="H913" s="24">
        <f t="shared" si="70"/>
        <v>7910</v>
      </c>
      <c r="I913" s="7">
        <v>0</v>
      </c>
      <c r="J913" s="5">
        <f t="shared" si="71"/>
        <v>0</v>
      </c>
      <c r="K913" s="5">
        <f t="shared" si="72"/>
        <v>7910</v>
      </c>
      <c r="L913" s="5">
        <v>680</v>
      </c>
      <c r="M913" s="5">
        <f t="shared" si="73"/>
        <v>3150</v>
      </c>
      <c r="N913" s="7">
        <f t="shared" si="74"/>
        <v>0.39823008849557523</v>
      </c>
      <c r="O913" s="1" t="s">
        <v>59</v>
      </c>
      <c r="P913" s="1" t="s">
        <v>62</v>
      </c>
      <c r="Q913" s="1" t="s">
        <v>48</v>
      </c>
      <c r="R913" s="1" t="s">
        <v>63</v>
      </c>
      <c r="S913" s="1" t="s">
        <v>451</v>
      </c>
      <c r="T913" s="15" t="s">
        <v>35</v>
      </c>
    </row>
    <row r="914" spans="1:20" x14ac:dyDescent="0.3">
      <c r="A914" s="14">
        <v>913</v>
      </c>
      <c r="B914" s="4">
        <v>44221</v>
      </c>
      <c r="C914" s="1" t="s">
        <v>530</v>
      </c>
      <c r="D914" s="1" t="s">
        <v>20</v>
      </c>
      <c r="E914" s="1" t="s">
        <v>21</v>
      </c>
      <c r="F914" s="2">
        <v>7</v>
      </c>
      <c r="G914" s="5">
        <v>190</v>
      </c>
      <c r="H914" s="24">
        <f t="shared" si="70"/>
        <v>1330</v>
      </c>
      <c r="I914" s="7">
        <v>0.1</v>
      </c>
      <c r="J914" s="5">
        <f t="shared" si="71"/>
        <v>133</v>
      </c>
      <c r="K914" s="5">
        <f t="shared" si="72"/>
        <v>1197</v>
      </c>
      <c r="L914" s="5">
        <v>120</v>
      </c>
      <c r="M914" s="5">
        <f t="shared" si="73"/>
        <v>357</v>
      </c>
      <c r="N914" s="7">
        <f t="shared" si="74"/>
        <v>0.2982456140350877</v>
      </c>
      <c r="O914" s="1" t="s">
        <v>59</v>
      </c>
      <c r="P914" s="1" t="s">
        <v>31</v>
      </c>
      <c r="Q914" s="1" t="s">
        <v>32</v>
      </c>
      <c r="R914" s="1" t="s">
        <v>33</v>
      </c>
      <c r="S914" s="1" t="s">
        <v>91</v>
      </c>
      <c r="T914" s="15" t="s">
        <v>27</v>
      </c>
    </row>
    <row r="915" spans="1:20" x14ac:dyDescent="0.3">
      <c r="A915" s="14">
        <v>914</v>
      </c>
      <c r="B915" s="4">
        <v>44227</v>
      </c>
      <c r="C915" s="1" t="s">
        <v>530</v>
      </c>
      <c r="D915" s="1" t="s">
        <v>80</v>
      </c>
      <c r="E915" s="1" t="s">
        <v>40</v>
      </c>
      <c r="F915" s="2">
        <v>11</v>
      </c>
      <c r="G915" s="5">
        <v>1380</v>
      </c>
      <c r="H915" s="24">
        <f t="shared" si="70"/>
        <v>15180</v>
      </c>
      <c r="I915" s="7">
        <v>0.02</v>
      </c>
      <c r="J915" s="5">
        <f t="shared" si="71"/>
        <v>303.60000000000002</v>
      </c>
      <c r="K915" s="5">
        <f t="shared" si="72"/>
        <v>14876.4</v>
      </c>
      <c r="L915" s="5">
        <v>940</v>
      </c>
      <c r="M915" s="5">
        <f t="shared" si="73"/>
        <v>4536.3999999999996</v>
      </c>
      <c r="N915" s="7">
        <f t="shared" si="74"/>
        <v>0.30493936705116825</v>
      </c>
      <c r="O915" s="1" t="s">
        <v>30</v>
      </c>
      <c r="P915" s="1" t="s">
        <v>31</v>
      </c>
      <c r="Q915" s="1" t="s">
        <v>37</v>
      </c>
      <c r="R915" s="1" t="s">
        <v>49</v>
      </c>
      <c r="S915" s="1" t="s">
        <v>452</v>
      </c>
      <c r="T915" s="15" t="s">
        <v>61</v>
      </c>
    </row>
    <row r="916" spans="1:20" x14ac:dyDescent="0.3">
      <c r="A916" s="14">
        <v>915</v>
      </c>
      <c r="B916" s="4">
        <v>44285</v>
      </c>
      <c r="C916" s="1" t="s">
        <v>530</v>
      </c>
      <c r="D916" s="1" t="s">
        <v>82</v>
      </c>
      <c r="E916" s="1" t="s">
        <v>36</v>
      </c>
      <c r="F916" s="2">
        <v>10</v>
      </c>
      <c r="G916" s="5">
        <v>1150</v>
      </c>
      <c r="H916" s="24">
        <f t="shared" si="70"/>
        <v>11500</v>
      </c>
      <c r="I916" s="7">
        <v>0.05</v>
      </c>
      <c r="J916" s="5">
        <f t="shared" si="71"/>
        <v>575</v>
      </c>
      <c r="K916" s="5">
        <f t="shared" si="72"/>
        <v>10925</v>
      </c>
      <c r="L916" s="5">
        <v>910</v>
      </c>
      <c r="M916" s="5">
        <f t="shared" si="73"/>
        <v>1825</v>
      </c>
      <c r="N916" s="7">
        <f t="shared" si="74"/>
        <v>0.16704805491990846</v>
      </c>
      <c r="O916" s="1" t="s">
        <v>54</v>
      </c>
      <c r="P916" s="1" t="s">
        <v>31</v>
      </c>
      <c r="Q916" s="1" t="s">
        <v>24</v>
      </c>
      <c r="R916" s="1" t="s">
        <v>50</v>
      </c>
      <c r="S916" s="1" t="s">
        <v>83</v>
      </c>
      <c r="T916" s="15" t="s">
        <v>27</v>
      </c>
    </row>
    <row r="917" spans="1:20" x14ac:dyDescent="0.3">
      <c r="A917" s="14">
        <v>916</v>
      </c>
      <c r="B917" s="4">
        <v>44507</v>
      </c>
      <c r="C917" s="1" t="s">
        <v>530</v>
      </c>
      <c r="D917" s="1" t="s">
        <v>20</v>
      </c>
      <c r="E917" s="1" t="s">
        <v>45</v>
      </c>
      <c r="F917" s="2">
        <v>12</v>
      </c>
      <c r="G917" s="5">
        <v>220</v>
      </c>
      <c r="H917" s="24">
        <f t="shared" si="70"/>
        <v>2640</v>
      </c>
      <c r="I917" s="7">
        <v>0.05</v>
      </c>
      <c r="J917" s="5">
        <f t="shared" si="71"/>
        <v>132</v>
      </c>
      <c r="K917" s="5">
        <f t="shared" si="72"/>
        <v>2508</v>
      </c>
      <c r="L917" s="5">
        <v>160</v>
      </c>
      <c r="M917" s="5">
        <f t="shared" si="73"/>
        <v>588</v>
      </c>
      <c r="N917" s="7">
        <f t="shared" si="74"/>
        <v>0.23444976076555024</v>
      </c>
      <c r="O917" s="1" t="s">
        <v>59</v>
      </c>
      <c r="P917" s="1" t="s">
        <v>31</v>
      </c>
      <c r="Q917" s="1" t="s">
        <v>32</v>
      </c>
      <c r="R917" s="1" t="s">
        <v>56</v>
      </c>
      <c r="S917" s="1" t="s">
        <v>429</v>
      </c>
      <c r="T917" s="15" t="s">
        <v>61</v>
      </c>
    </row>
    <row r="918" spans="1:20" x14ac:dyDescent="0.3">
      <c r="A918" s="14">
        <v>917</v>
      </c>
      <c r="B918" s="4">
        <v>44278</v>
      </c>
      <c r="C918" s="1" t="s">
        <v>533</v>
      </c>
      <c r="D918" s="1" t="s">
        <v>82</v>
      </c>
      <c r="E918" s="1" t="s">
        <v>45</v>
      </c>
      <c r="F918" s="2">
        <v>4</v>
      </c>
      <c r="G918" s="5">
        <v>180</v>
      </c>
      <c r="H918" s="24">
        <f t="shared" si="70"/>
        <v>720</v>
      </c>
      <c r="I918" s="7">
        <v>0.02</v>
      </c>
      <c r="J918" s="5">
        <f t="shared" si="71"/>
        <v>14.4</v>
      </c>
      <c r="K918" s="5">
        <f t="shared" si="72"/>
        <v>705.6</v>
      </c>
      <c r="L918" s="5">
        <v>110</v>
      </c>
      <c r="M918" s="5">
        <f t="shared" si="73"/>
        <v>265.60000000000002</v>
      </c>
      <c r="N918" s="7">
        <f t="shared" si="74"/>
        <v>0.37641723356009071</v>
      </c>
      <c r="O918" s="1" t="s">
        <v>59</v>
      </c>
      <c r="P918" s="1" t="s">
        <v>31</v>
      </c>
      <c r="Q918" s="1" t="s">
        <v>24</v>
      </c>
      <c r="R918" s="1" t="s">
        <v>25</v>
      </c>
      <c r="S918" s="1" t="s">
        <v>394</v>
      </c>
      <c r="T918" s="15" t="s">
        <v>35</v>
      </c>
    </row>
    <row r="919" spans="1:20" x14ac:dyDescent="0.3">
      <c r="A919" s="14">
        <v>918</v>
      </c>
      <c r="B919" s="4">
        <v>44487</v>
      </c>
      <c r="C919" s="1" t="s">
        <v>533</v>
      </c>
      <c r="D919" s="1" t="s">
        <v>82</v>
      </c>
      <c r="E919" s="1" t="s">
        <v>36</v>
      </c>
      <c r="F919" s="2">
        <v>11</v>
      </c>
      <c r="G919" s="5">
        <v>1170</v>
      </c>
      <c r="H919" s="24">
        <f t="shared" si="70"/>
        <v>12870</v>
      </c>
      <c r="I919" s="7">
        <v>0.1</v>
      </c>
      <c r="J919" s="5">
        <f t="shared" si="71"/>
        <v>1287</v>
      </c>
      <c r="K919" s="5">
        <f t="shared" si="72"/>
        <v>11583</v>
      </c>
      <c r="L919" s="5">
        <v>810</v>
      </c>
      <c r="M919" s="5">
        <f t="shared" si="73"/>
        <v>2673</v>
      </c>
      <c r="N919" s="7">
        <f t="shared" si="74"/>
        <v>0.23076923076923078</v>
      </c>
      <c r="O919" s="1" t="s">
        <v>41</v>
      </c>
      <c r="P919" s="1" t="s">
        <v>31</v>
      </c>
      <c r="Q919" s="1" t="s">
        <v>32</v>
      </c>
      <c r="R919" s="1" t="s">
        <v>46</v>
      </c>
      <c r="S919" s="1" t="s">
        <v>79</v>
      </c>
      <c r="T919" s="15" t="s">
        <v>53</v>
      </c>
    </row>
    <row r="920" spans="1:20" x14ac:dyDescent="0.3">
      <c r="A920" s="14">
        <v>919</v>
      </c>
      <c r="B920" s="4">
        <v>44506</v>
      </c>
      <c r="C920" s="1" t="s">
        <v>530</v>
      </c>
      <c r="D920" s="1" t="s">
        <v>82</v>
      </c>
      <c r="E920" s="1" t="s">
        <v>43</v>
      </c>
      <c r="F920" s="2">
        <v>8</v>
      </c>
      <c r="G920" s="5">
        <v>280</v>
      </c>
      <c r="H920" s="24">
        <f t="shared" si="70"/>
        <v>2240</v>
      </c>
      <c r="I920" s="7">
        <v>0</v>
      </c>
      <c r="J920" s="5">
        <f t="shared" si="71"/>
        <v>0</v>
      </c>
      <c r="K920" s="5">
        <f t="shared" si="72"/>
        <v>2240</v>
      </c>
      <c r="L920" s="5">
        <v>190</v>
      </c>
      <c r="M920" s="5">
        <f t="shared" si="73"/>
        <v>720</v>
      </c>
      <c r="N920" s="7">
        <f t="shared" si="74"/>
        <v>0.32142857142857145</v>
      </c>
      <c r="O920" s="1" t="s">
        <v>41</v>
      </c>
      <c r="P920" s="1" t="s">
        <v>31</v>
      </c>
      <c r="Q920" s="1" t="s">
        <v>24</v>
      </c>
      <c r="R920" s="1" t="s">
        <v>56</v>
      </c>
      <c r="S920" s="1" t="s">
        <v>453</v>
      </c>
      <c r="T920" s="15" t="s">
        <v>27</v>
      </c>
    </row>
    <row r="921" spans="1:20" x14ac:dyDescent="0.3">
      <c r="A921" s="14">
        <v>920</v>
      </c>
      <c r="B921" s="4">
        <v>44398</v>
      </c>
      <c r="C921" s="1" t="s">
        <v>533</v>
      </c>
      <c r="D921" s="1" t="s">
        <v>28</v>
      </c>
      <c r="E921" s="1" t="s">
        <v>40</v>
      </c>
      <c r="F921" s="2">
        <v>11</v>
      </c>
      <c r="G921" s="5">
        <v>1530</v>
      </c>
      <c r="H921" s="24">
        <f t="shared" si="70"/>
        <v>16830</v>
      </c>
      <c r="I921" s="7">
        <v>0.15</v>
      </c>
      <c r="J921" s="5">
        <f t="shared" si="71"/>
        <v>2524.5</v>
      </c>
      <c r="K921" s="5">
        <f t="shared" si="72"/>
        <v>14305.5</v>
      </c>
      <c r="L921" s="5">
        <v>1220</v>
      </c>
      <c r="M921" s="5">
        <f t="shared" si="73"/>
        <v>885.5</v>
      </c>
      <c r="N921" s="7">
        <f t="shared" si="74"/>
        <v>6.1899269511726258E-2</v>
      </c>
      <c r="O921" s="1" t="s">
        <v>22</v>
      </c>
      <c r="P921" s="1" t="s">
        <v>31</v>
      </c>
      <c r="Q921" s="1" t="s">
        <v>48</v>
      </c>
      <c r="R921" s="1" t="s">
        <v>66</v>
      </c>
      <c r="S921" s="1" t="s">
        <v>454</v>
      </c>
      <c r="T921" s="15" t="s">
        <v>35</v>
      </c>
    </row>
    <row r="922" spans="1:20" x14ac:dyDescent="0.3">
      <c r="A922" s="14">
        <v>921</v>
      </c>
      <c r="B922" s="4">
        <v>44533</v>
      </c>
      <c r="C922" s="1" t="s">
        <v>534</v>
      </c>
      <c r="D922" s="1" t="s">
        <v>20</v>
      </c>
      <c r="E922" s="1" t="s">
        <v>40</v>
      </c>
      <c r="F922" s="2">
        <v>4</v>
      </c>
      <c r="G922" s="5">
        <v>1570</v>
      </c>
      <c r="H922" s="24">
        <f t="shared" si="70"/>
        <v>6280</v>
      </c>
      <c r="I922" s="7">
        <v>0</v>
      </c>
      <c r="J922" s="5">
        <f t="shared" si="71"/>
        <v>0</v>
      </c>
      <c r="K922" s="5">
        <f t="shared" si="72"/>
        <v>6280</v>
      </c>
      <c r="L922" s="5">
        <v>1130</v>
      </c>
      <c r="M922" s="5">
        <f t="shared" si="73"/>
        <v>1760</v>
      </c>
      <c r="N922" s="7">
        <f t="shared" si="74"/>
        <v>0.28025477707006369</v>
      </c>
      <c r="O922" s="1" t="s">
        <v>41</v>
      </c>
      <c r="P922" s="1" t="s">
        <v>31</v>
      </c>
      <c r="Q922" s="1" t="s">
        <v>48</v>
      </c>
      <c r="R922" s="1" t="s">
        <v>38</v>
      </c>
      <c r="S922" s="1" t="s">
        <v>114</v>
      </c>
      <c r="T922" s="15" t="s">
        <v>53</v>
      </c>
    </row>
    <row r="923" spans="1:20" x14ac:dyDescent="0.3">
      <c r="A923" s="14">
        <v>922</v>
      </c>
      <c r="B923" s="4">
        <v>44394</v>
      </c>
      <c r="C923" s="1" t="s">
        <v>533</v>
      </c>
      <c r="D923" s="1" t="s">
        <v>82</v>
      </c>
      <c r="E923" s="1" t="s">
        <v>29</v>
      </c>
      <c r="F923" s="2">
        <v>6</v>
      </c>
      <c r="G923" s="5">
        <v>1950</v>
      </c>
      <c r="H923" s="24">
        <f t="shared" si="70"/>
        <v>11700</v>
      </c>
      <c r="I923" s="7">
        <v>0</v>
      </c>
      <c r="J923" s="5">
        <f t="shared" si="71"/>
        <v>0</v>
      </c>
      <c r="K923" s="5">
        <f t="shared" si="72"/>
        <v>11700</v>
      </c>
      <c r="L923" s="5">
        <v>1560</v>
      </c>
      <c r="M923" s="5">
        <f t="shared" si="73"/>
        <v>2340</v>
      </c>
      <c r="N923" s="7">
        <f t="shared" si="74"/>
        <v>0.2</v>
      </c>
      <c r="O923" s="1" t="s">
        <v>54</v>
      </c>
      <c r="P923" s="1" t="s">
        <v>31</v>
      </c>
      <c r="Q923" s="1" t="s">
        <v>48</v>
      </c>
      <c r="R923" s="1" t="s">
        <v>66</v>
      </c>
      <c r="S923" s="1" t="s">
        <v>284</v>
      </c>
      <c r="T923" s="15" t="s">
        <v>35</v>
      </c>
    </row>
    <row r="924" spans="1:20" x14ac:dyDescent="0.3">
      <c r="A924" s="14">
        <v>923</v>
      </c>
      <c r="B924" s="4">
        <v>44434</v>
      </c>
      <c r="C924" s="1" t="s">
        <v>529</v>
      </c>
      <c r="D924" s="1" t="s">
        <v>20</v>
      </c>
      <c r="E924" s="1" t="s">
        <v>21</v>
      </c>
      <c r="F924" s="2">
        <v>9</v>
      </c>
      <c r="G924" s="5">
        <v>230</v>
      </c>
      <c r="H924" s="24">
        <f t="shared" si="70"/>
        <v>2070</v>
      </c>
      <c r="I924" s="7">
        <v>0</v>
      </c>
      <c r="J924" s="5">
        <f t="shared" si="71"/>
        <v>0</v>
      </c>
      <c r="K924" s="5">
        <f t="shared" si="72"/>
        <v>2070</v>
      </c>
      <c r="L924" s="5">
        <v>140</v>
      </c>
      <c r="M924" s="5">
        <f t="shared" si="73"/>
        <v>810</v>
      </c>
      <c r="N924" s="7">
        <f t="shared" si="74"/>
        <v>0.39130434782608697</v>
      </c>
      <c r="O924" s="1" t="s">
        <v>30</v>
      </c>
      <c r="P924" s="1" t="s">
        <v>23</v>
      </c>
      <c r="Q924" s="1" t="s">
        <v>24</v>
      </c>
      <c r="R924" s="1" t="s">
        <v>25</v>
      </c>
      <c r="S924" s="1" t="s">
        <v>455</v>
      </c>
      <c r="T924" s="15" t="s">
        <v>53</v>
      </c>
    </row>
    <row r="925" spans="1:20" x14ac:dyDescent="0.3">
      <c r="A925" s="14">
        <v>924</v>
      </c>
      <c r="B925" s="4">
        <v>44299</v>
      </c>
      <c r="C925" s="1" t="s">
        <v>531</v>
      </c>
      <c r="D925" s="1" t="s">
        <v>28</v>
      </c>
      <c r="E925" s="1" t="s">
        <v>21</v>
      </c>
      <c r="F925" s="2">
        <v>10</v>
      </c>
      <c r="G925" s="5">
        <v>210</v>
      </c>
      <c r="H925" s="24">
        <f t="shared" si="70"/>
        <v>2100</v>
      </c>
      <c r="I925" s="7">
        <v>0</v>
      </c>
      <c r="J925" s="5">
        <f t="shared" si="71"/>
        <v>0</v>
      </c>
      <c r="K925" s="5">
        <f t="shared" si="72"/>
        <v>2100</v>
      </c>
      <c r="L925" s="5">
        <v>160</v>
      </c>
      <c r="M925" s="5">
        <f t="shared" si="73"/>
        <v>500</v>
      </c>
      <c r="N925" s="7">
        <f t="shared" si="74"/>
        <v>0.23809523809523808</v>
      </c>
      <c r="O925" s="1" t="s">
        <v>30</v>
      </c>
      <c r="P925" s="1" t="s">
        <v>31</v>
      </c>
      <c r="Q925" s="1" t="s">
        <v>37</v>
      </c>
      <c r="R925" s="1" t="s">
        <v>49</v>
      </c>
      <c r="S925" s="1" t="s">
        <v>456</v>
      </c>
      <c r="T925" s="15" t="s">
        <v>35</v>
      </c>
    </row>
    <row r="926" spans="1:20" x14ac:dyDescent="0.3">
      <c r="A926" s="14">
        <v>925</v>
      </c>
      <c r="B926" s="4">
        <v>44543</v>
      </c>
      <c r="C926" s="1" t="s">
        <v>529</v>
      </c>
      <c r="D926" s="1" t="s">
        <v>20</v>
      </c>
      <c r="E926" s="1" t="s">
        <v>21</v>
      </c>
      <c r="F926" s="2">
        <v>12</v>
      </c>
      <c r="G926" s="5">
        <v>210</v>
      </c>
      <c r="H926" s="24">
        <f t="shared" si="70"/>
        <v>2520</v>
      </c>
      <c r="I926" s="7">
        <v>0.15</v>
      </c>
      <c r="J926" s="5">
        <f t="shared" si="71"/>
        <v>378</v>
      </c>
      <c r="K926" s="5">
        <f t="shared" si="72"/>
        <v>2142</v>
      </c>
      <c r="L926" s="5">
        <v>130</v>
      </c>
      <c r="M926" s="5">
        <f t="shared" si="73"/>
        <v>582</v>
      </c>
      <c r="N926" s="7">
        <f t="shared" si="74"/>
        <v>0.27170868347338933</v>
      </c>
      <c r="O926" s="1" t="s">
        <v>59</v>
      </c>
      <c r="P926" s="1" t="s">
        <v>31</v>
      </c>
      <c r="Q926" s="1" t="s">
        <v>37</v>
      </c>
      <c r="R926" s="1" t="s">
        <v>49</v>
      </c>
      <c r="S926" s="1" t="s">
        <v>83</v>
      </c>
      <c r="T926" s="15" t="s">
        <v>53</v>
      </c>
    </row>
    <row r="927" spans="1:20" x14ac:dyDescent="0.3">
      <c r="A927" s="14">
        <v>926</v>
      </c>
      <c r="B927" s="4">
        <v>44440</v>
      </c>
      <c r="C927" s="1" t="s">
        <v>530</v>
      </c>
      <c r="D927" s="1" t="s">
        <v>80</v>
      </c>
      <c r="E927" s="1" t="s">
        <v>21</v>
      </c>
      <c r="F927" s="2">
        <v>4</v>
      </c>
      <c r="G927" s="5">
        <v>220</v>
      </c>
      <c r="H927" s="24">
        <f t="shared" si="70"/>
        <v>880</v>
      </c>
      <c r="I927" s="7">
        <v>0.15</v>
      </c>
      <c r="J927" s="5">
        <f t="shared" si="71"/>
        <v>132</v>
      </c>
      <c r="K927" s="5">
        <f t="shared" si="72"/>
        <v>748</v>
      </c>
      <c r="L927" s="5">
        <v>160</v>
      </c>
      <c r="M927" s="5">
        <f t="shared" si="73"/>
        <v>108</v>
      </c>
      <c r="N927" s="7">
        <f t="shared" si="74"/>
        <v>0.14438502673796791</v>
      </c>
      <c r="O927" s="1" t="s">
        <v>59</v>
      </c>
      <c r="P927" s="1" t="s">
        <v>31</v>
      </c>
      <c r="Q927" s="1" t="s">
        <v>37</v>
      </c>
      <c r="R927" s="1" t="s">
        <v>50</v>
      </c>
      <c r="S927" s="1" t="s">
        <v>368</v>
      </c>
      <c r="T927" s="15" t="s">
        <v>61</v>
      </c>
    </row>
    <row r="928" spans="1:20" x14ac:dyDescent="0.3">
      <c r="A928" s="14">
        <v>927</v>
      </c>
      <c r="B928" s="4">
        <v>44553</v>
      </c>
      <c r="C928" s="1" t="s">
        <v>533</v>
      </c>
      <c r="D928" s="1" t="s">
        <v>28</v>
      </c>
      <c r="E928" s="1" t="s">
        <v>43</v>
      </c>
      <c r="F928" s="2">
        <v>10</v>
      </c>
      <c r="G928" s="5">
        <v>340</v>
      </c>
      <c r="H928" s="24">
        <f t="shared" si="70"/>
        <v>3400</v>
      </c>
      <c r="I928" s="7">
        <v>0.02</v>
      </c>
      <c r="J928" s="5">
        <f t="shared" si="71"/>
        <v>68</v>
      </c>
      <c r="K928" s="5">
        <f t="shared" si="72"/>
        <v>3332</v>
      </c>
      <c r="L928" s="5">
        <v>230</v>
      </c>
      <c r="M928" s="5">
        <f t="shared" si="73"/>
        <v>1032</v>
      </c>
      <c r="N928" s="7">
        <f t="shared" si="74"/>
        <v>0.30972388955582231</v>
      </c>
      <c r="O928" s="1" t="s">
        <v>41</v>
      </c>
      <c r="P928" s="1" t="s">
        <v>31</v>
      </c>
      <c r="Q928" s="1" t="s">
        <v>24</v>
      </c>
      <c r="R928" s="1" t="s">
        <v>25</v>
      </c>
      <c r="S928" s="1" t="s">
        <v>204</v>
      </c>
      <c r="T928" s="15" t="s">
        <v>53</v>
      </c>
    </row>
    <row r="929" spans="1:20" x14ac:dyDescent="0.3">
      <c r="A929" s="14">
        <v>928</v>
      </c>
      <c r="B929" s="4">
        <v>44529</v>
      </c>
      <c r="C929" s="1" t="s">
        <v>529</v>
      </c>
      <c r="D929" s="1" t="s">
        <v>20</v>
      </c>
      <c r="E929" s="1" t="s">
        <v>21</v>
      </c>
      <c r="F929" s="2">
        <v>5</v>
      </c>
      <c r="G929" s="5">
        <v>210</v>
      </c>
      <c r="H929" s="24">
        <f t="shared" si="70"/>
        <v>1050</v>
      </c>
      <c r="I929" s="7">
        <v>0</v>
      </c>
      <c r="J929" s="5">
        <f t="shared" si="71"/>
        <v>0</v>
      </c>
      <c r="K929" s="5">
        <f t="shared" si="72"/>
        <v>1050</v>
      </c>
      <c r="L929" s="5">
        <v>140</v>
      </c>
      <c r="M929" s="5">
        <f t="shared" si="73"/>
        <v>350</v>
      </c>
      <c r="N929" s="7">
        <f t="shared" si="74"/>
        <v>0.33333333333333331</v>
      </c>
      <c r="O929" s="1" t="s">
        <v>54</v>
      </c>
      <c r="P929" s="1" t="s">
        <v>31</v>
      </c>
      <c r="Q929" s="1" t="s">
        <v>37</v>
      </c>
      <c r="R929" s="1" t="s">
        <v>25</v>
      </c>
      <c r="S929" s="1" t="s">
        <v>136</v>
      </c>
      <c r="T929" s="15" t="s">
        <v>61</v>
      </c>
    </row>
    <row r="930" spans="1:20" x14ac:dyDescent="0.3">
      <c r="A930" s="14">
        <v>929</v>
      </c>
      <c r="B930" s="4">
        <v>44352</v>
      </c>
      <c r="C930" s="1" t="s">
        <v>533</v>
      </c>
      <c r="D930" s="1" t="s">
        <v>20</v>
      </c>
      <c r="E930" s="1" t="s">
        <v>40</v>
      </c>
      <c r="F930" s="2">
        <v>9</v>
      </c>
      <c r="G930" s="5">
        <v>1390</v>
      </c>
      <c r="H930" s="24">
        <f t="shared" si="70"/>
        <v>12510</v>
      </c>
      <c r="I930" s="7">
        <v>0.1</v>
      </c>
      <c r="J930" s="5">
        <f t="shared" si="71"/>
        <v>1251</v>
      </c>
      <c r="K930" s="5">
        <f t="shared" si="72"/>
        <v>11259</v>
      </c>
      <c r="L930" s="5">
        <v>930</v>
      </c>
      <c r="M930" s="5">
        <f t="shared" si="73"/>
        <v>2889</v>
      </c>
      <c r="N930" s="7">
        <f t="shared" si="74"/>
        <v>0.25659472422062352</v>
      </c>
      <c r="O930" s="1" t="s">
        <v>30</v>
      </c>
      <c r="P930" s="1" t="s">
        <v>31</v>
      </c>
      <c r="Q930" s="1" t="s">
        <v>48</v>
      </c>
      <c r="R930" s="1" t="s">
        <v>25</v>
      </c>
      <c r="S930" s="1" t="s">
        <v>380</v>
      </c>
      <c r="T930" s="15" t="s">
        <v>27</v>
      </c>
    </row>
    <row r="931" spans="1:20" x14ac:dyDescent="0.3">
      <c r="A931" s="14">
        <v>930</v>
      </c>
      <c r="B931" s="4">
        <v>44364</v>
      </c>
      <c r="C931" s="1" t="s">
        <v>529</v>
      </c>
      <c r="D931" s="1" t="s">
        <v>82</v>
      </c>
      <c r="E931" s="1" t="s">
        <v>45</v>
      </c>
      <c r="F931" s="2">
        <v>9</v>
      </c>
      <c r="G931" s="5">
        <v>180</v>
      </c>
      <c r="H931" s="24">
        <f t="shared" si="70"/>
        <v>1620</v>
      </c>
      <c r="I931" s="7">
        <v>0</v>
      </c>
      <c r="J931" s="5">
        <f t="shared" si="71"/>
        <v>0</v>
      </c>
      <c r="K931" s="5">
        <f t="shared" si="72"/>
        <v>1620</v>
      </c>
      <c r="L931" s="5">
        <v>120</v>
      </c>
      <c r="M931" s="5">
        <f t="shared" si="73"/>
        <v>540</v>
      </c>
      <c r="N931" s="7">
        <f t="shared" si="74"/>
        <v>0.33333333333333331</v>
      </c>
      <c r="O931" s="1" t="s">
        <v>54</v>
      </c>
      <c r="P931" s="1" t="s">
        <v>31</v>
      </c>
      <c r="Q931" s="1" t="s">
        <v>48</v>
      </c>
      <c r="R931" s="1" t="s">
        <v>50</v>
      </c>
      <c r="S931" s="1" t="s">
        <v>247</v>
      </c>
      <c r="T931" s="15" t="s">
        <v>27</v>
      </c>
    </row>
    <row r="932" spans="1:20" x14ac:dyDescent="0.3">
      <c r="A932" s="14">
        <v>931</v>
      </c>
      <c r="B932" s="4">
        <v>44510</v>
      </c>
      <c r="C932" s="1" t="s">
        <v>530</v>
      </c>
      <c r="D932" s="1" t="s">
        <v>80</v>
      </c>
      <c r="E932" s="1" t="s">
        <v>21</v>
      </c>
      <c r="F932" s="2">
        <v>1</v>
      </c>
      <c r="G932" s="5">
        <v>240</v>
      </c>
      <c r="H932" s="24">
        <f t="shared" si="70"/>
        <v>240</v>
      </c>
      <c r="I932" s="7">
        <v>0.15</v>
      </c>
      <c r="J932" s="5">
        <f t="shared" si="71"/>
        <v>36</v>
      </c>
      <c r="K932" s="5">
        <f t="shared" si="72"/>
        <v>204</v>
      </c>
      <c r="L932" s="5">
        <v>190</v>
      </c>
      <c r="M932" s="5">
        <f t="shared" si="73"/>
        <v>14</v>
      </c>
      <c r="N932" s="7">
        <f t="shared" si="74"/>
        <v>6.8627450980392163E-2</v>
      </c>
      <c r="O932" s="1" t="s">
        <v>59</v>
      </c>
      <c r="P932" s="1" t="s">
        <v>31</v>
      </c>
      <c r="Q932" s="1" t="s">
        <v>48</v>
      </c>
      <c r="R932" s="1" t="s">
        <v>88</v>
      </c>
      <c r="S932" s="1" t="s">
        <v>428</v>
      </c>
      <c r="T932" s="15" t="s">
        <v>35</v>
      </c>
    </row>
    <row r="933" spans="1:20" x14ac:dyDescent="0.3">
      <c r="A933" s="14">
        <v>932</v>
      </c>
      <c r="B933" s="4">
        <v>44278</v>
      </c>
      <c r="C933" s="1" t="s">
        <v>529</v>
      </c>
      <c r="D933" s="1" t="s">
        <v>28</v>
      </c>
      <c r="E933" s="1" t="s">
        <v>21</v>
      </c>
      <c r="F933" s="2">
        <v>10</v>
      </c>
      <c r="G933" s="5">
        <v>190</v>
      </c>
      <c r="H933" s="24">
        <f t="shared" si="70"/>
        <v>1900</v>
      </c>
      <c r="I933" s="7">
        <v>0</v>
      </c>
      <c r="J933" s="5">
        <f t="shared" si="71"/>
        <v>0</v>
      </c>
      <c r="K933" s="5">
        <f t="shared" si="72"/>
        <v>1900</v>
      </c>
      <c r="L933" s="5">
        <v>140</v>
      </c>
      <c r="M933" s="5">
        <f t="shared" si="73"/>
        <v>500</v>
      </c>
      <c r="N933" s="7">
        <f t="shared" si="74"/>
        <v>0.26315789473684209</v>
      </c>
      <c r="O933" s="1" t="s">
        <v>30</v>
      </c>
      <c r="P933" s="1" t="s">
        <v>31</v>
      </c>
      <c r="Q933" s="1" t="s">
        <v>48</v>
      </c>
      <c r="R933" s="1" t="s">
        <v>33</v>
      </c>
      <c r="S933" s="1" t="s">
        <v>112</v>
      </c>
      <c r="T933" s="15" t="s">
        <v>53</v>
      </c>
    </row>
    <row r="934" spans="1:20" x14ac:dyDescent="0.3">
      <c r="A934" s="14">
        <v>933</v>
      </c>
      <c r="B934" s="4">
        <v>44376</v>
      </c>
      <c r="C934" s="1" t="s">
        <v>531</v>
      </c>
      <c r="D934" s="1" t="s">
        <v>20</v>
      </c>
      <c r="E934" s="1" t="s">
        <v>36</v>
      </c>
      <c r="F934" s="2">
        <v>8</v>
      </c>
      <c r="G934" s="5">
        <v>1180</v>
      </c>
      <c r="H934" s="24">
        <f t="shared" si="70"/>
        <v>9440</v>
      </c>
      <c r="I934" s="7">
        <v>0.15</v>
      </c>
      <c r="J934" s="5">
        <f t="shared" si="71"/>
        <v>1416</v>
      </c>
      <c r="K934" s="5">
        <f t="shared" si="72"/>
        <v>8024</v>
      </c>
      <c r="L934" s="5">
        <v>920</v>
      </c>
      <c r="M934" s="5">
        <f t="shared" si="73"/>
        <v>664</v>
      </c>
      <c r="N934" s="7">
        <f t="shared" si="74"/>
        <v>8.2751744765702892E-2</v>
      </c>
      <c r="O934" s="1" t="s">
        <v>22</v>
      </c>
      <c r="P934" s="1" t="s">
        <v>31</v>
      </c>
      <c r="Q934" s="1" t="s">
        <v>37</v>
      </c>
      <c r="R934" s="1" t="s">
        <v>66</v>
      </c>
      <c r="S934" s="1" t="s">
        <v>457</v>
      </c>
      <c r="T934" s="15" t="s">
        <v>61</v>
      </c>
    </row>
    <row r="935" spans="1:20" x14ac:dyDescent="0.3">
      <c r="A935" s="14">
        <v>934</v>
      </c>
      <c r="B935" s="4">
        <v>44378</v>
      </c>
      <c r="C935" s="1" t="s">
        <v>533</v>
      </c>
      <c r="D935" s="1" t="s">
        <v>20</v>
      </c>
      <c r="E935" s="1" t="s">
        <v>43</v>
      </c>
      <c r="F935" s="2">
        <v>10</v>
      </c>
      <c r="G935" s="5">
        <v>320</v>
      </c>
      <c r="H935" s="24">
        <f t="shared" si="70"/>
        <v>3200</v>
      </c>
      <c r="I935" s="7">
        <v>0</v>
      </c>
      <c r="J935" s="5">
        <f t="shared" si="71"/>
        <v>0</v>
      </c>
      <c r="K935" s="5">
        <f t="shared" si="72"/>
        <v>3200</v>
      </c>
      <c r="L935" s="5">
        <v>230</v>
      </c>
      <c r="M935" s="5">
        <f t="shared" si="73"/>
        <v>900</v>
      </c>
      <c r="N935" s="7">
        <f t="shared" si="74"/>
        <v>0.28125</v>
      </c>
      <c r="O935" s="1" t="s">
        <v>54</v>
      </c>
      <c r="P935" s="1" t="s">
        <v>31</v>
      </c>
      <c r="Q935" s="1" t="s">
        <v>37</v>
      </c>
      <c r="R935" s="1" t="s">
        <v>38</v>
      </c>
      <c r="S935" s="1" t="s">
        <v>448</v>
      </c>
      <c r="T935" s="15" t="s">
        <v>35</v>
      </c>
    </row>
    <row r="936" spans="1:20" x14ac:dyDescent="0.3">
      <c r="A936" s="14">
        <v>935</v>
      </c>
      <c r="B936" s="4">
        <v>44319</v>
      </c>
      <c r="C936" s="1" t="s">
        <v>531</v>
      </c>
      <c r="D936" s="1" t="s">
        <v>20</v>
      </c>
      <c r="E936" s="1" t="s">
        <v>21</v>
      </c>
      <c r="F936" s="2">
        <v>2</v>
      </c>
      <c r="G936" s="5">
        <v>220</v>
      </c>
      <c r="H936" s="24">
        <f t="shared" si="70"/>
        <v>440</v>
      </c>
      <c r="I936" s="7">
        <v>0.02</v>
      </c>
      <c r="J936" s="5">
        <f t="shared" si="71"/>
        <v>8.8000000000000007</v>
      </c>
      <c r="K936" s="5">
        <f t="shared" si="72"/>
        <v>431.2</v>
      </c>
      <c r="L936" s="5">
        <v>140</v>
      </c>
      <c r="M936" s="5">
        <f t="shared" si="73"/>
        <v>151.19999999999999</v>
      </c>
      <c r="N936" s="7">
        <f t="shared" si="74"/>
        <v>0.35064935064935066</v>
      </c>
      <c r="O936" s="1" t="s">
        <v>22</v>
      </c>
      <c r="P936" s="1" t="s">
        <v>62</v>
      </c>
      <c r="Q936" s="1" t="s">
        <v>48</v>
      </c>
      <c r="R936" s="1" t="s">
        <v>25</v>
      </c>
      <c r="S936" s="1" t="s">
        <v>244</v>
      </c>
      <c r="T936" s="15" t="s">
        <v>61</v>
      </c>
    </row>
    <row r="937" spans="1:20" x14ac:dyDescent="0.3">
      <c r="A937" s="14">
        <v>936</v>
      </c>
      <c r="B937" s="4">
        <v>44499</v>
      </c>
      <c r="C937" s="1" t="s">
        <v>530</v>
      </c>
      <c r="D937" s="1" t="s">
        <v>20</v>
      </c>
      <c r="E937" s="1" t="s">
        <v>36</v>
      </c>
      <c r="F937" s="2">
        <v>4</v>
      </c>
      <c r="G937" s="5">
        <v>1250</v>
      </c>
      <c r="H937" s="24">
        <f t="shared" si="70"/>
        <v>5000</v>
      </c>
      <c r="I937" s="7">
        <v>0</v>
      </c>
      <c r="J937" s="5">
        <f t="shared" si="71"/>
        <v>0</v>
      </c>
      <c r="K937" s="5">
        <f t="shared" si="72"/>
        <v>5000</v>
      </c>
      <c r="L937" s="5">
        <v>840</v>
      </c>
      <c r="M937" s="5">
        <f t="shared" si="73"/>
        <v>1640</v>
      </c>
      <c r="N937" s="7">
        <f t="shared" si="74"/>
        <v>0.32800000000000001</v>
      </c>
      <c r="O937" s="1" t="s">
        <v>22</v>
      </c>
      <c r="P937" s="1" t="s">
        <v>31</v>
      </c>
      <c r="Q937" s="1" t="s">
        <v>24</v>
      </c>
      <c r="R937" s="1" t="s">
        <v>63</v>
      </c>
      <c r="S937" s="1" t="s">
        <v>458</v>
      </c>
      <c r="T937" s="15" t="s">
        <v>27</v>
      </c>
    </row>
    <row r="938" spans="1:20" x14ac:dyDescent="0.3">
      <c r="A938" s="14">
        <v>937</v>
      </c>
      <c r="B938" s="4">
        <v>44324</v>
      </c>
      <c r="C938" s="1" t="s">
        <v>533</v>
      </c>
      <c r="D938" s="1" t="s">
        <v>82</v>
      </c>
      <c r="E938" s="1" t="s">
        <v>21</v>
      </c>
      <c r="F938" s="2">
        <v>5</v>
      </c>
      <c r="G938" s="5">
        <v>220</v>
      </c>
      <c r="H938" s="24">
        <f t="shared" si="70"/>
        <v>1100</v>
      </c>
      <c r="I938" s="7">
        <v>0</v>
      </c>
      <c r="J938" s="5">
        <f t="shared" si="71"/>
        <v>0</v>
      </c>
      <c r="K938" s="5">
        <f t="shared" si="72"/>
        <v>1100</v>
      </c>
      <c r="L938" s="5">
        <v>140</v>
      </c>
      <c r="M938" s="5">
        <f t="shared" si="73"/>
        <v>400</v>
      </c>
      <c r="N938" s="7">
        <f t="shared" si="74"/>
        <v>0.36363636363636365</v>
      </c>
      <c r="O938" s="1" t="s">
        <v>30</v>
      </c>
      <c r="P938" s="1" t="s">
        <v>23</v>
      </c>
      <c r="Q938" s="1" t="s">
        <v>24</v>
      </c>
      <c r="R938" s="1" t="s">
        <v>33</v>
      </c>
      <c r="S938" s="1" t="s">
        <v>459</v>
      </c>
      <c r="T938" s="15" t="s">
        <v>61</v>
      </c>
    </row>
    <row r="939" spans="1:20" x14ac:dyDescent="0.3">
      <c r="A939" s="14">
        <v>938</v>
      </c>
      <c r="B939" s="4">
        <v>44369</v>
      </c>
      <c r="C939" s="1" t="s">
        <v>529</v>
      </c>
      <c r="D939" s="1" t="s">
        <v>80</v>
      </c>
      <c r="E939" s="1" t="s">
        <v>29</v>
      </c>
      <c r="F939" s="2">
        <v>6</v>
      </c>
      <c r="G939" s="5">
        <v>1980</v>
      </c>
      <c r="H939" s="24">
        <f t="shared" si="70"/>
        <v>11880</v>
      </c>
      <c r="I939" s="7">
        <v>0</v>
      </c>
      <c r="J939" s="5">
        <f t="shared" si="71"/>
        <v>0</v>
      </c>
      <c r="K939" s="5">
        <f t="shared" si="72"/>
        <v>11880</v>
      </c>
      <c r="L939" s="5">
        <v>1600</v>
      </c>
      <c r="M939" s="5">
        <f t="shared" si="73"/>
        <v>2280</v>
      </c>
      <c r="N939" s="7">
        <f t="shared" si="74"/>
        <v>0.19191919191919191</v>
      </c>
      <c r="O939" s="1" t="s">
        <v>30</v>
      </c>
      <c r="P939" s="1" t="s">
        <v>31</v>
      </c>
      <c r="Q939" s="1" t="s">
        <v>24</v>
      </c>
      <c r="R939" s="1" t="s">
        <v>66</v>
      </c>
      <c r="S939" s="1" t="s">
        <v>106</v>
      </c>
      <c r="T939" s="15" t="s">
        <v>61</v>
      </c>
    </row>
    <row r="940" spans="1:20" x14ac:dyDescent="0.3">
      <c r="A940" s="14">
        <v>939</v>
      </c>
      <c r="B940" s="4">
        <v>44513</v>
      </c>
      <c r="C940" s="1" t="s">
        <v>533</v>
      </c>
      <c r="D940" s="1" t="s">
        <v>20</v>
      </c>
      <c r="E940" s="1" t="s">
        <v>43</v>
      </c>
      <c r="F940" s="2">
        <v>8</v>
      </c>
      <c r="G940" s="5">
        <v>340</v>
      </c>
      <c r="H940" s="24">
        <f t="shared" si="70"/>
        <v>2720</v>
      </c>
      <c r="I940" s="7">
        <v>0.05</v>
      </c>
      <c r="J940" s="5">
        <f t="shared" si="71"/>
        <v>136</v>
      </c>
      <c r="K940" s="5">
        <f t="shared" si="72"/>
        <v>2584</v>
      </c>
      <c r="L940" s="5">
        <v>260</v>
      </c>
      <c r="M940" s="5">
        <f t="shared" si="73"/>
        <v>504</v>
      </c>
      <c r="N940" s="7">
        <f t="shared" si="74"/>
        <v>0.19504643962848298</v>
      </c>
      <c r="O940" s="1" t="s">
        <v>54</v>
      </c>
      <c r="P940" s="1" t="s">
        <v>31</v>
      </c>
      <c r="Q940" s="1" t="s">
        <v>37</v>
      </c>
      <c r="R940" s="1" t="s">
        <v>56</v>
      </c>
      <c r="S940" s="1" t="s">
        <v>296</v>
      </c>
      <c r="T940" s="15" t="s">
        <v>27</v>
      </c>
    </row>
    <row r="941" spans="1:20" x14ac:dyDescent="0.3">
      <c r="A941" s="14">
        <v>940</v>
      </c>
      <c r="B941" s="4">
        <v>44271</v>
      </c>
      <c r="C941" s="1" t="s">
        <v>530</v>
      </c>
      <c r="D941" s="1" t="s">
        <v>20</v>
      </c>
      <c r="E941" s="1" t="s">
        <v>29</v>
      </c>
      <c r="F941" s="2">
        <v>10</v>
      </c>
      <c r="G941" s="5">
        <v>2190</v>
      </c>
      <c r="H941" s="24">
        <f t="shared" si="70"/>
        <v>21900</v>
      </c>
      <c r="I941" s="7">
        <v>0.05</v>
      </c>
      <c r="J941" s="5">
        <f t="shared" si="71"/>
        <v>1095</v>
      </c>
      <c r="K941" s="5">
        <f t="shared" si="72"/>
        <v>20805</v>
      </c>
      <c r="L941" s="5">
        <v>1570</v>
      </c>
      <c r="M941" s="5">
        <f t="shared" si="73"/>
        <v>5105</v>
      </c>
      <c r="N941" s="7">
        <f t="shared" si="74"/>
        <v>0.24537370824321075</v>
      </c>
      <c r="O941" s="1" t="s">
        <v>59</v>
      </c>
      <c r="P941" s="1" t="s">
        <v>31</v>
      </c>
      <c r="Q941" s="1" t="s">
        <v>48</v>
      </c>
      <c r="R941" s="1" t="s">
        <v>25</v>
      </c>
      <c r="S941" s="1" t="s">
        <v>248</v>
      </c>
      <c r="T941" s="15" t="s">
        <v>61</v>
      </c>
    </row>
    <row r="942" spans="1:20" x14ac:dyDescent="0.3">
      <c r="A942" s="14">
        <v>941</v>
      </c>
      <c r="B942" s="4">
        <v>44367</v>
      </c>
      <c r="C942" s="1" t="s">
        <v>529</v>
      </c>
      <c r="D942" s="1" t="s">
        <v>80</v>
      </c>
      <c r="E942" s="1" t="s">
        <v>21</v>
      </c>
      <c r="F942" s="2">
        <v>6</v>
      </c>
      <c r="G942" s="5">
        <v>180</v>
      </c>
      <c r="H942" s="24">
        <f t="shared" si="70"/>
        <v>1080</v>
      </c>
      <c r="I942" s="7">
        <v>0.15</v>
      </c>
      <c r="J942" s="5">
        <f t="shared" si="71"/>
        <v>162</v>
      </c>
      <c r="K942" s="5">
        <f t="shared" si="72"/>
        <v>918</v>
      </c>
      <c r="L942" s="5">
        <v>110</v>
      </c>
      <c r="M942" s="5">
        <f t="shared" si="73"/>
        <v>258</v>
      </c>
      <c r="N942" s="7">
        <f t="shared" si="74"/>
        <v>0.28104575163398693</v>
      </c>
      <c r="O942" s="1" t="s">
        <v>41</v>
      </c>
      <c r="P942" s="1" t="s">
        <v>31</v>
      </c>
      <c r="Q942" s="1" t="s">
        <v>48</v>
      </c>
      <c r="R942" s="1" t="s">
        <v>38</v>
      </c>
      <c r="S942" s="1" t="s">
        <v>460</v>
      </c>
      <c r="T942" s="15" t="s">
        <v>35</v>
      </c>
    </row>
    <row r="943" spans="1:20" x14ac:dyDescent="0.3">
      <c r="A943" s="14">
        <v>942</v>
      </c>
      <c r="B943" s="4">
        <v>44244</v>
      </c>
      <c r="C943" s="1" t="s">
        <v>533</v>
      </c>
      <c r="D943" s="1" t="s">
        <v>28</v>
      </c>
      <c r="E943" s="1" t="s">
        <v>36</v>
      </c>
      <c r="F943" s="2">
        <v>7</v>
      </c>
      <c r="G943" s="5">
        <v>1230</v>
      </c>
      <c r="H943" s="24">
        <f t="shared" si="70"/>
        <v>8610</v>
      </c>
      <c r="I943" s="7">
        <v>0</v>
      </c>
      <c r="J943" s="5">
        <f t="shared" si="71"/>
        <v>0</v>
      </c>
      <c r="K943" s="5">
        <f t="shared" si="72"/>
        <v>8610</v>
      </c>
      <c r="L943" s="5">
        <v>810</v>
      </c>
      <c r="M943" s="5">
        <f t="shared" si="73"/>
        <v>2940</v>
      </c>
      <c r="N943" s="7">
        <f t="shared" si="74"/>
        <v>0.34146341463414637</v>
      </c>
      <c r="O943" s="1" t="s">
        <v>59</v>
      </c>
      <c r="P943" s="1" t="s">
        <v>31</v>
      </c>
      <c r="Q943" s="1" t="s">
        <v>48</v>
      </c>
      <c r="R943" s="1" t="s">
        <v>56</v>
      </c>
      <c r="S943" s="1" t="s">
        <v>155</v>
      </c>
      <c r="T943" s="15" t="s">
        <v>35</v>
      </c>
    </row>
    <row r="944" spans="1:20" x14ac:dyDescent="0.3">
      <c r="A944" s="14">
        <v>943</v>
      </c>
      <c r="B944" s="4">
        <v>44525</v>
      </c>
      <c r="C944" s="1" t="s">
        <v>530</v>
      </c>
      <c r="D944" s="1" t="s">
        <v>20</v>
      </c>
      <c r="E944" s="1" t="s">
        <v>29</v>
      </c>
      <c r="F944" s="2">
        <v>7</v>
      </c>
      <c r="G944" s="5">
        <v>2060</v>
      </c>
      <c r="H944" s="24">
        <f t="shared" si="70"/>
        <v>14420</v>
      </c>
      <c r="I944" s="7">
        <v>0.05</v>
      </c>
      <c r="J944" s="5">
        <f t="shared" si="71"/>
        <v>721</v>
      </c>
      <c r="K944" s="5">
        <f t="shared" si="72"/>
        <v>13699</v>
      </c>
      <c r="L944" s="5">
        <v>1410</v>
      </c>
      <c r="M944" s="5">
        <f t="shared" si="73"/>
        <v>3829</v>
      </c>
      <c r="N944" s="7">
        <f t="shared" si="74"/>
        <v>0.2795094532447624</v>
      </c>
      <c r="O944" s="1" t="s">
        <v>22</v>
      </c>
      <c r="P944" s="1" t="s">
        <v>31</v>
      </c>
      <c r="Q944" s="1" t="s">
        <v>37</v>
      </c>
      <c r="R944" s="1" t="s">
        <v>49</v>
      </c>
      <c r="S944" s="1" t="s">
        <v>44</v>
      </c>
      <c r="T944" s="15" t="s">
        <v>27</v>
      </c>
    </row>
    <row r="945" spans="1:20" x14ac:dyDescent="0.3">
      <c r="A945" s="14">
        <v>944</v>
      </c>
      <c r="B945" s="4">
        <v>44393</v>
      </c>
      <c r="C945" s="1" t="s">
        <v>529</v>
      </c>
      <c r="D945" s="1" t="s">
        <v>28</v>
      </c>
      <c r="E945" s="1" t="s">
        <v>21</v>
      </c>
      <c r="F945" s="2">
        <v>5</v>
      </c>
      <c r="G945" s="5">
        <v>190</v>
      </c>
      <c r="H945" s="24">
        <f t="shared" si="70"/>
        <v>950</v>
      </c>
      <c r="I945" s="7">
        <v>0.05</v>
      </c>
      <c r="J945" s="5">
        <f t="shared" si="71"/>
        <v>47.5</v>
      </c>
      <c r="K945" s="5">
        <f t="shared" si="72"/>
        <v>902.5</v>
      </c>
      <c r="L945" s="5">
        <v>140</v>
      </c>
      <c r="M945" s="5">
        <f t="shared" si="73"/>
        <v>202.5</v>
      </c>
      <c r="N945" s="7">
        <f t="shared" si="74"/>
        <v>0.22437673130193905</v>
      </c>
      <c r="O945" s="1" t="s">
        <v>59</v>
      </c>
      <c r="P945" s="1" t="s">
        <v>23</v>
      </c>
      <c r="Q945" s="1" t="s">
        <v>37</v>
      </c>
      <c r="R945" s="1" t="s">
        <v>56</v>
      </c>
      <c r="S945" s="1" t="s">
        <v>461</v>
      </c>
      <c r="T945" s="15" t="s">
        <v>35</v>
      </c>
    </row>
    <row r="946" spans="1:20" x14ac:dyDescent="0.3">
      <c r="A946" s="14">
        <v>945</v>
      </c>
      <c r="B946" s="4">
        <v>44362</v>
      </c>
      <c r="C946" s="1" t="s">
        <v>529</v>
      </c>
      <c r="D946" s="1" t="s">
        <v>82</v>
      </c>
      <c r="E946" s="1" t="s">
        <v>29</v>
      </c>
      <c r="F946" s="2">
        <v>1</v>
      </c>
      <c r="G946" s="5">
        <v>2380</v>
      </c>
      <c r="H946" s="24">
        <f t="shared" si="70"/>
        <v>2380</v>
      </c>
      <c r="I946" s="7">
        <v>0</v>
      </c>
      <c r="J946" s="5">
        <f t="shared" si="71"/>
        <v>0</v>
      </c>
      <c r="K946" s="5">
        <f t="shared" si="72"/>
        <v>2380</v>
      </c>
      <c r="L946" s="5">
        <v>1670</v>
      </c>
      <c r="M946" s="5">
        <f t="shared" si="73"/>
        <v>710</v>
      </c>
      <c r="N946" s="7">
        <f t="shared" si="74"/>
        <v>0.29831932773109243</v>
      </c>
      <c r="O946" s="1" t="s">
        <v>59</v>
      </c>
      <c r="P946" s="1" t="s">
        <v>31</v>
      </c>
      <c r="Q946" s="1" t="s">
        <v>32</v>
      </c>
      <c r="R946" s="1" t="s">
        <v>88</v>
      </c>
      <c r="S946" s="1" t="s">
        <v>170</v>
      </c>
      <c r="T946" s="15" t="s">
        <v>53</v>
      </c>
    </row>
    <row r="947" spans="1:20" x14ac:dyDescent="0.3">
      <c r="A947" s="14">
        <v>946</v>
      </c>
      <c r="B947" s="4">
        <v>44271</v>
      </c>
      <c r="C947" s="1" t="s">
        <v>530</v>
      </c>
      <c r="D947" s="1" t="s">
        <v>28</v>
      </c>
      <c r="E947" s="1" t="s">
        <v>29</v>
      </c>
      <c r="F947" s="2">
        <v>5</v>
      </c>
      <c r="G947" s="5">
        <v>2160</v>
      </c>
      <c r="H947" s="24">
        <f t="shared" si="70"/>
        <v>10800</v>
      </c>
      <c r="I947" s="7">
        <v>0</v>
      </c>
      <c r="J947" s="5">
        <f t="shared" si="71"/>
        <v>0</v>
      </c>
      <c r="K947" s="5">
        <f t="shared" si="72"/>
        <v>10800</v>
      </c>
      <c r="L947" s="5">
        <v>1520</v>
      </c>
      <c r="M947" s="5">
        <f t="shared" si="73"/>
        <v>3200</v>
      </c>
      <c r="N947" s="7">
        <f t="shared" si="74"/>
        <v>0.29629629629629628</v>
      </c>
      <c r="O947" s="1" t="s">
        <v>41</v>
      </c>
      <c r="P947" s="1" t="s">
        <v>31</v>
      </c>
      <c r="Q947" s="1" t="s">
        <v>32</v>
      </c>
      <c r="R947" s="1" t="s">
        <v>56</v>
      </c>
      <c r="S947" s="1" t="s">
        <v>462</v>
      </c>
      <c r="T947" s="15" t="s">
        <v>35</v>
      </c>
    </row>
    <row r="948" spans="1:20" x14ac:dyDescent="0.3">
      <c r="A948" s="14">
        <v>947</v>
      </c>
      <c r="B948" s="4">
        <v>44349</v>
      </c>
      <c r="C948" s="1" t="s">
        <v>533</v>
      </c>
      <c r="D948" s="1" t="s">
        <v>28</v>
      </c>
      <c r="E948" s="1" t="s">
        <v>21</v>
      </c>
      <c r="F948" s="2">
        <v>10</v>
      </c>
      <c r="G948" s="5">
        <v>220</v>
      </c>
      <c r="H948" s="24">
        <f t="shared" si="70"/>
        <v>2200</v>
      </c>
      <c r="I948" s="7">
        <v>0</v>
      </c>
      <c r="J948" s="5">
        <f t="shared" si="71"/>
        <v>0</v>
      </c>
      <c r="K948" s="5">
        <f t="shared" si="72"/>
        <v>2200</v>
      </c>
      <c r="L948" s="5">
        <v>170</v>
      </c>
      <c r="M948" s="5">
        <f t="shared" si="73"/>
        <v>500</v>
      </c>
      <c r="N948" s="7">
        <f t="shared" si="74"/>
        <v>0.22727272727272727</v>
      </c>
      <c r="O948" s="1" t="s">
        <v>54</v>
      </c>
      <c r="P948" s="1" t="s">
        <v>31</v>
      </c>
      <c r="Q948" s="1" t="s">
        <v>24</v>
      </c>
      <c r="R948" s="1" t="s">
        <v>63</v>
      </c>
      <c r="S948" s="1" t="s">
        <v>108</v>
      </c>
      <c r="T948" s="15" t="s">
        <v>35</v>
      </c>
    </row>
    <row r="949" spans="1:20" x14ac:dyDescent="0.3">
      <c r="A949" s="14">
        <v>948</v>
      </c>
      <c r="B949" s="4">
        <v>44307</v>
      </c>
      <c r="C949" s="1" t="s">
        <v>534</v>
      </c>
      <c r="D949" s="1" t="s">
        <v>28</v>
      </c>
      <c r="E949" s="1" t="s">
        <v>21</v>
      </c>
      <c r="F949" s="2">
        <v>7</v>
      </c>
      <c r="G949" s="5">
        <v>200</v>
      </c>
      <c r="H949" s="24">
        <f t="shared" si="70"/>
        <v>1400</v>
      </c>
      <c r="I949" s="7">
        <v>0</v>
      </c>
      <c r="J949" s="5">
        <f t="shared" si="71"/>
        <v>0</v>
      </c>
      <c r="K949" s="5">
        <f t="shared" si="72"/>
        <v>1400</v>
      </c>
      <c r="L949" s="5">
        <v>130</v>
      </c>
      <c r="M949" s="5">
        <f t="shared" si="73"/>
        <v>490</v>
      </c>
      <c r="N949" s="7">
        <f t="shared" si="74"/>
        <v>0.35</v>
      </c>
      <c r="O949" s="1" t="s">
        <v>41</v>
      </c>
      <c r="P949" s="1" t="s">
        <v>31</v>
      </c>
      <c r="Q949" s="1" t="s">
        <v>32</v>
      </c>
      <c r="R949" s="1" t="s">
        <v>66</v>
      </c>
      <c r="S949" s="1" t="s">
        <v>131</v>
      </c>
      <c r="T949" s="15" t="s">
        <v>53</v>
      </c>
    </row>
    <row r="950" spans="1:20" x14ac:dyDescent="0.3">
      <c r="A950" s="14">
        <v>949</v>
      </c>
      <c r="B950" s="4">
        <v>44257</v>
      </c>
      <c r="C950" s="1" t="s">
        <v>529</v>
      </c>
      <c r="D950" s="1" t="s">
        <v>20</v>
      </c>
      <c r="E950" s="1" t="s">
        <v>29</v>
      </c>
      <c r="F950" s="2">
        <v>12</v>
      </c>
      <c r="G950" s="5">
        <v>2330</v>
      </c>
      <c r="H950" s="24">
        <f t="shared" si="70"/>
        <v>27960</v>
      </c>
      <c r="I950" s="7">
        <v>0</v>
      </c>
      <c r="J950" s="5">
        <f t="shared" si="71"/>
        <v>0</v>
      </c>
      <c r="K950" s="5">
        <f t="shared" si="72"/>
        <v>27960</v>
      </c>
      <c r="L950" s="5">
        <v>1380</v>
      </c>
      <c r="M950" s="5">
        <f t="shared" si="73"/>
        <v>11400</v>
      </c>
      <c r="N950" s="7">
        <f t="shared" si="74"/>
        <v>0.40772532188841204</v>
      </c>
      <c r="O950" s="1" t="s">
        <v>54</v>
      </c>
      <c r="P950" s="1" t="s">
        <v>31</v>
      </c>
      <c r="Q950" s="1" t="s">
        <v>32</v>
      </c>
      <c r="R950" s="1" t="s">
        <v>25</v>
      </c>
      <c r="S950" s="1" t="s">
        <v>418</v>
      </c>
      <c r="T950" s="15" t="s">
        <v>53</v>
      </c>
    </row>
    <row r="951" spans="1:20" x14ac:dyDescent="0.3">
      <c r="A951" s="14">
        <v>950</v>
      </c>
      <c r="B951" s="4">
        <v>44362</v>
      </c>
      <c r="C951" s="1" t="s">
        <v>530</v>
      </c>
      <c r="D951" s="1" t="s">
        <v>28</v>
      </c>
      <c r="E951" s="1" t="s">
        <v>40</v>
      </c>
      <c r="F951" s="2">
        <v>6</v>
      </c>
      <c r="G951" s="5">
        <v>1620</v>
      </c>
      <c r="H951" s="24">
        <f t="shared" si="70"/>
        <v>9720</v>
      </c>
      <c r="I951" s="7">
        <v>0.05</v>
      </c>
      <c r="J951" s="5">
        <f t="shared" si="71"/>
        <v>486</v>
      </c>
      <c r="K951" s="5">
        <f t="shared" si="72"/>
        <v>9234</v>
      </c>
      <c r="L951" s="5">
        <v>1040</v>
      </c>
      <c r="M951" s="5">
        <f t="shared" si="73"/>
        <v>2994</v>
      </c>
      <c r="N951" s="7">
        <f t="shared" si="74"/>
        <v>0.32423651721897334</v>
      </c>
      <c r="O951" s="1" t="s">
        <v>30</v>
      </c>
      <c r="P951" s="1" t="s">
        <v>31</v>
      </c>
      <c r="Q951" s="1" t="s">
        <v>24</v>
      </c>
      <c r="R951" s="1" t="s">
        <v>66</v>
      </c>
      <c r="S951" s="1" t="s">
        <v>176</v>
      </c>
      <c r="T951" s="15" t="s">
        <v>53</v>
      </c>
    </row>
    <row r="952" spans="1:20" x14ac:dyDescent="0.3">
      <c r="A952" s="14">
        <v>951</v>
      </c>
      <c r="B952" s="4">
        <v>44335</v>
      </c>
      <c r="C952" s="1" t="s">
        <v>533</v>
      </c>
      <c r="D952" s="1" t="s">
        <v>20</v>
      </c>
      <c r="E952" s="1" t="s">
        <v>43</v>
      </c>
      <c r="F952" s="2">
        <v>1</v>
      </c>
      <c r="G952" s="5">
        <v>310</v>
      </c>
      <c r="H952" s="24">
        <f t="shared" si="70"/>
        <v>310</v>
      </c>
      <c r="I952" s="7">
        <v>0.05</v>
      </c>
      <c r="J952" s="5">
        <f t="shared" si="71"/>
        <v>15.5</v>
      </c>
      <c r="K952" s="5">
        <f t="shared" si="72"/>
        <v>294.5</v>
      </c>
      <c r="L952" s="5">
        <v>230</v>
      </c>
      <c r="M952" s="5">
        <f t="shared" si="73"/>
        <v>64.5</v>
      </c>
      <c r="N952" s="7">
        <f t="shared" si="74"/>
        <v>0.21901528013582344</v>
      </c>
      <c r="O952" s="1" t="s">
        <v>22</v>
      </c>
      <c r="P952" s="1" t="s">
        <v>31</v>
      </c>
      <c r="Q952" s="1" t="s">
        <v>37</v>
      </c>
      <c r="R952" s="1" t="s">
        <v>66</v>
      </c>
      <c r="S952" s="1" t="s">
        <v>284</v>
      </c>
      <c r="T952" s="15" t="s">
        <v>61</v>
      </c>
    </row>
    <row r="953" spans="1:20" x14ac:dyDescent="0.3">
      <c r="A953" s="14">
        <v>952</v>
      </c>
      <c r="B953" s="4">
        <v>44437</v>
      </c>
      <c r="C953" s="1" t="s">
        <v>533</v>
      </c>
      <c r="D953" s="1" t="s">
        <v>20</v>
      </c>
      <c r="E953" s="1" t="s">
        <v>21</v>
      </c>
      <c r="F953" s="2">
        <v>10</v>
      </c>
      <c r="G953" s="5">
        <v>190</v>
      </c>
      <c r="H953" s="24">
        <f t="shared" si="70"/>
        <v>1900</v>
      </c>
      <c r="I953" s="7">
        <v>0.05</v>
      </c>
      <c r="J953" s="5">
        <f t="shared" si="71"/>
        <v>95</v>
      </c>
      <c r="K953" s="5">
        <f t="shared" si="72"/>
        <v>1805</v>
      </c>
      <c r="L953" s="5">
        <v>150</v>
      </c>
      <c r="M953" s="5">
        <f t="shared" si="73"/>
        <v>305</v>
      </c>
      <c r="N953" s="7">
        <f t="shared" si="74"/>
        <v>0.16897506925207756</v>
      </c>
      <c r="O953" s="1" t="s">
        <v>22</v>
      </c>
      <c r="P953" s="1" t="s">
        <v>31</v>
      </c>
      <c r="Q953" s="1" t="s">
        <v>48</v>
      </c>
      <c r="R953" s="1" t="s">
        <v>66</v>
      </c>
      <c r="S953" s="1" t="s">
        <v>457</v>
      </c>
      <c r="T953" s="15" t="s">
        <v>61</v>
      </c>
    </row>
    <row r="954" spans="1:20" x14ac:dyDescent="0.3">
      <c r="A954" s="14">
        <v>953</v>
      </c>
      <c r="B954" s="4">
        <v>44291</v>
      </c>
      <c r="C954" s="1" t="s">
        <v>530</v>
      </c>
      <c r="D954" s="1" t="s">
        <v>82</v>
      </c>
      <c r="E954" s="1" t="s">
        <v>43</v>
      </c>
      <c r="F954" s="2">
        <v>6</v>
      </c>
      <c r="G954" s="5">
        <v>280</v>
      </c>
      <c r="H954" s="24">
        <f t="shared" si="70"/>
        <v>1680</v>
      </c>
      <c r="I954" s="7">
        <v>0</v>
      </c>
      <c r="J954" s="5">
        <f t="shared" si="71"/>
        <v>0</v>
      </c>
      <c r="K954" s="5">
        <f t="shared" si="72"/>
        <v>1680</v>
      </c>
      <c r="L954" s="5">
        <v>180</v>
      </c>
      <c r="M954" s="5">
        <f t="shared" si="73"/>
        <v>600</v>
      </c>
      <c r="N954" s="7">
        <f t="shared" si="74"/>
        <v>0.35714285714285715</v>
      </c>
      <c r="O954" s="1" t="s">
        <v>41</v>
      </c>
      <c r="P954" s="1" t="s">
        <v>31</v>
      </c>
      <c r="Q954" s="1" t="s">
        <v>37</v>
      </c>
      <c r="R954" s="1" t="s">
        <v>63</v>
      </c>
      <c r="S954" s="1" t="s">
        <v>463</v>
      </c>
      <c r="T954" s="15" t="s">
        <v>27</v>
      </c>
    </row>
    <row r="955" spans="1:20" x14ac:dyDescent="0.3">
      <c r="A955" s="14">
        <v>954</v>
      </c>
      <c r="B955" s="4">
        <v>44397</v>
      </c>
      <c r="C955" s="1" t="s">
        <v>533</v>
      </c>
      <c r="D955" s="1" t="s">
        <v>28</v>
      </c>
      <c r="E955" s="1" t="s">
        <v>45</v>
      </c>
      <c r="F955" s="2">
        <v>11</v>
      </c>
      <c r="G955" s="5">
        <v>210</v>
      </c>
      <c r="H955" s="24">
        <f t="shared" si="70"/>
        <v>2310</v>
      </c>
      <c r="I955" s="7">
        <v>0</v>
      </c>
      <c r="J955" s="5">
        <f t="shared" si="71"/>
        <v>0</v>
      </c>
      <c r="K955" s="5">
        <f t="shared" si="72"/>
        <v>2310</v>
      </c>
      <c r="L955" s="5">
        <v>130</v>
      </c>
      <c r="M955" s="5">
        <f t="shared" si="73"/>
        <v>880</v>
      </c>
      <c r="N955" s="7">
        <f t="shared" si="74"/>
        <v>0.38095238095238093</v>
      </c>
      <c r="O955" s="1" t="s">
        <v>30</v>
      </c>
      <c r="P955" s="1" t="s">
        <v>31</v>
      </c>
      <c r="Q955" s="1" t="s">
        <v>24</v>
      </c>
      <c r="R955" s="1" t="s">
        <v>46</v>
      </c>
      <c r="S955" s="1" t="s">
        <v>460</v>
      </c>
      <c r="T955" s="15" t="s">
        <v>53</v>
      </c>
    </row>
    <row r="956" spans="1:20" x14ac:dyDescent="0.3">
      <c r="A956" s="14">
        <v>955</v>
      </c>
      <c r="B956" s="4">
        <v>44263</v>
      </c>
      <c r="C956" s="1" t="s">
        <v>529</v>
      </c>
      <c r="D956" s="1" t="s">
        <v>20</v>
      </c>
      <c r="E956" s="1" t="s">
        <v>45</v>
      </c>
      <c r="F956" s="2">
        <v>12</v>
      </c>
      <c r="G956" s="5">
        <v>190</v>
      </c>
      <c r="H956" s="24">
        <f t="shared" si="70"/>
        <v>2280</v>
      </c>
      <c r="I956" s="7">
        <v>0.1</v>
      </c>
      <c r="J956" s="5">
        <f t="shared" si="71"/>
        <v>228</v>
      </c>
      <c r="K956" s="5">
        <f t="shared" si="72"/>
        <v>2052</v>
      </c>
      <c r="L956" s="5">
        <v>130</v>
      </c>
      <c r="M956" s="5">
        <f t="shared" si="73"/>
        <v>492</v>
      </c>
      <c r="N956" s="7">
        <f t="shared" si="74"/>
        <v>0.23976608187134502</v>
      </c>
      <c r="O956" s="1" t="s">
        <v>54</v>
      </c>
      <c r="P956" s="1" t="s">
        <v>31</v>
      </c>
      <c r="Q956" s="1" t="s">
        <v>32</v>
      </c>
      <c r="R956" s="1" t="s">
        <v>66</v>
      </c>
      <c r="S956" s="1" t="s">
        <v>450</v>
      </c>
      <c r="T956" s="15" t="s">
        <v>35</v>
      </c>
    </row>
    <row r="957" spans="1:20" x14ac:dyDescent="0.3">
      <c r="A957" s="14">
        <v>956</v>
      </c>
      <c r="B957" s="4">
        <v>44544</v>
      </c>
      <c r="C957" s="1" t="s">
        <v>532</v>
      </c>
      <c r="D957" s="1" t="s">
        <v>28</v>
      </c>
      <c r="E957" s="1" t="s">
        <v>43</v>
      </c>
      <c r="F957" s="2">
        <v>6</v>
      </c>
      <c r="G957" s="5">
        <v>320</v>
      </c>
      <c r="H957" s="24">
        <f t="shared" si="70"/>
        <v>1920</v>
      </c>
      <c r="I957" s="7">
        <v>0.15</v>
      </c>
      <c r="J957" s="5">
        <f t="shared" si="71"/>
        <v>288</v>
      </c>
      <c r="K957" s="5">
        <f t="shared" si="72"/>
        <v>1632</v>
      </c>
      <c r="L957" s="5">
        <v>190</v>
      </c>
      <c r="M957" s="5">
        <f t="shared" si="73"/>
        <v>492</v>
      </c>
      <c r="N957" s="7">
        <f t="shared" si="74"/>
        <v>0.3014705882352941</v>
      </c>
      <c r="O957" s="1" t="s">
        <v>54</v>
      </c>
      <c r="P957" s="1" t="s">
        <v>31</v>
      </c>
      <c r="Q957" s="1" t="s">
        <v>48</v>
      </c>
      <c r="R957" s="1" t="s">
        <v>33</v>
      </c>
      <c r="S957" s="1" t="s">
        <v>318</v>
      </c>
      <c r="T957" s="15" t="s">
        <v>53</v>
      </c>
    </row>
    <row r="958" spans="1:20" x14ac:dyDescent="0.3">
      <c r="A958" s="14">
        <v>957</v>
      </c>
      <c r="B958" s="4">
        <v>44327</v>
      </c>
      <c r="C958" s="1" t="s">
        <v>534</v>
      </c>
      <c r="D958" s="1" t="s">
        <v>20</v>
      </c>
      <c r="E958" s="1" t="s">
        <v>29</v>
      </c>
      <c r="F958" s="2">
        <v>6</v>
      </c>
      <c r="G958" s="5">
        <v>2020</v>
      </c>
      <c r="H958" s="24">
        <f t="shared" si="70"/>
        <v>12120</v>
      </c>
      <c r="I958" s="7">
        <v>0</v>
      </c>
      <c r="J958" s="5">
        <f t="shared" si="71"/>
        <v>0</v>
      </c>
      <c r="K958" s="5">
        <f t="shared" si="72"/>
        <v>12120</v>
      </c>
      <c r="L958" s="5">
        <v>1430</v>
      </c>
      <c r="M958" s="5">
        <f t="shared" si="73"/>
        <v>3540</v>
      </c>
      <c r="N958" s="7">
        <f t="shared" si="74"/>
        <v>0.29207920792079206</v>
      </c>
      <c r="O958" s="1" t="s">
        <v>41</v>
      </c>
      <c r="P958" s="1" t="s">
        <v>31</v>
      </c>
      <c r="Q958" s="1" t="s">
        <v>24</v>
      </c>
      <c r="R958" s="1" t="s">
        <v>63</v>
      </c>
      <c r="S958" s="1" t="s">
        <v>439</v>
      </c>
      <c r="T958" s="15" t="s">
        <v>27</v>
      </c>
    </row>
    <row r="959" spans="1:20" x14ac:dyDescent="0.3">
      <c r="A959" s="14">
        <v>958</v>
      </c>
      <c r="B959" s="4">
        <v>44270</v>
      </c>
      <c r="C959" s="1" t="s">
        <v>533</v>
      </c>
      <c r="D959" s="1" t="s">
        <v>20</v>
      </c>
      <c r="E959" s="1" t="s">
        <v>21</v>
      </c>
      <c r="F959" s="2">
        <v>10</v>
      </c>
      <c r="G959" s="5">
        <v>230</v>
      </c>
      <c r="H959" s="24">
        <f t="shared" si="70"/>
        <v>2300</v>
      </c>
      <c r="I959" s="7">
        <v>0</v>
      </c>
      <c r="J959" s="5">
        <f t="shared" si="71"/>
        <v>0</v>
      </c>
      <c r="K959" s="5">
        <f t="shared" si="72"/>
        <v>2300</v>
      </c>
      <c r="L959" s="5">
        <v>190</v>
      </c>
      <c r="M959" s="5">
        <f t="shared" si="73"/>
        <v>400</v>
      </c>
      <c r="N959" s="7">
        <f t="shared" si="74"/>
        <v>0.17391304347826086</v>
      </c>
      <c r="O959" s="1" t="s">
        <v>54</v>
      </c>
      <c r="P959" s="1" t="s">
        <v>31</v>
      </c>
      <c r="Q959" s="1" t="s">
        <v>32</v>
      </c>
      <c r="R959" s="1" t="s">
        <v>88</v>
      </c>
      <c r="S959" s="1" t="s">
        <v>464</v>
      </c>
      <c r="T959" s="15" t="s">
        <v>61</v>
      </c>
    </row>
    <row r="960" spans="1:20" x14ac:dyDescent="0.3">
      <c r="A960" s="14">
        <v>959</v>
      </c>
      <c r="B960" s="4">
        <v>44201</v>
      </c>
      <c r="C960" s="1" t="s">
        <v>529</v>
      </c>
      <c r="D960" s="1" t="s">
        <v>28</v>
      </c>
      <c r="E960" s="1" t="s">
        <v>40</v>
      </c>
      <c r="F960" s="2">
        <v>10</v>
      </c>
      <c r="G960" s="5">
        <v>1490</v>
      </c>
      <c r="H960" s="24">
        <f t="shared" si="70"/>
        <v>14900</v>
      </c>
      <c r="I960" s="7">
        <v>0</v>
      </c>
      <c r="J960" s="5">
        <f t="shared" si="71"/>
        <v>0</v>
      </c>
      <c r="K960" s="5">
        <f t="shared" si="72"/>
        <v>14900</v>
      </c>
      <c r="L960" s="5">
        <v>1040</v>
      </c>
      <c r="M960" s="5">
        <f t="shared" si="73"/>
        <v>4500</v>
      </c>
      <c r="N960" s="7">
        <f t="shared" si="74"/>
        <v>0.30201342281879195</v>
      </c>
      <c r="O960" s="1" t="s">
        <v>54</v>
      </c>
      <c r="P960" s="1" t="s">
        <v>31</v>
      </c>
      <c r="Q960" s="1" t="s">
        <v>48</v>
      </c>
      <c r="R960" s="1" t="s">
        <v>33</v>
      </c>
      <c r="S960" s="1" t="s">
        <v>73</v>
      </c>
      <c r="T960" s="15" t="s">
        <v>61</v>
      </c>
    </row>
    <row r="961" spans="1:20" x14ac:dyDescent="0.3">
      <c r="A961" s="14">
        <v>960</v>
      </c>
      <c r="B961" s="4">
        <v>44350</v>
      </c>
      <c r="C961" s="1" t="s">
        <v>529</v>
      </c>
      <c r="D961" s="1" t="s">
        <v>20</v>
      </c>
      <c r="E961" s="1" t="s">
        <v>36</v>
      </c>
      <c r="F961" s="2">
        <v>4</v>
      </c>
      <c r="G961" s="5">
        <v>1340</v>
      </c>
      <c r="H961" s="24">
        <f t="shared" si="70"/>
        <v>5360</v>
      </c>
      <c r="I961" s="7">
        <v>0.15</v>
      </c>
      <c r="J961" s="5">
        <f t="shared" si="71"/>
        <v>804</v>
      </c>
      <c r="K961" s="5">
        <f t="shared" si="72"/>
        <v>4556</v>
      </c>
      <c r="L961" s="5">
        <v>990</v>
      </c>
      <c r="M961" s="5">
        <f t="shared" si="73"/>
        <v>596</v>
      </c>
      <c r="N961" s="7">
        <f t="shared" si="74"/>
        <v>0.13081650570676032</v>
      </c>
      <c r="O961" s="1" t="s">
        <v>30</v>
      </c>
      <c r="P961" s="1" t="s">
        <v>76</v>
      </c>
      <c r="Q961" s="1" t="s">
        <v>32</v>
      </c>
      <c r="R961" s="1" t="s">
        <v>66</v>
      </c>
      <c r="S961" s="1" t="s">
        <v>465</v>
      </c>
      <c r="T961" s="15" t="s">
        <v>61</v>
      </c>
    </row>
    <row r="962" spans="1:20" x14ac:dyDescent="0.3">
      <c r="A962" s="14">
        <v>961</v>
      </c>
      <c r="B962" s="4">
        <v>44475</v>
      </c>
      <c r="C962" s="1" t="s">
        <v>532</v>
      </c>
      <c r="D962" s="1" t="s">
        <v>28</v>
      </c>
      <c r="E962" s="1" t="s">
        <v>21</v>
      </c>
      <c r="F962" s="2">
        <v>7</v>
      </c>
      <c r="G962" s="5">
        <v>240</v>
      </c>
      <c r="H962" s="24">
        <f t="shared" ref="H962:H1025" si="75">F962*G962</f>
        <v>1680</v>
      </c>
      <c r="I962" s="7">
        <v>0</v>
      </c>
      <c r="J962" s="5">
        <f t="shared" ref="J962:J1025" si="76">H962*I962</f>
        <v>0</v>
      </c>
      <c r="K962" s="5">
        <f t="shared" ref="K962:K1025" si="77">H962-J962</f>
        <v>1680</v>
      </c>
      <c r="L962" s="5">
        <v>170</v>
      </c>
      <c r="M962" s="5">
        <f t="shared" ref="M962:M1025" si="78">K962-(F962*L962)</f>
        <v>490</v>
      </c>
      <c r="N962" s="7">
        <f t="shared" ref="N962:N1025" si="79">IFERROR(M962/K962,0)</f>
        <v>0.29166666666666669</v>
      </c>
      <c r="O962" s="1" t="s">
        <v>30</v>
      </c>
      <c r="P962" s="1" t="s">
        <v>31</v>
      </c>
      <c r="Q962" s="1" t="s">
        <v>32</v>
      </c>
      <c r="R962" s="1" t="s">
        <v>25</v>
      </c>
      <c r="S962" s="1" t="s">
        <v>409</v>
      </c>
      <c r="T962" s="15" t="s">
        <v>27</v>
      </c>
    </row>
    <row r="963" spans="1:20" x14ac:dyDescent="0.3">
      <c r="A963" s="14">
        <v>962</v>
      </c>
      <c r="B963" s="4">
        <v>44553</v>
      </c>
      <c r="C963" s="1" t="s">
        <v>530</v>
      </c>
      <c r="D963" s="1" t="s">
        <v>28</v>
      </c>
      <c r="E963" s="1" t="s">
        <v>40</v>
      </c>
      <c r="F963" s="2">
        <v>2</v>
      </c>
      <c r="G963" s="5">
        <v>1580</v>
      </c>
      <c r="H963" s="24">
        <f t="shared" si="75"/>
        <v>3160</v>
      </c>
      <c r="I963" s="7">
        <v>0</v>
      </c>
      <c r="J963" s="5">
        <f t="shared" si="76"/>
        <v>0</v>
      </c>
      <c r="K963" s="5">
        <f t="shared" si="77"/>
        <v>3160</v>
      </c>
      <c r="L963" s="5">
        <v>1060</v>
      </c>
      <c r="M963" s="5">
        <f t="shared" si="78"/>
        <v>1040</v>
      </c>
      <c r="N963" s="7">
        <f t="shared" si="79"/>
        <v>0.32911392405063289</v>
      </c>
      <c r="O963" s="1" t="s">
        <v>59</v>
      </c>
      <c r="P963" s="1" t="s">
        <v>31</v>
      </c>
      <c r="Q963" s="1" t="s">
        <v>24</v>
      </c>
      <c r="R963" s="1" t="s">
        <v>38</v>
      </c>
      <c r="S963" s="1" t="s">
        <v>204</v>
      </c>
      <c r="T963" s="15" t="s">
        <v>27</v>
      </c>
    </row>
    <row r="964" spans="1:20" x14ac:dyDescent="0.3">
      <c r="A964" s="14">
        <v>963</v>
      </c>
      <c r="B964" s="4">
        <v>44216</v>
      </c>
      <c r="C964" s="1" t="s">
        <v>529</v>
      </c>
      <c r="D964" s="1" t="s">
        <v>20</v>
      </c>
      <c r="E964" s="1" t="s">
        <v>43</v>
      </c>
      <c r="F964" s="2">
        <v>1</v>
      </c>
      <c r="G964" s="5">
        <v>290</v>
      </c>
      <c r="H964" s="24">
        <f t="shared" si="75"/>
        <v>290</v>
      </c>
      <c r="I964" s="7">
        <v>0.05</v>
      </c>
      <c r="J964" s="5">
        <f t="shared" si="76"/>
        <v>14.5</v>
      </c>
      <c r="K964" s="5">
        <f t="shared" si="77"/>
        <v>275.5</v>
      </c>
      <c r="L964" s="5">
        <v>200</v>
      </c>
      <c r="M964" s="5">
        <f t="shared" si="78"/>
        <v>75.5</v>
      </c>
      <c r="N964" s="7">
        <f t="shared" si="79"/>
        <v>0.27404718693284935</v>
      </c>
      <c r="O964" s="1" t="s">
        <v>30</v>
      </c>
      <c r="P964" s="1" t="s">
        <v>31</v>
      </c>
      <c r="Q964" s="1" t="s">
        <v>24</v>
      </c>
      <c r="R964" s="1" t="s">
        <v>46</v>
      </c>
      <c r="S964" s="1" t="s">
        <v>145</v>
      </c>
      <c r="T964" s="15" t="s">
        <v>35</v>
      </c>
    </row>
    <row r="965" spans="1:20" x14ac:dyDescent="0.3">
      <c r="A965" s="14">
        <v>964</v>
      </c>
      <c r="B965" s="4">
        <v>44275</v>
      </c>
      <c r="C965" s="1" t="s">
        <v>529</v>
      </c>
      <c r="D965" s="1" t="s">
        <v>20</v>
      </c>
      <c r="E965" s="1" t="s">
        <v>45</v>
      </c>
      <c r="F965" s="2">
        <v>8</v>
      </c>
      <c r="G965" s="5">
        <v>210</v>
      </c>
      <c r="H965" s="24">
        <f t="shared" si="75"/>
        <v>1680</v>
      </c>
      <c r="I965" s="7">
        <v>0.1</v>
      </c>
      <c r="J965" s="5">
        <f t="shared" si="76"/>
        <v>168</v>
      </c>
      <c r="K965" s="5">
        <f t="shared" si="77"/>
        <v>1512</v>
      </c>
      <c r="L965" s="5">
        <v>160</v>
      </c>
      <c r="M965" s="5">
        <f t="shared" si="78"/>
        <v>232</v>
      </c>
      <c r="N965" s="7">
        <f t="shared" si="79"/>
        <v>0.15343915343915343</v>
      </c>
      <c r="O965" s="1" t="s">
        <v>41</v>
      </c>
      <c r="P965" s="1" t="s">
        <v>31</v>
      </c>
      <c r="Q965" s="1" t="s">
        <v>32</v>
      </c>
      <c r="R965" s="1" t="s">
        <v>63</v>
      </c>
      <c r="S965" s="1" t="s">
        <v>337</v>
      </c>
      <c r="T965" s="15" t="s">
        <v>61</v>
      </c>
    </row>
    <row r="966" spans="1:20" x14ac:dyDescent="0.3">
      <c r="A966" s="14">
        <v>965</v>
      </c>
      <c r="B966" s="4">
        <v>44457</v>
      </c>
      <c r="C966" s="1" t="s">
        <v>529</v>
      </c>
      <c r="D966" s="1" t="s">
        <v>20</v>
      </c>
      <c r="E966" s="1" t="s">
        <v>29</v>
      </c>
      <c r="F966" s="2">
        <v>5</v>
      </c>
      <c r="G966" s="5">
        <v>2110</v>
      </c>
      <c r="H966" s="24">
        <f t="shared" si="75"/>
        <v>10550</v>
      </c>
      <c r="I966" s="7">
        <v>0.05</v>
      </c>
      <c r="J966" s="5">
        <f t="shared" si="76"/>
        <v>527.5</v>
      </c>
      <c r="K966" s="5">
        <f t="shared" si="77"/>
        <v>10022.5</v>
      </c>
      <c r="L966" s="5">
        <v>1730</v>
      </c>
      <c r="M966" s="5">
        <f t="shared" si="78"/>
        <v>1372.5</v>
      </c>
      <c r="N966" s="7">
        <f t="shared" si="79"/>
        <v>0.13694188076827138</v>
      </c>
      <c r="O966" s="1" t="s">
        <v>22</v>
      </c>
      <c r="P966" s="1" t="s">
        <v>31</v>
      </c>
      <c r="Q966" s="1" t="s">
        <v>24</v>
      </c>
      <c r="R966" s="1" t="s">
        <v>49</v>
      </c>
      <c r="S966" s="1" t="s">
        <v>283</v>
      </c>
      <c r="T966" s="15" t="s">
        <v>35</v>
      </c>
    </row>
    <row r="967" spans="1:20" x14ac:dyDescent="0.3">
      <c r="A967" s="14">
        <v>966</v>
      </c>
      <c r="B967" s="4">
        <v>44343</v>
      </c>
      <c r="C967" s="1" t="s">
        <v>534</v>
      </c>
      <c r="D967" s="1" t="s">
        <v>28</v>
      </c>
      <c r="E967" s="1" t="s">
        <v>36</v>
      </c>
      <c r="F967" s="2">
        <v>6</v>
      </c>
      <c r="G967" s="5">
        <v>1240</v>
      </c>
      <c r="H967" s="24">
        <f t="shared" si="75"/>
        <v>7440</v>
      </c>
      <c r="I967" s="7">
        <v>0.1</v>
      </c>
      <c r="J967" s="5">
        <f t="shared" si="76"/>
        <v>744</v>
      </c>
      <c r="K967" s="5">
        <f t="shared" si="77"/>
        <v>6696</v>
      </c>
      <c r="L967" s="5">
        <v>840</v>
      </c>
      <c r="M967" s="5">
        <f t="shared" si="78"/>
        <v>1656</v>
      </c>
      <c r="N967" s="7">
        <f t="shared" si="79"/>
        <v>0.24731182795698925</v>
      </c>
      <c r="O967" s="1" t="s">
        <v>59</v>
      </c>
      <c r="P967" s="1" t="s">
        <v>31</v>
      </c>
      <c r="Q967" s="1" t="s">
        <v>24</v>
      </c>
      <c r="R967" s="1" t="s">
        <v>63</v>
      </c>
      <c r="S967" s="1" t="s">
        <v>268</v>
      </c>
      <c r="T967" s="15" t="s">
        <v>35</v>
      </c>
    </row>
    <row r="968" spans="1:20" x14ac:dyDescent="0.3">
      <c r="A968" s="14">
        <v>967</v>
      </c>
      <c r="B968" s="4">
        <v>44227</v>
      </c>
      <c r="C968" s="1" t="s">
        <v>531</v>
      </c>
      <c r="D968" s="1" t="s">
        <v>20</v>
      </c>
      <c r="E968" s="1" t="s">
        <v>45</v>
      </c>
      <c r="F968" s="2">
        <v>5</v>
      </c>
      <c r="G968" s="5">
        <v>190</v>
      </c>
      <c r="H968" s="24">
        <f t="shared" si="75"/>
        <v>950</v>
      </c>
      <c r="I968" s="7">
        <v>0.02</v>
      </c>
      <c r="J968" s="5">
        <f t="shared" si="76"/>
        <v>19</v>
      </c>
      <c r="K968" s="5">
        <f t="shared" si="77"/>
        <v>931</v>
      </c>
      <c r="L968" s="5">
        <v>140</v>
      </c>
      <c r="M968" s="5">
        <f t="shared" si="78"/>
        <v>231</v>
      </c>
      <c r="N968" s="7">
        <f t="shared" si="79"/>
        <v>0.24812030075187969</v>
      </c>
      <c r="O968" s="1" t="s">
        <v>22</v>
      </c>
      <c r="P968" s="1" t="s">
        <v>31</v>
      </c>
      <c r="Q968" s="1" t="s">
        <v>48</v>
      </c>
      <c r="R968" s="1" t="s">
        <v>38</v>
      </c>
      <c r="S968" s="1" t="s">
        <v>118</v>
      </c>
      <c r="T968" s="15" t="s">
        <v>35</v>
      </c>
    </row>
    <row r="969" spans="1:20" x14ac:dyDescent="0.3">
      <c r="A969" s="14">
        <v>968</v>
      </c>
      <c r="B969" s="4">
        <v>44501</v>
      </c>
      <c r="C969" s="1" t="s">
        <v>530</v>
      </c>
      <c r="D969" s="1" t="s">
        <v>82</v>
      </c>
      <c r="E969" s="1" t="s">
        <v>21</v>
      </c>
      <c r="F969" s="2">
        <v>7</v>
      </c>
      <c r="G969" s="5">
        <v>210</v>
      </c>
      <c r="H969" s="24">
        <f t="shared" si="75"/>
        <v>1470</v>
      </c>
      <c r="I969" s="7">
        <v>0</v>
      </c>
      <c r="J969" s="5">
        <f t="shared" si="76"/>
        <v>0</v>
      </c>
      <c r="K969" s="5">
        <f t="shared" si="77"/>
        <v>1470</v>
      </c>
      <c r="L969" s="5">
        <v>140</v>
      </c>
      <c r="M969" s="5">
        <f t="shared" si="78"/>
        <v>490</v>
      </c>
      <c r="N969" s="7">
        <f t="shared" si="79"/>
        <v>0.33333333333333331</v>
      </c>
      <c r="O969" s="1" t="s">
        <v>30</v>
      </c>
      <c r="P969" s="1" t="s">
        <v>31</v>
      </c>
      <c r="Q969" s="1" t="s">
        <v>24</v>
      </c>
      <c r="R969" s="1" t="s">
        <v>66</v>
      </c>
      <c r="S969" s="1" t="s">
        <v>89</v>
      </c>
      <c r="T969" s="15" t="s">
        <v>61</v>
      </c>
    </row>
    <row r="970" spans="1:20" x14ac:dyDescent="0.3">
      <c r="A970" s="14">
        <v>969</v>
      </c>
      <c r="B970" s="4">
        <v>44384</v>
      </c>
      <c r="C970" s="1" t="s">
        <v>533</v>
      </c>
      <c r="D970" s="1" t="s">
        <v>82</v>
      </c>
      <c r="E970" s="1" t="s">
        <v>21</v>
      </c>
      <c r="F970" s="2">
        <v>1</v>
      </c>
      <c r="G970" s="5">
        <v>240</v>
      </c>
      <c r="H970" s="24">
        <f t="shared" si="75"/>
        <v>240</v>
      </c>
      <c r="I970" s="7">
        <v>0.1</v>
      </c>
      <c r="J970" s="5">
        <f t="shared" si="76"/>
        <v>24</v>
      </c>
      <c r="K970" s="5">
        <f t="shared" si="77"/>
        <v>216</v>
      </c>
      <c r="L970" s="5">
        <v>170</v>
      </c>
      <c r="M970" s="5">
        <f t="shared" si="78"/>
        <v>46</v>
      </c>
      <c r="N970" s="7">
        <f t="shared" si="79"/>
        <v>0.21296296296296297</v>
      </c>
      <c r="O970" s="1" t="s">
        <v>59</v>
      </c>
      <c r="P970" s="1" t="s">
        <v>31</v>
      </c>
      <c r="Q970" s="1" t="s">
        <v>24</v>
      </c>
      <c r="R970" s="1" t="s">
        <v>38</v>
      </c>
      <c r="S970" s="1" t="s">
        <v>44</v>
      </c>
      <c r="T970" s="15" t="s">
        <v>61</v>
      </c>
    </row>
    <row r="971" spans="1:20" x14ac:dyDescent="0.3">
      <c r="A971" s="14">
        <v>970</v>
      </c>
      <c r="B971" s="4">
        <v>44362</v>
      </c>
      <c r="C971" s="1" t="s">
        <v>534</v>
      </c>
      <c r="D971" s="1" t="s">
        <v>28</v>
      </c>
      <c r="E971" s="1" t="s">
        <v>45</v>
      </c>
      <c r="F971" s="2">
        <v>12</v>
      </c>
      <c r="G971" s="5">
        <v>180</v>
      </c>
      <c r="H971" s="24">
        <f t="shared" si="75"/>
        <v>2160</v>
      </c>
      <c r="I971" s="7">
        <v>0.05</v>
      </c>
      <c r="J971" s="5">
        <f t="shared" si="76"/>
        <v>108</v>
      </c>
      <c r="K971" s="5">
        <f t="shared" si="77"/>
        <v>2052</v>
      </c>
      <c r="L971" s="5">
        <v>110</v>
      </c>
      <c r="M971" s="5">
        <f t="shared" si="78"/>
        <v>732</v>
      </c>
      <c r="N971" s="7">
        <f t="shared" si="79"/>
        <v>0.35672514619883039</v>
      </c>
      <c r="O971" s="1" t="s">
        <v>22</v>
      </c>
      <c r="P971" s="1" t="s">
        <v>31</v>
      </c>
      <c r="Q971" s="1" t="s">
        <v>48</v>
      </c>
      <c r="R971" s="1" t="s">
        <v>38</v>
      </c>
      <c r="S971" s="1" t="s">
        <v>215</v>
      </c>
      <c r="T971" s="15" t="s">
        <v>61</v>
      </c>
    </row>
    <row r="972" spans="1:20" x14ac:dyDescent="0.3">
      <c r="A972" s="14">
        <v>971</v>
      </c>
      <c r="B972" s="4">
        <v>44397</v>
      </c>
      <c r="C972" s="1" t="s">
        <v>531</v>
      </c>
      <c r="D972" s="1" t="s">
        <v>82</v>
      </c>
      <c r="E972" s="1" t="s">
        <v>40</v>
      </c>
      <c r="F972" s="2">
        <v>9</v>
      </c>
      <c r="G972" s="5">
        <v>1490</v>
      </c>
      <c r="H972" s="24">
        <f t="shared" si="75"/>
        <v>13410</v>
      </c>
      <c r="I972" s="7">
        <v>0</v>
      </c>
      <c r="J972" s="5">
        <f t="shared" si="76"/>
        <v>0</v>
      </c>
      <c r="K972" s="5">
        <f t="shared" si="77"/>
        <v>13410</v>
      </c>
      <c r="L972" s="5">
        <v>1010</v>
      </c>
      <c r="M972" s="5">
        <f t="shared" si="78"/>
        <v>4320</v>
      </c>
      <c r="N972" s="7">
        <f t="shared" si="79"/>
        <v>0.32214765100671139</v>
      </c>
      <c r="O972" s="1" t="s">
        <v>59</v>
      </c>
      <c r="P972" s="1" t="s">
        <v>31</v>
      </c>
      <c r="Q972" s="1" t="s">
        <v>37</v>
      </c>
      <c r="R972" s="1" t="s">
        <v>56</v>
      </c>
      <c r="S972" s="1" t="s">
        <v>466</v>
      </c>
      <c r="T972" s="15" t="s">
        <v>35</v>
      </c>
    </row>
    <row r="973" spans="1:20" x14ac:dyDescent="0.3">
      <c r="A973" s="14">
        <v>972</v>
      </c>
      <c r="B973" s="4">
        <v>44413</v>
      </c>
      <c r="C973" s="1" t="s">
        <v>530</v>
      </c>
      <c r="D973" s="1" t="s">
        <v>20</v>
      </c>
      <c r="E973" s="1" t="s">
        <v>43</v>
      </c>
      <c r="F973" s="2">
        <v>2</v>
      </c>
      <c r="G973" s="5">
        <v>340</v>
      </c>
      <c r="H973" s="24">
        <f t="shared" si="75"/>
        <v>680</v>
      </c>
      <c r="I973" s="7">
        <v>0.05</v>
      </c>
      <c r="J973" s="5">
        <f t="shared" si="76"/>
        <v>34</v>
      </c>
      <c r="K973" s="5">
        <f t="shared" si="77"/>
        <v>646</v>
      </c>
      <c r="L973" s="5">
        <v>260</v>
      </c>
      <c r="M973" s="5">
        <f t="shared" si="78"/>
        <v>126</v>
      </c>
      <c r="N973" s="7">
        <f t="shared" si="79"/>
        <v>0.19504643962848298</v>
      </c>
      <c r="O973" s="1" t="s">
        <v>22</v>
      </c>
      <c r="P973" s="1" t="s">
        <v>76</v>
      </c>
      <c r="Q973" s="1" t="s">
        <v>32</v>
      </c>
      <c r="R973" s="1" t="s">
        <v>66</v>
      </c>
      <c r="S973" s="1" t="s">
        <v>116</v>
      </c>
      <c r="T973" s="15" t="s">
        <v>35</v>
      </c>
    </row>
    <row r="974" spans="1:20" x14ac:dyDescent="0.3">
      <c r="A974" s="14">
        <v>973</v>
      </c>
      <c r="B974" s="4">
        <v>44260</v>
      </c>
      <c r="C974" s="1" t="s">
        <v>533</v>
      </c>
      <c r="D974" s="1" t="s">
        <v>80</v>
      </c>
      <c r="E974" s="1" t="s">
        <v>40</v>
      </c>
      <c r="F974" s="2">
        <v>3</v>
      </c>
      <c r="G974" s="5">
        <v>1610</v>
      </c>
      <c r="H974" s="24">
        <f t="shared" si="75"/>
        <v>4830</v>
      </c>
      <c r="I974" s="7">
        <v>0.15</v>
      </c>
      <c r="J974" s="5">
        <f t="shared" si="76"/>
        <v>724.5</v>
      </c>
      <c r="K974" s="5">
        <f t="shared" si="77"/>
        <v>4105.5</v>
      </c>
      <c r="L974" s="5">
        <v>1160</v>
      </c>
      <c r="M974" s="5">
        <f t="shared" si="78"/>
        <v>625.5</v>
      </c>
      <c r="N974" s="7">
        <f t="shared" si="79"/>
        <v>0.15235659481183778</v>
      </c>
      <c r="O974" s="1" t="s">
        <v>41</v>
      </c>
      <c r="P974" s="1" t="s">
        <v>23</v>
      </c>
      <c r="Q974" s="1" t="s">
        <v>32</v>
      </c>
      <c r="R974" s="1" t="s">
        <v>66</v>
      </c>
      <c r="S974" s="1" t="s">
        <v>288</v>
      </c>
      <c r="T974" s="15" t="s">
        <v>61</v>
      </c>
    </row>
    <row r="975" spans="1:20" x14ac:dyDescent="0.3">
      <c r="A975" s="14">
        <v>974</v>
      </c>
      <c r="B975" s="4">
        <v>44207</v>
      </c>
      <c r="C975" s="1" t="s">
        <v>529</v>
      </c>
      <c r="D975" s="1" t="s">
        <v>20</v>
      </c>
      <c r="E975" s="1" t="s">
        <v>43</v>
      </c>
      <c r="F975" s="2">
        <v>5</v>
      </c>
      <c r="G975" s="5">
        <v>310</v>
      </c>
      <c r="H975" s="24">
        <f t="shared" si="75"/>
        <v>1550</v>
      </c>
      <c r="I975" s="7">
        <v>0.05</v>
      </c>
      <c r="J975" s="5">
        <f t="shared" si="76"/>
        <v>77.5</v>
      </c>
      <c r="K975" s="5">
        <f t="shared" si="77"/>
        <v>1472.5</v>
      </c>
      <c r="L975" s="5">
        <v>250</v>
      </c>
      <c r="M975" s="5">
        <f t="shared" si="78"/>
        <v>222.5</v>
      </c>
      <c r="N975" s="7">
        <f t="shared" si="79"/>
        <v>0.15110356536502548</v>
      </c>
      <c r="O975" s="1" t="s">
        <v>30</v>
      </c>
      <c r="P975" s="1" t="s">
        <v>31</v>
      </c>
      <c r="Q975" s="1" t="s">
        <v>37</v>
      </c>
      <c r="R975" s="1" t="s">
        <v>56</v>
      </c>
      <c r="S975" s="1" t="s">
        <v>201</v>
      </c>
      <c r="T975" s="15" t="s">
        <v>61</v>
      </c>
    </row>
    <row r="976" spans="1:20" x14ac:dyDescent="0.3">
      <c r="A976" s="14">
        <v>975</v>
      </c>
      <c r="B976" s="4">
        <v>44261</v>
      </c>
      <c r="C976" s="1" t="s">
        <v>530</v>
      </c>
      <c r="D976" s="1" t="s">
        <v>20</v>
      </c>
      <c r="E976" s="1" t="s">
        <v>29</v>
      </c>
      <c r="F976" s="2">
        <v>12</v>
      </c>
      <c r="G976" s="5">
        <v>2080</v>
      </c>
      <c r="H976" s="24">
        <f t="shared" si="75"/>
        <v>24960</v>
      </c>
      <c r="I976" s="7">
        <v>0.05</v>
      </c>
      <c r="J976" s="5">
        <f t="shared" si="76"/>
        <v>1248</v>
      </c>
      <c r="K976" s="5">
        <f t="shared" si="77"/>
        <v>23712</v>
      </c>
      <c r="L976" s="5">
        <v>1500</v>
      </c>
      <c r="M976" s="5">
        <f t="shared" si="78"/>
        <v>5712</v>
      </c>
      <c r="N976" s="7">
        <f t="shared" si="79"/>
        <v>0.24089068825910931</v>
      </c>
      <c r="O976" s="1" t="s">
        <v>41</v>
      </c>
      <c r="P976" s="1" t="s">
        <v>31</v>
      </c>
      <c r="Q976" s="1" t="s">
        <v>48</v>
      </c>
      <c r="R976" s="1" t="s">
        <v>63</v>
      </c>
      <c r="S976" s="1" t="s">
        <v>180</v>
      </c>
      <c r="T976" s="15" t="s">
        <v>53</v>
      </c>
    </row>
    <row r="977" spans="1:20" x14ac:dyDescent="0.3">
      <c r="A977" s="14">
        <v>976</v>
      </c>
      <c r="B977" s="4">
        <v>44227</v>
      </c>
      <c r="C977" s="1" t="s">
        <v>533</v>
      </c>
      <c r="D977" s="1" t="s">
        <v>28</v>
      </c>
      <c r="E977" s="1" t="s">
        <v>21</v>
      </c>
      <c r="F977" s="2">
        <v>7</v>
      </c>
      <c r="G977" s="5">
        <v>220</v>
      </c>
      <c r="H977" s="24">
        <f t="shared" si="75"/>
        <v>1540</v>
      </c>
      <c r="I977" s="7">
        <v>0.05</v>
      </c>
      <c r="J977" s="5">
        <f t="shared" si="76"/>
        <v>77</v>
      </c>
      <c r="K977" s="5">
        <f t="shared" si="77"/>
        <v>1463</v>
      </c>
      <c r="L977" s="5">
        <v>180</v>
      </c>
      <c r="M977" s="5">
        <f t="shared" si="78"/>
        <v>203</v>
      </c>
      <c r="N977" s="7">
        <f t="shared" si="79"/>
        <v>0.13875598086124402</v>
      </c>
      <c r="O977" s="1" t="s">
        <v>22</v>
      </c>
      <c r="P977" s="1" t="s">
        <v>31</v>
      </c>
      <c r="Q977" s="1" t="s">
        <v>48</v>
      </c>
      <c r="R977" s="1" t="s">
        <v>33</v>
      </c>
      <c r="S977" s="1" t="s">
        <v>467</v>
      </c>
      <c r="T977" s="15" t="s">
        <v>35</v>
      </c>
    </row>
    <row r="978" spans="1:20" x14ac:dyDescent="0.3">
      <c r="A978" s="14">
        <v>977</v>
      </c>
      <c r="B978" s="4">
        <v>44435</v>
      </c>
      <c r="C978" s="1" t="s">
        <v>531</v>
      </c>
      <c r="D978" s="1" t="s">
        <v>28</v>
      </c>
      <c r="E978" s="1" t="s">
        <v>29</v>
      </c>
      <c r="F978" s="2">
        <v>4</v>
      </c>
      <c r="G978" s="5">
        <v>2270</v>
      </c>
      <c r="H978" s="24">
        <f t="shared" si="75"/>
        <v>9080</v>
      </c>
      <c r="I978" s="7">
        <v>0</v>
      </c>
      <c r="J978" s="5">
        <f t="shared" si="76"/>
        <v>0</v>
      </c>
      <c r="K978" s="5">
        <f t="shared" si="77"/>
        <v>9080</v>
      </c>
      <c r="L978" s="5">
        <v>1510</v>
      </c>
      <c r="M978" s="5">
        <f t="shared" si="78"/>
        <v>3040</v>
      </c>
      <c r="N978" s="7">
        <f t="shared" si="79"/>
        <v>0.33480176211453744</v>
      </c>
      <c r="O978" s="1" t="s">
        <v>41</v>
      </c>
      <c r="P978" s="1" t="s">
        <v>31</v>
      </c>
      <c r="Q978" s="1" t="s">
        <v>37</v>
      </c>
      <c r="R978" s="1" t="s">
        <v>50</v>
      </c>
      <c r="S978" s="1" t="s">
        <v>367</v>
      </c>
      <c r="T978" s="15" t="s">
        <v>35</v>
      </c>
    </row>
    <row r="979" spans="1:20" x14ac:dyDescent="0.3">
      <c r="A979" s="14">
        <v>978</v>
      </c>
      <c r="B979" s="4">
        <v>44260</v>
      </c>
      <c r="C979" s="1" t="s">
        <v>530</v>
      </c>
      <c r="D979" s="1" t="s">
        <v>28</v>
      </c>
      <c r="E979" s="1" t="s">
        <v>29</v>
      </c>
      <c r="F979" s="2">
        <v>2</v>
      </c>
      <c r="G979" s="5">
        <v>2020</v>
      </c>
      <c r="H979" s="24">
        <f t="shared" si="75"/>
        <v>4040</v>
      </c>
      <c r="I979" s="7">
        <v>0.05</v>
      </c>
      <c r="J979" s="5">
        <f t="shared" si="76"/>
        <v>202</v>
      </c>
      <c r="K979" s="5">
        <f t="shared" si="77"/>
        <v>3838</v>
      </c>
      <c r="L979" s="5">
        <v>1530</v>
      </c>
      <c r="M979" s="5">
        <f t="shared" si="78"/>
        <v>778</v>
      </c>
      <c r="N979" s="7">
        <f t="shared" si="79"/>
        <v>0.20270974465867639</v>
      </c>
      <c r="O979" s="1" t="s">
        <v>30</v>
      </c>
      <c r="P979" s="1" t="s">
        <v>76</v>
      </c>
      <c r="Q979" s="1" t="s">
        <v>24</v>
      </c>
      <c r="R979" s="1" t="s">
        <v>33</v>
      </c>
      <c r="S979" s="1" t="s">
        <v>72</v>
      </c>
      <c r="T979" s="15" t="s">
        <v>53</v>
      </c>
    </row>
    <row r="980" spans="1:20" x14ac:dyDescent="0.3">
      <c r="A980" s="14">
        <v>979</v>
      </c>
      <c r="B980" s="4">
        <v>44378</v>
      </c>
      <c r="C980" s="1" t="s">
        <v>529</v>
      </c>
      <c r="D980" s="1" t="s">
        <v>20</v>
      </c>
      <c r="E980" s="1" t="s">
        <v>43</v>
      </c>
      <c r="F980" s="2">
        <v>9</v>
      </c>
      <c r="G980" s="5">
        <v>270</v>
      </c>
      <c r="H980" s="24">
        <f t="shared" si="75"/>
        <v>2430</v>
      </c>
      <c r="I980" s="7">
        <v>0.1</v>
      </c>
      <c r="J980" s="5">
        <f t="shared" si="76"/>
        <v>243</v>
      </c>
      <c r="K980" s="5">
        <f t="shared" si="77"/>
        <v>2187</v>
      </c>
      <c r="L980" s="5">
        <v>190</v>
      </c>
      <c r="M980" s="5">
        <f t="shared" si="78"/>
        <v>477</v>
      </c>
      <c r="N980" s="7">
        <f t="shared" si="79"/>
        <v>0.21810699588477367</v>
      </c>
      <c r="O980" s="1" t="s">
        <v>59</v>
      </c>
      <c r="P980" s="1" t="s">
        <v>31</v>
      </c>
      <c r="Q980" s="1" t="s">
        <v>37</v>
      </c>
      <c r="R980" s="1" t="s">
        <v>66</v>
      </c>
      <c r="S980" s="1" t="s">
        <v>443</v>
      </c>
      <c r="T980" s="15" t="s">
        <v>35</v>
      </c>
    </row>
    <row r="981" spans="1:20" x14ac:dyDescent="0.3">
      <c r="A981" s="14">
        <v>980</v>
      </c>
      <c r="B981" s="4">
        <v>44287</v>
      </c>
      <c r="C981" s="1" t="s">
        <v>532</v>
      </c>
      <c r="D981" s="1" t="s">
        <v>20</v>
      </c>
      <c r="E981" s="1" t="s">
        <v>45</v>
      </c>
      <c r="F981" s="2">
        <v>1</v>
      </c>
      <c r="G981" s="5">
        <v>190</v>
      </c>
      <c r="H981" s="24">
        <f t="shared" si="75"/>
        <v>190</v>
      </c>
      <c r="I981" s="7">
        <v>0.02</v>
      </c>
      <c r="J981" s="5">
        <f t="shared" si="76"/>
        <v>3.8000000000000003</v>
      </c>
      <c r="K981" s="5">
        <f t="shared" si="77"/>
        <v>186.2</v>
      </c>
      <c r="L981" s="5">
        <v>130</v>
      </c>
      <c r="M981" s="5">
        <f t="shared" si="78"/>
        <v>56.199999999999989</v>
      </c>
      <c r="N981" s="7">
        <f t="shared" si="79"/>
        <v>0.30182599355531681</v>
      </c>
      <c r="O981" s="1" t="s">
        <v>41</v>
      </c>
      <c r="P981" s="1" t="s">
        <v>31</v>
      </c>
      <c r="Q981" s="1" t="s">
        <v>37</v>
      </c>
      <c r="R981" s="1" t="s">
        <v>46</v>
      </c>
      <c r="S981" s="1" t="s">
        <v>174</v>
      </c>
      <c r="T981" s="15" t="s">
        <v>61</v>
      </c>
    </row>
    <row r="982" spans="1:20" x14ac:dyDescent="0.3">
      <c r="A982" s="14">
        <v>981</v>
      </c>
      <c r="B982" s="4">
        <v>44253</v>
      </c>
      <c r="C982" s="1" t="s">
        <v>532</v>
      </c>
      <c r="D982" s="1" t="s">
        <v>20</v>
      </c>
      <c r="E982" s="1" t="s">
        <v>43</v>
      </c>
      <c r="F982" s="2">
        <v>6</v>
      </c>
      <c r="G982" s="5">
        <v>320</v>
      </c>
      <c r="H982" s="24">
        <f t="shared" si="75"/>
        <v>1920</v>
      </c>
      <c r="I982" s="7">
        <v>0</v>
      </c>
      <c r="J982" s="5">
        <f t="shared" si="76"/>
        <v>0</v>
      </c>
      <c r="K982" s="5">
        <f t="shared" si="77"/>
        <v>1920</v>
      </c>
      <c r="L982" s="5">
        <v>190</v>
      </c>
      <c r="M982" s="5">
        <f t="shared" si="78"/>
        <v>780</v>
      </c>
      <c r="N982" s="7">
        <f t="shared" si="79"/>
        <v>0.40625</v>
      </c>
      <c r="O982" s="1" t="s">
        <v>41</v>
      </c>
      <c r="P982" s="1" t="s">
        <v>31</v>
      </c>
      <c r="Q982" s="1" t="s">
        <v>32</v>
      </c>
      <c r="R982" s="1" t="s">
        <v>25</v>
      </c>
      <c r="S982" s="1" t="s">
        <v>468</v>
      </c>
      <c r="T982" s="15" t="s">
        <v>53</v>
      </c>
    </row>
    <row r="983" spans="1:20" x14ac:dyDescent="0.3">
      <c r="A983" s="14">
        <v>982</v>
      </c>
      <c r="B983" s="4">
        <v>44245</v>
      </c>
      <c r="C983" s="1" t="s">
        <v>530</v>
      </c>
      <c r="D983" s="1" t="s">
        <v>80</v>
      </c>
      <c r="E983" s="1" t="s">
        <v>36</v>
      </c>
      <c r="F983" s="2">
        <v>3</v>
      </c>
      <c r="G983" s="5">
        <v>1100</v>
      </c>
      <c r="H983" s="24">
        <f t="shared" si="75"/>
        <v>3300</v>
      </c>
      <c r="I983" s="7">
        <v>0</v>
      </c>
      <c r="J983" s="5">
        <f t="shared" si="76"/>
        <v>0</v>
      </c>
      <c r="K983" s="5">
        <f t="shared" si="77"/>
        <v>3300</v>
      </c>
      <c r="L983" s="5">
        <v>670</v>
      </c>
      <c r="M983" s="5">
        <f t="shared" si="78"/>
        <v>1290</v>
      </c>
      <c r="N983" s="7">
        <f t="shared" si="79"/>
        <v>0.39090909090909093</v>
      </c>
      <c r="O983" s="1" t="s">
        <v>41</v>
      </c>
      <c r="P983" s="1" t="s">
        <v>31</v>
      </c>
      <c r="Q983" s="1" t="s">
        <v>37</v>
      </c>
      <c r="R983" s="1" t="s">
        <v>46</v>
      </c>
      <c r="S983" s="1" t="s">
        <v>309</v>
      </c>
      <c r="T983" s="15" t="s">
        <v>53</v>
      </c>
    </row>
    <row r="984" spans="1:20" x14ac:dyDescent="0.3">
      <c r="A984" s="14">
        <v>983</v>
      </c>
      <c r="B984" s="4">
        <v>44280</v>
      </c>
      <c r="C984" s="1" t="s">
        <v>533</v>
      </c>
      <c r="D984" s="1" t="s">
        <v>20</v>
      </c>
      <c r="E984" s="1" t="s">
        <v>21</v>
      </c>
      <c r="F984" s="2">
        <v>4</v>
      </c>
      <c r="G984" s="5">
        <v>220</v>
      </c>
      <c r="H984" s="24">
        <f t="shared" si="75"/>
        <v>880</v>
      </c>
      <c r="I984" s="7">
        <v>0.05</v>
      </c>
      <c r="J984" s="5">
        <f t="shared" si="76"/>
        <v>44</v>
      </c>
      <c r="K984" s="5">
        <f t="shared" si="77"/>
        <v>836</v>
      </c>
      <c r="L984" s="5">
        <v>170</v>
      </c>
      <c r="M984" s="5">
        <f t="shared" si="78"/>
        <v>156</v>
      </c>
      <c r="N984" s="7">
        <f t="shared" si="79"/>
        <v>0.18660287081339713</v>
      </c>
      <c r="O984" s="1" t="s">
        <v>59</v>
      </c>
      <c r="P984" s="1" t="s">
        <v>31</v>
      </c>
      <c r="Q984" s="1" t="s">
        <v>24</v>
      </c>
      <c r="R984" s="1" t="s">
        <v>33</v>
      </c>
      <c r="S984" s="1" t="s">
        <v>44</v>
      </c>
      <c r="T984" s="15" t="s">
        <v>35</v>
      </c>
    </row>
    <row r="985" spans="1:20" x14ac:dyDescent="0.3">
      <c r="A985" s="14">
        <v>984</v>
      </c>
      <c r="B985" s="4">
        <v>44559</v>
      </c>
      <c r="C985" s="1" t="s">
        <v>530</v>
      </c>
      <c r="D985" s="1" t="s">
        <v>28</v>
      </c>
      <c r="E985" s="1" t="s">
        <v>40</v>
      </c>
      <c r="F985" s="2">
        <v>3</v>
      </c>
      <c r="G985" s="5">
        <v>1360</v>
      </c>
      <c r="H985" s="24">
        <f t="shared" si="75"/>
        <v>4080</v>
      </c>
      <c r="I985" s="7">
        <v>0.05</v>
      </c>
      <c r="J985" s="5">
        <f t="shared" si="76"/>
        <v>204</v>
      </c>
      <c r="K985" s="5">
        <f t="shared" si="77"/>
        <v>3876</v>
      </c>
      <c r="L985" s="5">
        <v>900</v>
      </c>
      <c r="M985" s="5">
        <f t="shared" si="78"/>
        <v>1176</v>
      </c>
      <c r="N985" s="7">
        <f t="shared" si="79"/>
        <v>0.30340557275541796</v>
      </c>
      <c r="O985" s="1" t="s">
        <v>59</v>
      </c>
      <c r="P985" s="1" t="s">
        <v>31</v>
      </c>
      <c r="Q985" s="1" t="s">
        <v>24</v>
      </c>
      <c r="R985" s="1" t="s">
        <v>50</v>
      </c>
      <c r="S985" s="1" t="s">
        <v>133</v>
      </c>
      <c r="T985" s="15" t="s">
        <v>35</v>
      </c>
    </row>
    <row r="986" spans="1:20" x14ac:dyDescent="0.3">
      <c r="A986" s="14">
        <v>985</v>
      </c>
      <c r="B986" s="4">
        <v>44469</v>
      </c>
      <c r="C986" s="1" t="s">
        <v>529</v>
      </c>
      <c r="D986" s="1" t="s">
        <v>20</v>
      </c>
      <c r="E986" s="1" t="s">
        <v>29</v>
      </c>
      <c r="F986" s="2">
        <v>5</v>
      </c>
      <c r="G986" s="5">
        <v>1890</v>
      </c>
      <c r="H986" s="24">
        <f t="shared" si="75"/>
        <v>9450</v>
      </c>
      <c r="I986" s="7">
        <v>0.15</v>
      </c>
      <c r="J986" s="5">
        <f t="shared" si="76"/>
        <v>1417.5</v>
      </c>
      <c r="K986" s="5">
        <f t="shared" si="77"/>
        <v>8032.5</v>
      </c>
      <c r="L986" s="5">
        <v>1320</v>
      </c>
      <c r="M986" s="5">
        <f t="shared" si="78"/>
        <v>1432.5</v>
      </c>
      <c r="N986" s="7">
        <f t="shared" si="79"/>
        <v>0.17833800186741364</v>
      </c>
      <c r="O986" s="1" t="s">
        <v>30</v>
      </c>
      <c r="P986" s="1" t="s">
        <v>31</v>
      </c>
      <c r="Q986" s="1" t="s">
        <v>32</v>
      </c>
      <c r="R986" s="1" t="s">
        <v>56</v>
      </c>
      <c r="S986" s="1" t="s">
        <v>85</v>
      </c>
      <c r="T986" s="15" t="s">
        <v>53</v>
      </c>
    </row>
    <row r="987" spans="1:20" x14ac:dyDescent="0.3">
      <c r="A987" s="14">
        <v>986</v>
      </c>
      <c r="B987" s="4">
        <v>44302</v>
      </c>
      <c r="C987" s="1" t="s">
        <v>530</v>
      </c>
      <c r="D987" s="1" t="s">
        <v>82</v>
      </c>
      <c r="E987" s="1" t="s">
        <v>43</v>
      </c>
      <c r="F987" s="2">
        <v>6</v>
      </c>
      <c r="G987" s="5">
        <v>310</v>
      </c>
      <c r="H987" s="24">
        <f t="shared" si="75"/>
        <v>1860</v>
      </c>
      <c r="I987" s="7">
        <v>0</v>
      </c>
      <c r="J987" s="5">
        <f t="shared" si="76"/>
        <v>0</v>
      </c>
      <c r="K987" s="5">
        <f t="shared" si="77"/>
        <v>1860</v>
      </c>
      <c r="L987" s="5">
        <v>180</v>
      </c>
      <c r="M987" s="5">
        <f t="shared" si="78"/>
        <v>780</v>
      </c>
      <c r="N987" s="7">
        <f t="shared" si="79"/>
        <v>0.41935483870967744</v>
      </c>
      <c r="O987" s="1" t="s">
        <v>22</v>
      </c>
      <c r="P987" s="1" t="s">
        <v>31</v>
      </c>
      <c r="Q987" s="1" t="s">
        <v>24</v>
      </c>
      <c r="R987" s="1" t="s">
        <v>56</v>
      </c>
      <c r="S987" s="1" t="s">
        <v>350</v>
      </c>
      <c r="T987" s="15" t="s">
        <v>27</v>
      </c>
    </row>
    <row r="988" spans="1:20" x14ac:dyDescent="0.3">
      <c r="A988" s="14">
        <v>987</v>
      </c>
      <c r="B988" s="4">
        <v>44388</v>
      </c>
      <c r="C988" s="1" t="s">
        <v>532</v>
      </c>
      <c r="D988" s="1" t="s">
        <v>20</v>
      </c>
      <c r="E988" s="1" t="s">
        <v>21</v>
      </c>
      <c r="F988" s="2">
        <v>2</v>
      </c>
      <c r="G988" s="5">
        <v>200</v>
      </c>
      <c r="H988" s="24">
        <f t="shared" si="75"/>
        <v>400</v>
      </c>
      <c r="I988" s="7">
        <v>0.15</v>
      </c>
      <c r="J988" s="5">
        <f t="shared" si="76"/>
        <v>60</v>
      </c>
      <c r="K988" s="5">
        <f t="shared" si="77"/>
        <v>340</v>
      </c>
      <c r="L988" s="5">
        <v>150</v>
      </c>
      <c r="M988" s="5">
        <f t="shared" si="78"/>
        <v>40</v>
      </c>
      <c r="N988" s="7">
        <f t="shared" si="79"/>
        <v>0.11764705882352941</v>
      </c>
      <c r="O988" s="1" t="s">
        <v>22</v>
      </c>
      <c r="P988" s="1" t="s">
        <v>31</v>
      </c>
      <c r="Q988" s="1" t="s">
        <v>32</v>
      </c>
      <c r="R988" s="1" t="s">
        <v>88</v>
      </c>
      <c r="S988" s="1" t="s">
        <v>104</v>
      </c>
      <c r="T988" s="15" t="s">
        <v>27</v>
      </c>
    </row>
    <row r="989" spans="1:20" x14ac:dyDescent="0.3">
      <c r="A989" s="14">
        <v>988</v>
      </c>
      <c r="B989" s="4">
        <v>44313</v>
      </c>
      <c r="C989" s="1" t="s">
        <v>532</v>
      </c>
      <c r="D989" s="1" t="s">
        <v>20</v>
      </c>
      <c r="E989" s="1" t="s">
        <v>40</v>
      </c>
      <c r="F989" s="2">
        <v>6</v>
      </c>
      <c r="G989" s="5">
        <v>1560</v>
      </c>
      <c r="H989" s="24">
        <f t="shared" si="75"/>
        <v>9360</v>
      </c>
      <c r="I989" s="7">
        <v>0.05</v>
      </c>
      <c r="J989" s="5">
        <f t="shared" si="76"/>
        <v>468</v>
      </c>
      <c r="K989" s="5">
        <f t="shared" si="77"/>
        <v>8892</v>
      </c>
      <c r="L989" s="5">
        <v>1130</v>
      </c>
      <c r="M989" s="5">
        <f t="shared" si="78"/>
        <v>2112</v>
      </c>
      <c r="N989" s="7">
        <f t="shared" si="79"/>
        <v>0.23751686909581646</v>
      </c>
      <c r="O989" s="1" t="s">
        <v>54</v>
      </c>
      <c r="P989" s="1" t="s">
        <v>31</v>
      </c>
      <c r="Q989" s="1" t="s">
        <v>24</v>
      </c>
      <c r="R989" s="1" t="s">
        <v>46</v>
      </c>
      <c r="S989" s="1" t="s">
        <v>389</v>
      </c>
      <c r="T989" s="15" t="s">
        <v>27</v>
      </c>
    </row>
    <row r="990" spans="1:20" x14ac:dyDescent="0.3">
      <c r="A990" s="14">
        <v>989</v>
      </c>
      <c r="B990" s="4">
        <v>44550</v>
      </c>
      <c r="C990" s="1" t="s">
        <v>533</v>
      </c>
      <c r="D990" s="1" t="s">
        <v>20</v>
      </c>
      <c r="E990" s="1" t="s">
        <v>21</v>
      </c>
      <c r="F990" s="2">
        <v>6</v>
      </c>
      <c r="G990" s="5">
        <v>220</v>
      </c>
      <c r="H990" s="24">
        <f t="shared" si="75"/>
        <v>1320</v>
      </c>
      <c r="I990" s="7">
        <v>0.05</v>
      </c>
      <c r="J990" s="5">
        <f t="shared" si="76"/>
        <v>66</v>
      </c>
      <c r="K990" s="5">
        <f t="shared" si="77"/>
        <v>1254</v>
      </c>
      <c r="L990" s="5">
        <v>130</v>
      </c>
      <c r="M990" s="5">
        <f t="shared" si="78"/>
        <v>474</v>
      </c>
      <c r="N990" s="7">
        <f t="shared" si="79"/>
        <v>0.37799043062200954</v>
      </c>
      <c r="O990" s="1" t="s">
        <v>22</v>
      </c>
      <c r="P990" s="1" t="s">
        <v>31</v>
      </c>
      <c r="Q990" s="1" t="s">
        <v>48</v>
      </c>
      <c r="R990" s="1" t="s">
        <v>46</v>
      </c>
      <c r="S990" s="1" t="s">
        <v>344</v>
      </c>
      <c r="T990" s="15" t="s">
        <v>53</v>
      </c>
    </row>
    <row r="991" spans="1:20" x14ac:dyDescent="0.3">
      <c r="A991" s="14">
        <v>990</v>
      </c>
      <c r="B991" s="4">
        <v>44487</v>
      </c>
      <c r="C991" s="1" t="s">
        <v>529</v>
      </c>
      <c r="D991" s="1" t="s">
        <v>20</v>
      </c>
      <c r="E991" s="1" t="s">
        <v>29</v>
      </c>
      <c r="F991" s="2">
        <v>1</v>
      </c>
      <c r="G991" s="5">
        <v>2170</v>
      </c>
      <c r="H991" s="24">
        <f t="shared" si="75"/>
        <v>2170</v>
      </c>
      <c r="I991" s="7">
        <v>0.1</v>
      </c>
      <c r="J991" s="5">
        <f t="shared" si="76"/>
        <v>217</v>
      </c>
      <c r="K991" s="5">
        <f t="shared" si="77"/>
        <v>1953</v>
      </c>
      <c r="L991" s="5">
        <v>1320</v>
      </c>
      <c r="M991" s="5">
        <f t="shared" si="78"/>
        <v>633</v>
      </c>
      <c r="N991" s="7">
        <f t="shared" si="79"/>
        <v>0.3241167434715822</v>
      </c>
      <c r="O991" s="1" t="s">
        <v>54</v>
      </c>
      <c r="P991" s="1" t="s">
        <v>31</v>
      </c>
      <c r="Q991" s="1" t="s">
        <v>32</v>
      </c>
      <c r="R991" s="1" t="s">
        <v>63</v>
      </c>
      <c r="S991" s="1" t="s">
        <v>297</v>
      </c>
      <c r="T991" s="15" t="s">
        <v>53</v>
      </c>
    </row>
    <row r="992" spans="1:20" x14ac:dyDescent="0.3">
      <c r="A992" s="14">
        <v>991</v>
      </c>
      <c r="B992" s="4">
        <v>44257</v>
      </c>
      <c r="C992" s="1" t="s">
        <v>533</v>
      </c>
      <c r="D992" s="1" t="s">
        <v>82</v>
      </c>
      <c r="E992" s="1" t="s">
        <v>21</v>
      </c>
      <c r="F992" s="2">
        <v>6</v>
      </c>
      <c r="G992" s="5">
        <v>220</v>
      </c>
      <c r="H992" s="24">
        <f t="shared" si="75"/>
        <v>1320</v>
      </c>
      <c r="I992" s="7">
        <v>0</v>
      </c>
      <c r="J992" s="5">
        <f t="shared" si="76"/>
        <v>0</v>
      </c>
      <c r="K992" s="5">
        <f t="shared" si="77"/>
        <v>1320</v>
      </c>
      <c r="L992" s="5">
        <v>130</v>
      </c>
      <c r="M992" s="5">
        <f t="shared" si="78"/>
        <v>540</v>
      </c>
      <c r="N992" s="7">
        <f t="shared" si="79"/>
        <v>0.40909090909090912</v>
      </c>
      <c r="O992" s="1" t="s">
        <v>22</v>
      </c>
      <c r="P992" s="1" t="s">
        <v>31</v>
      </c>
      <c r="Q992" s="1" t="s">
        <v>32</v>
      </c>
      <c r="R992" s="1" t="s">
        <v>49</v>
      </c>
      <c r="S992" s="1" t="s">
        <v>349</v>
      </c>
      <c r="T992" s="15" t="s">
        <v>35</v>
      </c>
    </row>
    <row r="993" spans="1:20" x14ac:dyDescent="0.3">
      <c r="A993" s="14">
        <v>992</v>
      </c>
      <c r="B993" s="4">
        <v>44527</v>
      </c>
      <c r="C993" s="1" t="s">
        <v>532</v>
      </c>
      <c r="D993" s="1" t="s">
        <v>80</v>
      </c>
      <c r="E993" s="1" t="s">
        <v>40</v>
      </c>
      <c r="F993" s="2">
        <v>6</v>
      </c>
      <c r="G993" s="5">
        <v>1440</v>
      </c>
      <c r="H993" s="24">
        <f t="shared" si="75"/>
        <v>8640</v>
      </c>
      <c r="I993" s="7">
        <v>0</v>
      </c>
      <c r="J993" s="5">
        <f t="shared" si="76"/>
        <v>0</v>
      </c>
      <c r="K993" s="5">
        <f t="shared" si="77"/>
        <v>8640</v>
      </c>
      <c r="L993" s="5">
        <v>890</v>
      </c>
      <c r="M993" s="5">
        <f t="shared" si="78"/>
        <v>3300</v>
      </c>
      <c r="N993" s="7">
        <f t="shared" si="79"/>
        <v>0.38194444444444442</v>
      </c>
      <c r="O993" s="1" t="s">
        <v>54</v>
      </c>
      <c r="P993" s="1" t="s">
        <v>31</v>
      </c>
      <c r="Q993" s="1" t="s">
        <v>32</v>
      </c>
      <c r="R993" s="1" t="s">
        <v>46</v>
      </c>
      <c r="S993" s="1" t="s">
        <v>214</v>
      </c>
      <c r="T993" s="15" t="s">
        <v>53</v>
      </c>
    </row>
    <row r="994" spans="1:20" x14ac:dyDescent="0.3">
      <c r="A994" s="14">
        <v>993</v>
      </c>
      <c r="B994" s="4">
        <v>44511</v>
      </c>
      <c r="C994" s="1" t="s">
        <v>534</v>
      </c>
      <c r="D994" s="1" t="s">
        <v>82</v>
      </c>
      <c r="E994" s="1" t="s">
        <v>45</v>
      </c>
      <c r="F994" s="2">
        <v>7</v>
      </c>
      <c r="G994" s="5">
        <v>190</v>
      </c>
      <c r="H994" s="24">
        <f t="shared" si="75"/>
        <v>1330</v>
      </c>
      <c r="I994" s="7">
        <v>0.15</v>
      </c>
      <c r="J994" s="5">
        <f t="shared" si="76"/>
        <v>199.5</v>
      </c>
      <c r="K994" s="5">
        <f t="shared" si="77"/>
        <v>1130.5</v>
      </c>
      <c r="L994" s="5">
        <v>150</v>
      </c>
      <c r="M994" s="5">
        <f t="shared" si="78"/>
        <v>80.5</v>
      </c>
      <c r="N994" s="7">
        <f t="shared" si="79"/>
        <v>7.1207430340557279E-2</v>
      </c>
      <c r="O994" s="1" t="s">
        <v>41</v>
      </c>
      <c r="P994" s="1" t="s">
        <v>31</v>
      </c>
      <c r="Q994" s="1" t="s">
        <v>24</v>
      </c>
      <c r="R994" s="1" t="s">
        <v>66</v>
      </c>
      <c r="S994" s="1" t="s">
        <v>200</v>
      </c>
      <c r="T994" s="15" t="s">
        <v>27</v>
      </c>
    </row>
    <row r="995" spans="1:20" x14ac:dyDescent="0.3">
      <c r="A995" s="14">
        <v>994</v>
      </c>
      <c r="B995" s="4">
        <v>44533</v>
      </c>
      <c r="C995" s="1" t="s">
        <v>534</v>
      </c>
      <c r="D995" s="1" t="s">
        <v>82</v>
      </c>
      <c r="E995" s="1" t="s">
        <v>29</v>
      </c>
      <c r="F995" s="2">
        <v>3</v>
      </c>
      <c r="G995" s="5">
        <v>2070</v>
      </c>
      <c r="H995" s="24">
        <f t="shared" si="75"/>
        <v>6210</v>
      </c>
      <c r="I995" s="7">
        <v>0.05</v>
      </c>
      <c r="J995" s="5">
        <f t="shared" si="76"/>
        <v>310.5</v>
      </c>
      <c r="K995" s="5">
        <f t="shared" si="77"/>
        <v>5899.5</v>
      </c>
      <c r="L995" s="5">
        <v>1400</v>
      </c>
      <c r="M995" s="5">
        <f t="shared" si="78"/>
        <v>1699.5</v>
      </c>
      <c r="N995" s="7">
        <f t="shared" si="79"/>
        <v>0.28807526061530636</v>
      </c>
      <c r="O995" s="1" t="s">
        <v>41</v>
      </c>
      <c r="P995" s="1" t="s">
        <v>31</v>
      </c>
      <c r="Q995" s="1" t="s">
        <v>32</v>
      </c>
      <c r="R995" s="1" t="s">
        <v>38</v>
      </c>
      <c r="S995" s="1" t="s">
        <v>101</v>
      </c>
      <c r="T995" s="15" t="s">
        <v>27</v>
      </c>
    </row>
    <row r="996" spans="1:20" x14ac:dyDescent="0.3">
      <c r="A996" s="14">
        <v>995</v>
      </c>
      <c r="B996" s="4">
        <v>44535</v>
      </c>
      <c r="C996" s="1" t="s">
        <v>531</v>
      </c>
      <c r="D996" s="1" t="s">
        <v>82</v>
      </c>
      <c r="E996" s="1" t="s">
        <v>29</v>
      </c>
      <c r="F996" s="2">
        <v>10</v>
      </c>
      <c r="G996" s="5">
        <v>2410</v>
      </c>
      <c r="H996" s="24">
        <f t="shared" si="75"/>
        <v>24100</v>
      </c>
      <c r="I996" s="7">
        <v>0.05</v>
      </c>
      <c r="J996" s="5">
        <f t="shared" si="76"/>
        <v>1205</v>
      </c>
      <c r="K996" s="5">
        <f t="shared" si="77"/>
        <v>22895</v>
      </c>
      <c r="L996" s="5">
        <v>1770</v>
      </c>
      <c r="M996" s="5">
        <f t="shared" si="78"/>
        <v>5195</v>
      </c>
      <c r="N996" s="7">
        <f t="shared" si="79"/>
        <v>0.22690543786853024</v>
      </c>
      <c r="O996" s="1" t="s">
        <v>41</v>
      </c>
      <c r="P996" s="1" t="s">
        <v>31</v>
      </c>
      <c r="Q996" s="1" t="s">
        <v>32</v>
      </c>
      <c r="R996" s="1" t="s">
        <v>88</v>
      </c>
      <c r="S996" s="1" t="s">
        <v>217</v>
      </c>
      <c r="T996" s="15" t="s">
        <v>61</v>
      </c>
    </row>
    <row r="997" spans="1:20" x14ac:dyDescent="0.3">
      <c r="A997" s="14">
        <v>996</v>
      </c>
      <c r="B997" s="4">
        <v>44213</v>
      </c>
      <c r="C997" s="1" t="s">
        <v>529</v>
      </c>
      <c r="D997" s="1" t="s">
        <v>28</v>
      </c>
      <c r="E997" s="1" t="s">
        <v>21</v>
      </c>
      <c r="F997" s="2">
        <v>2</v>
      </c>
      <c r="G997" s="5">
        <v>200</v>
      </c>
      <c r="H997" s="24">
        <f t="shared" si="75"/>
        <v>400</v>
      </c>
      <c r="I997" s="7">
        <v>0.05</v>
      </c>
      <c r="J997" s="5">
        <f t="shared" si="76"/>
        <v>20</v>
      </c>
      <c r="K997" s="5">
        <f t="shared" si="77"/>
        <v>380</v>
      </c>
      <c r="L997" s="5">
        <v>150</v>
      </c>
      <c r="M997" s="5">
        <f t="shared" si="78"/>
        <v>80</v>
      </c>
      <c r="N997" s="7">
        <f t="shared" si="79"/>
        <v>0.21052631578947367</v>
      </c>
      <c r="O997" s="1" t="s">
        <v>59</v>
      </c>
      <c r="P997" s="1" t="s">
        <v>31</v>
      </c>
      <c r="Q997" s="1" t="s">
        <v>37</v>
      </c>
      <c r="R997" s="1" t="s">
        <v>50</v>
      </c>
      <c r="S997" s="1" t="s">
        <v>400</v>
      </c>
      <c r="T997" s="15" t="s">
        <v>35</v>
      </c>
    </row>
    <row r="998" spans="1:20" x14ac:dyDescent="0.3">
      <c r="A998" s="14">
        <v>997</v>
      </c>
      <c r="B998" s="4">
        <v>44294</v>
      </c>
      <c r="C998" s="1" t="s">
        <v>533</v>
      </c>
      <c r="D998" s="1" t="s">
        <v>20</v>
      </c>
      <c r="E998" s="1" t="s">
        <v>21</v>
      </c>
      <c r="F998" s="2">
        <v>2</v>
      </c>
      <c r="G998" s="5">
        <v>220</v>
      </c>
      <c r="H998" s="24">
        <f t="shared" si="75"/>
        <v>440</v>
      </c>
      <c r="I998" s="7">
        <v>0.02</v>
      </c>
      <c r="J998" s="5">
        <f t="shared" si="76"/>
        <v>8.8000000000000007</v>
      </c>
      <c r="K998" s="5">
        <f t="shared" si="77"/>
        <v>431.2</v>
      </c>
      <c r="L998" s="5">
        <v>180</v>
      </c>
      <c r="M998" s="5">
        <f t="shared" si="78"/>
        <v>71.199999999999989</v>
      </c>
      <c r="N998" s="7">
        <f t="shared" si="79"/>
        <v>0.16512059369202226</v>
      </c>
      <c r="O998" s="1" t="s">
        <v>59</v>
      </c>
      <c r="P998" s="1" t="s">
        <v>31</v>
      </c>
      <c r="Q998" s="1" t="s">
        <v>48</v>
      </c>
      <c r="R998" s="1" t="s">
        <v>56</v>
      </c>
      <c r="S998" s="1" t="s">
        <v>44</v>
      </c>
      <c r="T998" s="15" t="s">
        <v>27</v>
      </c>
    </row>
    <row r="999" spans="1:20" x14ac:dyDescent="0.3">
      <c r="A999" s="14">
        <v>998</v>
      </c>
      <c r="B999" s="4">
        <v>44280</v>
      </c>
      <c r="C999" s="1" t="s">
        <v>531</v>
      </c>
      <c r="D999" s="1" t="s">
        <v>28</v>
      </c>
      <c r="E999" s="1" t="s">
        <v>43</v>
      </c>
      <c r="F999" s="2">
        <v>3</v>
      </c>
      <c r="G999" s="5">
        <v>310</v>
      </c>
      <c r="H999" s="24">
        <f t="shared" si="75"/>
        <v>930</v>
      </c>
      <c r="I999" s="7">
        <v>0</v>
      </c>
      <c r="J999" s="5">
        <f t="shared" si="76"/>
        <v>0</v>
      </c>
      <c r="K999" s="5">
        <f t="shared" si="77"/>
        <v>930</v>
      </c>
      <c r="L999" s="5">
        <v>210</v>
      </c>
      <c r="M999" s="5">
        <f t="shared" si="78"/>
        <v>300</v>
      </c>
      <c r="N999" s="7">
        <f t="shared" si="79"/>
        <v>0.32258064516129031</v>
      </c>
      <c r="O999" s="1" t="s">
        <v>59</v>
      </c>
      <c r="P999" s="1" t="s">
        <v>31</v>
      </c>
      <c r="Q999" s="1" t="s">
        <v>37</v>
      </c>
      <c r="R999" s="1" t="s">
        <v>56</v>
      </c>
      <c r="S999" s="1" t="s">
        <v>392</v>
      </c>
      <c r="T999" s="15" t="s">
        <v>61</v>
      </c>
    </row>
    <row r="1000" spans="1:20" x14ac:dyDescent="0.3">
      <c r="A1000" s="14">
        <v>999</v>
      </c>
      <c r="B1000" s="4">
        <v>44443</v>
      </c>
      <c r="C1000" s="1" t="s">
        <v>529</v>
      </c>
      <c r="D1000" s="1" t="s">
        <v>20</v>
      </c>
      <c r="E1000" s="1" t="s">
        <v>45</v>
      </c>
      <c r="F1000" s="2">
        <v>3</v>
      </c>
      <c r="G1000" s="5">
        <v>200</v>
      </c>
      <c r="H1000" s="24">
        <f t="shared" si="75"/>
        <v>600</v>
      </c>
      <c r="I1000" s="7">
        <v>0.1</v>
      </c>
      <c r="J1000" s="5">
        <f t="shared" si="76"/>
        <v>60</v>
      </c>
      <c r="K1000" s="5">
        <f t="shared" si="77"/>
        <v>540</v>
      </c>
      <c r="L1000" s="5">
        <v>150</v>
      </c>
      <c r="M1000" s="5">
        <f t="shared" si="78"/>
        <v>90</v>
      </c>
      <c r="N1000" s="7">
        <f t="shared" si="79"/>
        <v>0.16666666666666666</v>
      </c>
      <c r="O1000" s="1" t="s">
        <v>54</v>
      </c>
      <c r="P1000" s="1" t="s">
        <v>31</v>
      </c>
      <c r="Q1000" s="1" t="s">
        <v>37</v>
      </c>
      <c r="R1000" s="1" t="s">
        <v>38</v>
      </c>
      <c r="S1000" s="1" t="s">
        <v>452</v>
      </c>
      <c r="T1000" s="15" t="s">
        <v>61</v>
      </c>
    </row>
    <row r="1001" spans="1:20" x14ac:dyDescent="0.3">
      <c r="A1001" s="14">
        <v>1000</v>
      </c>
      <c r="B1001" s="4">
        <v>44252</v>
      </c>
      <c r="C1001" s="1" t="s">
        <v>531</v>
      </c>
      <c r="D1001" s="1" t="s">
        <v>20</v>
      </c>
      <c r="E1001" s="1" t="s">
        <v>21</v>
      </c>
      <c r="F1001" s="2">
        <v>12</v>
      </c>
      <c r="G1001" s="5">
        <v>190</v>
      </c>
      <c r="H1001" s="24">
        <f t="shared" si="75"/>
        <v>2280</v>
      </c>
      <c r="I1001" s="7">
        <v>0.02</v>
      </c>
      <c r="J1001" s="5">
        <f t="shared" si="76"/>
        <v>45.6</v>
      </c>
      <c r="K1001" s="5">
        <f t="shared" si="77"/>
        <v>2234.4</v>
      </c>
      <c r="L1001" s="5">
        <v>110</v>
      </c>
      <c r="M1001" s="5">
        <f t="shared" si="78"/>
        <v>914.40000000000009</v>
      </c>
      <c r="N1001" s="7">
        <f t="shared" si="79"/>
        <v>0.40923737916219122</v>
      </c>
      <c r="O1001" s="1" t="s">
        <v>54</v>
      </c>
      <c r="P1001" s="1" t="s">
        <v>31</v>
      </c>
      <c r="Q1001" s="1" t="s">
        <v>37</v>
      </c>
      <c r="R1001" s="1" t="s">
        <v>50</v>
      </c>
      <c r="S1001" s="1" t="s">
        <v>73</v>
      </c>
      <c r="T1001" s="15" t="s">
        <v>53</v>
      </c>
    </row>
    <row r="1002" spans="1:20" x14ac:dyDescent="0.3">
      <c r="A1002" s="14">
        <v>1001</v>
      </c>
      <c r="B1002" s="4">
        <v>44409</v>
      </c>
      <c r="C1002" s="1" t="s">
        <v>531</v>
      </c>
      <c r="D1002" s="1" t="s">
        <v>82</v>
      </c>
      <c r="E1002" s="1" t="s">
        <v>29</v>
      </c>
      <c r="F1002" s="2">
        <v>12</v>
      </c>
      <c r="G1002" s="5">
        <v>2340</v>
      </c>
      <c r="H1002" s="24">
        <f t="shared" si="75"/>
        <v>28080</v>
      </c>
      <c r="I1002" s="7">
        <v>0.15</v>
      </c>
      <c r="J1002" s="5">
        <f t="shared" si="76"/>
        <v>4212</v>
      </c>
      <c r="K1002" s="5">
        <f t="shared" si="77"/>
        <v>23868</v>
      </c>
      <c r="L1002" s="5">
        <v>1900</v>
      </c>
      <c r="M1002" s="5">
        <f t="shared" si="78"/>
        <v>1068</v>
      </c>
      <c r="N1002" s="7">
        <f t="shared" si="79"/>
        <v>4.4746103569632982E-2</v>
      </c>
      <c r="O1002" s="1" t="s">
        <v>41</v>
      </c>
      <c r="P1002" s="1" t="s">
        <v>31</v>
      </c>
      <c r="Q1002" s="1" t="s">
        <v>32</v>
      </c>
      <c r="R1002" s="1" t="s">
        <v>25</v>
      </c>
      <c r="S1002" s="1" t="s">
        <v>86</v>
      </c>
      <c r="T1002" s="15" t="s">
        <v>27</v>
      </c>
    </row>
    <row r="1003" spans="1:20" x14ac:dyDescent="0.3">
      <c r="A1003" s="14">
        <v>1002</v>
      </c>
      <c r="B1003" s="4">
        <v>44518</v>
      </c>
      <c r="C1003" s="1" t="s">
        <v>532</v>
      </c>
      <c r="D1003" s="1" t="s">
        <v>20</v>
      </c>
      <c r="E1003" s="1" t="s">
        <v>29</v>
      </c>
      <c r="F1003" s="2">
        <v>8</v>
      </c>
      <c r="G1003" s="5">
        <v>2370</v>
      </c>
      <c r="H1003" s="24">
        <f t="shared" si="75"/>
        <v>18960</v>
      </c>
      <c r="I1003" s="7">
        <v>0</v>
      </c>
      <c r="J1003" s="5">
        <f t="shared" si="76"/>
        <v>0</v>
      </c>
      <c r="K1003" s="5">
        <f t="shared" si="77"/>
        <v>18960</v>
      </c>
      <c r="L1003" s="5">
        <v>1390</v>
      </c>
      <c r="M1003" s="5">
        <f t="shared" si="78"/>
        <v>7840</v>
      </c>
      <c r="N1003" s="7">
        <f t="shared" si="79"/>
        <v>0.41350210970464135</v>
      </c>
      <c r="O1003" s="1" t="s">
        <v>22</v>
      </c>
      <c r="P1003" s="1" t="s">
        <v>31</v>
      </c>
      <c r="Q1003" s="1" t="s">
        <v>37</v>
      </c>
      <c r="R1003" s="1" t="s">
        <v>88</v>
      </c>
      <c r="S1003" s="1" t="s">
        <v>69</v>
      </c>
      <c r="T1003" s="15" t="s">
        <v>35</v>
      </c>
    </row>
    <row r="1004" spans="1:20" x14ac:dyDescent="0.3">
      <c r="A1004" s="14">
        <v>1003</v>
      </c>
      <c r="B1004" s="4">
        <v>44197</v>
      </c>
      <c r="C1004" s="1" t="s">
        <v>533</v>
      </c>
      <c r="D1004" s="1" t="s">
        <v>82</v>
      </c>
      <c r="E1004" s="1" t="s">
        <v>29</v>
      </c>
      <c r="F1004" s="2">
        <v>4</v>
      </c>
      <c r="G1004" s="5">
        <v>2370</v>
      </c>
      <c r="H1004" s="24">
        <f t="shared" si="75"/>
        <v>9480</v>
      </c>
      <c r="I1004" s="7">
        <v>0</v>
      </c>
      <c r="J1004" s="5">
        <f t="shared" si="76"/>
        <v>0</v>
      </c>
      <c r="K1004" s="5">
        <f t="shared" si="77"/>
        <v>9480</v>
      </c>
      <c r="L1004" s="5">
        <v>1770</v>
      </c>
      <c r="M1004" s="5">
        <f t="shared" si="78"/>
        <v>2400</v>
      </c>
      <c r="N1004" s="7">
        <f t="shared" si="79"/>
        <v>0.25316455696202533</v>
      </c>
      <c r="O1004" s="1" t="s">
        <v>54</v>
      </c>
      <c r="P1004" s="1" t="s">
        <v>31</v>
      </c>
      <c r="Q1004" s="1" t="s">
        <v>32</v>
      </c>
      <c r="R1004" s="1" t="s">
        <v>38</v>
      </c>
      <c r="S1004" s="1" t="s">
        <v>409</v>
      </c>
      <c r="T1004" s="15" t="s">
        <v>35</v>
      </c>
    </row>
    <row r="1005" spans="1:20" x14ac:dyDescent="0.3">
      <c r="A1005" s="14">
        <v>1004</v>
      </c>
      <c r="B1005" s="4">
        <v>44542</v>
      </c>
      <c r="C1005" s="1" t="s">
        <v>531</v>
      </c>
      <c r="D1005" s="1" t="s">
        <v>80</v>
      </c>
      <c r="E1005" s="1" t="s">
        <v>21</v>
      </c>
      <c r="F1005" s="2">
        <v>10</v>
      </c>
      <c r="G1005" s="5">
        <v>220</v>
      </c>
      <c r="H1005" s="24">
        <f t="shared" si="75"/>
        <v>2200</v>
      </c>
      <c r="I1005" s="7">
        <v>0.05</v>
      </c>
      <c r="J1005" s="5">
        <f t="shared" si="76"/>
        <v>110</v>
      </c>
      <c r="K1005" s="5">
        <f t="shared" si="77"/>
        <v>2090</v>
      </c>
      <c r="L1005" s="5">
        <v>160</v>
      </c>
      <c r="M1005" s="5">
        <f t="shared" si="78"/>
        <v>490</v>
      </c>
      <c r="N1005" s="7">
        <f t="shared" si="79"/>
        <v>0.23444976076555024</v>
      </c>
      <c r="O1005" s="1" t="s">
        <v>30</v>
      </c>
      <c r="P1005" s="1" t="s">
        <v>31</v>
      </c>
      <c r="Q1005" s="1" t="s">
        <v>48</v>
      </c>
      <c r="R1005" s="1" t="s">
        <v>88</v>
      </c>
      <c r="S1005" s="1" t="s">
        <v>125</v>
      </c>
      <c r="T1005" s="15" t="s">
        <v>27</v>
      </c>
    </row>
    <row r="1006" spans="1:20" x14ac:dyDescent="0.3">
      <c r="A1006" s="14">
        <v>1005</v>
      </c>
      <c r="B1006" s="4">
        <v>44218</v>
      </c>
      <c r="C1006" s="1" t="s">
        <v>532</v>
      </c>
      <c r="D1006" s="1" t="s">
        <v>28</v>
      </c>
      <c r="E1006" s="1" t="s">
        <v>45</v>
      </c>
      <c r="F1006" s="2">
        <v>1</v>
      </c>
      <c r="G1006" s="5">
        <v>180</v>
      </c>
      <c r="H1006" s="24">
        <f t="shared" si="75"/>
        <v>180</v>
      </c>
      <c r="I1006" s="7">
        <v>0.02</v>
      </c>
      <c r="J1006" s="5">
        <f t="shared" si="76"/>
        <v>3.6</v>
      </c>
      <c r="K1006" s="5">
        <f t="shared" si="77"/>
        <v>176.4</v>
      </c>
      <c r="L1006" s="5">
        <v>140</v>
      </c>
      <c r="M1006" s="5">
        <f t="shared" si="78"/>
        <v>36.400000000000006</v>
      </c>
      <c r="N1006" s="7">
        <f t="shared" si="79"/>
        <v>0.20634920634920637</v>
      </c>
      <c r="O1006" s="1" t="s">
        <v>30</v>
      </c>
      <c r="P1006" s="1" t="s">
        <v>31</v>
      </c>
      <c r="Q1006" s="1" t="s">
        <v>48</v>
      </c>
      <c r="R1006" s="1" t="s">
        <v>50</v>
      </c>
      <c r="S1006" s="1" t="s">
        <v>151</v>
      </c>
      <c r="T1006" s="15" t="s">
        <v>27</v>
      </c>
    </row>
    <row r="1007" spans="1:20" x14ac:dyDescent="0.3">
      <c r="A1007" s="14">
        <v>1006</v>
      </c>
      <c r="B1007" s="4">
        <v>44263</v>
      </c>
      <c r="C1007" s="1" t="s">
        <v>530</v>
      </c>
      <c r="D1007" s="1" t="s">
        <v>20</v>
      </c>
      <c r="E1007" s="1" t="s">
        <v>29</v>
      </c>
      <c r="F1007" s="2">
        <v>8</v>
      </c>
      <c r="G1007" s="5">
        <v>2030</v>
      </c>
      <c r="H1007" s="24">
        <f t="shared" si="75"/>
        <v>16240</v>
      </c>
      <c r="I1007" s="7">
        <v>0.05</v>
      </c>
      <c r="J1007" s="5">
        <f t="shared" si="76"/>
        <v>812</v>
      </c>
      <c r="K1007" s="5">
        <f t="shared" si="77"/>
        <v>15428</v>
      </c>
      <c r="L1007" s="5">
        <v>1340</v>
      </c>
      <c r="M1007" s="5">
        <f t="shared" si="78"/>
        <v>4708</v>
      </c>
      <c r="N1007" s="7">
        <f t="shared" si="79"/>
        <v>0.30515945035001296</v>
      </c>
      <c r="O1007" s="1" t="s">
        <v>59</v>
      </c>
      <c r="P1007" s="1" t="s">
        <v>31</v>
      </c>
      <c r="Q1007" s="1" t="s">
        <v>32</v>
      </c>
      <c r="R1007" s="1" t="s">
        <v>66</v>
      </c>
      <c r="S1007" s="1" t="s">
        <v>469</v>
      </c>
      <c r="T1007" s="15" t="s">
        <v>27</v>
      </c>
    </row>
    <row r="1008" spans="1:20" x14ac:dyDescent="0.3">
      <c r="A1008" s="14">
        <v>1007</v>
      </c>
      <c r="B1008" s="4">
        <v>44373</v>
      </c>
      <c r="C1008" s="1" t="s">
        <v>533</v>
      </c>
      <c r="D1008" s="1" t="s">
        <v>20</v>
      </c>
      <c r="E1008" s="1" t="s">
        <v>21</v>
      </c>
      <c r="F1008" s="2">
        <v>11</v>
      </c>
      <c r="G1008" s="5">
        <v>210</v>
      </c>
      <c r="H1008" s="24">
        <f t="shared" si="75"/>
        <v>2310</v>
      </c>
      <c r="I1008" s="7">
        <v>0.02</v>
      </c>
      <c r="J1008" s="5">
        <f t="shared" si="76"/>
        <v>46.2</v>
      </c>
      <c r="K1008" s="5">
        <f t="shared" si="77"/>
        <v>2263.8000000000002</v>
      </c>
      <c r="L1008" s="5">
        <v>150</v>
      </c>
      <c r="M1008" s="5">
        <f t="shared" si="78"/>
        <v>613.80000000000018</v>
      </c>
      <c r="N1008" s="7">
        <f t="shared" si="79"/>
        <v>0.2711370262390671</v>
      </c>
      <c r="O1008" s="1" t="s">
        <v>54</v>
      </c>
      <c r="P1008" s="1" t="s">
        <v>31</v>
      </c>
      <c r="Q1008" s="1" t="s">
        <v>32</v>
      </c>
      <c r="R1008" s="1" t="s">
        <v>38</v>
      </c>
      <c r="S1008" s="1" t="s">
        <v>116</v>
      </c>
      <c r="T1008" s="15" t="s">
        <v>35</v>
      </c>
    </row>
    <row r="1009" spans="1:20" x14ac:dyDescent="0.3">
      <c r="A1009" s="14">
        <v>1008</v>
      </c>
      <c r="B1009" s="4">
        <v>44338</v>
      </c>
      <c r="C1009" s="1" t="s">
        <v>531</v>
      </c>
      <c r="D1009" s="1" t="s">
        <v>82</v>
      </c>
      <c r="E1009" s="1" t="s">
        <v>40</v>
      </c>
      <c r="F1009" s="2">
        <v>5</v>
      </c>
      <c r="G1009" s="5">
        <v>1700</v>
      </c>
      <c r="H1009" s="24">
        <f t="shared" si="75"/>
        <v>8500</v>
      </c>
      <c r="I1009" s="7">
        <v>0</v>
      </c>
      <c r="J1009" s="5">
        <f t="shared" si="76"/>
        <v>0</v>
      </c>
      <c r="K1009" s="5">
        <f t="shared" si="77"/>
        <v>8500</v>
      </c>
      <c r="L1009" s="5">
        <v>990</v>
      </c>
      <c r="M1009" s="5">
        <f t="shared" si="78"/>
        <v>3550</v>
      </c>
      <c r="N1009" s="7">
        <f t="shared" si="79"/>
        <v>0.41764705882352943</v>
      </c>
      <c r="O1009" s="1" t="s">
        <v>59</v>
      </c>
      <c r="P1009" s="1" t="s">
        <v>31</v>
      </c>
      <c r="Q1009" s="1" t="s">
        <v>48</v>
      </c>
      <c r="R1009" s="1" t="s">
        <v>50</v>
      </c>
      <c r="S1009" s="1" t="s">
        <v>355</v>
      </c>
      <c r="T1009" s="15" t="s">
        <v>27</v>
      </c>
    </row>
    <row r="1010" spans="1:20" x14ac:dyDescent="0.3">
      <c r="A1010" s="14">
        <v>1009</v>
      </c>
      <c r="B1010" s="4">
        <v>44540</v>
      </c>
      <c r="C1010" s="1" t="s">
        <v>529</v>
      </c>
      <c r="D1010" s="1" t="s">
        <v>82</v>
      </c>
      <c r="E1010" s="1" t="s">
        <v>21</v>
      </c>
      <c r="F1010" s="2">
        <v>5</v>
      </c>
      <c r="G1010" s="5">
        <v>240</v>
      </c>
      <c r="H1010" s="24">
        <f t="shared" si="75"/>
        <v>1200</v>
      </c>
      <c r="I1010" s="7">
        <v>0.05</v>
      </c>
      <c r="J1010" s="5">
        <f t="shared" si="76"/>
        <v>60</v>
      </c>
      <c r="K1010" s="5">
        <f t="shared" si="77"/>
        <v>1140</v>
      </c>
      <c r="L1010" s="5">
        <v>180</v>
      </c>
      <c r="M1010" s="5">
        <f t="shared" si="78"/>
        <v>240</v>
      </c>
      <c r="N1010" s="7">
        <f t="shared" si="79"/>
        <v>0.21052631578947367</v>
      </c>
      <c r="O1010" s="1" t="s">
        <v>22</v>
      </c>
      <c r="P1010" s="1" t="s">
        <v>31</v>
      </c>
      <c r="Q1010" s="1" t="s">
        <v>32</v>
      </c>
      <c r="R1010" s="1" t="s">
        <v>25</v>
      </c>
      <c r="S1010" s="1" t="s">
        <v>470</v>
      </c>
      <c r="T1010" s="15" t="s">
        <v>35</v>
      </c>
    </row>
    <row r="1011" spans="1:20" x14ac:dyDescent="0.3">
      <c r="A1011" s="14">
        <v>1010</v>
      </c>
      <c r="B1011" s="4">
        <v>44230</v>
      </c>
      <c r="C1011" s="1" t="s">
        <v>531</v>
      </c>
      <c r="D1011" s="1" t="s">
        <v>20</v>
      </c>
      <c r="E1011" s="1" t="s">
        <v>21</v>
      </c>
      <c r="F1011" s="2">
        <v>2</v>
      </c>
      <c r="G1011" s="5">
        <v>240</v>
      </c>
      <c r="H1011" s="24">
        <f t="shared" si="75"/>
        <v>480</v>
      </c>
      <c r="I1011" s="7">
        <v>0</v>
      </c>
      <c r="J1011" s="5">
        <f t="shared" si="76"/>
        <v>0</v>
      </c>
      <c r="K1011" s="5">
        <f t="shared" si="77"/>
        <v>480</v>
      </c>
      <c r="L1011" s="5">
        <v>150</v>
      </c>
      <c r="M1011" s="5">
        <f t="shared" si="78"/>
        <v>180</v>
      </c>
      <c r="N1011" s="7">
        <f t="shared" si="79"/>
        <v>0.375</v>
      </c>
      <c r="O1011" s="1" t="s">
        <v>54</v>
      </c>
      <c r="P1011" s="1" t="s">
        <v>76</v>
      </c>
      <c r="Q1011" s="1" t="s">
        <v>32</v>
      </c>
      <c r="R1011" s="1" t="s">
        <v>66</v>
      </c>
      <c r="S1011" s="1" t="s">
        <v>388</v>
      </c>
      <c r="T1011" s="15" t="s">
        <v>35</v>
      </c>
    </row>
    <row r="1012" spans="1:20" x14ac:dyDescent="0.3">
      <c r="A1012" s="14">
        <v>1011</v>
      </c>
      <c r="B1012" s="4">
        <v>44293</v>
      </c>
      <c r="C1012" s="1" t="s">
        <v>533</v>
      </c>
      <c r="D1012" s="1" t="s">
        <v>28</v>
      </c>
      <c r="E1012" s="1" t="s">
        <v>40</v>
      </c>
      <c r="F1012" s="2">
        <v>11</v>
      </c>
      <c r="G1012" s="5">
        <v>1570</v>
      </c>
      <c r="H1012" s="24">
        <f t="shared" si="75"/>
        <v>17270</v>
      </c>
      <c r="I1012" s="7">
        <v>0.15</v>
      </c>
      <c r="J1012" s="5">
        <f t="shared" si="76"/>
        <v>2590.5</v>
      </c>
      <c r="K1012" s="5">
        <f t="shared" si="77"/>
        <v>14679.5</v>
      </c>
      <c r="L1012" s="5">
        <v>920</v>
      </c>
      <c r="M1012" s="5">
        <f t="shared" si="78"/>
        <v>4559.5</v>
      </c>
      <c r="N1012" s="7">
        <f t="shared" si="79"/>
        <v>0.310603222180592</v>
      </c>
      <c r="O1012" s="1" t="s">
        <v>59</v>
      </c>
      <c r="P1012" s="1" t="s">
        <v>31</v>
      </c>
      <c r="Q1012" s="1" t="s">
        <v>37</v>
      </c>
      <c r="R1012" s="1" t="s">
        <v>46</v>
      </c>
      <c r="S1012" s="1" t="s">
        <v>277</v>
      </c>
      <c r="T1012" s="15" t="s">
        <v>61</v>
      </c>
    </row>
    <row r="1013" spans="1:20" x14ac:dyDescent="0.3">
      <c r="A1013" s="14">
        <v>1012</v>
      </c>
      <c r="B1013" s="4">
        <v>44441</v>
      </c>
      <c r="C1013" s="1" t="s">
        <v>530</v>
      </c>
      <c r="D1013" s="1" t="s">
        <v>28</v>
      </c>
      <c r="E1013" s="1" t="s">
        <v>45</v>
      </c>
      <c r="F1013" s="2">
        <v>12</v>
      </c>
      <c r="G1013" s="5">
        <v>180</v>
      </c>
      <c r="H1013" s="24">
        <f t="shared" si="75"/>
        <v>2160</v>
      </c>
      <c r="I1013" s="7">
        <v>0.1</v>
      </c>
      <c r="J1013" s="5">
        <f t="shared" si="76"/>
        <v>216</v>
      </c>
      <c r="K1013" s="5">
        <f t="shared" si="77"/>
        <v>1944</v>
      </c>
      <c r="L1013" s="5">
        <v>130</v>
      </c>
      <c r="M1013" s="5">
        <f t="shared" si="78"/>
        <v>384</v>
      </c>
      <c r="N1013" s="7">
        <f t="shared" si="79"/>
        <v>0.19753086419753085</v>
      </c>
      <c r="O1013" s="1" t="s">
        <v>30</v>
      </c>
      <c r="P1013" s="1" t="s">
        <v>31</v>
      </c>
      <c r="Q1013" s="1" t="s">
        <v>37</v>
      </c>
      <c r="R1013" s="1" t="s">
        <v>66</v>
      </c>
      <c r="S1013" s="1" t="s">
        <v>52</v>
      </c>
      <c r="T1013" s="15" t="s">
        <v>53</v>
      </c>
    </row>
    <row r="1014" spans="1:20" x14ac:dyDescent="0.3">
      <c r="A1014" s="14">
        <v>1013</v>
      </c>
      <c r="B1014" s="4">
        <v>44222</v>
      </c>
      <c r="C1014" s="1" t="s">
        <v>530</v>
      </c>
      <c r="D1014" s="1" t="s">
        <v>20</v>
      </c>
      <c r="E1014" s="1" t="s">
        <v>40</v>
      </c>
      <c r="F1014" s="2">
        <v>4</v>
      </c>
      <c r="G1014" s="5">
        <v>1420</v>
      </c>
      <c r="H1014" s="24">
        <f t="shared" si="75"/>
        <v>5680</v>
      </c>
      <c r="I1014" s="7">
        <v>0.05</v>
      </c>
      <c r="J1014" s="5">
        <f t="shared" si="76"/>
        <v>284</v>
      </c>
      <c r="K1014" s="5">
        <f t="shared" si="77"/>
        <v>5396</v>
      </c>
      <c r="L1014" s="5">
        <v>840</v>
      </c>
      <c r="M1014" s="5">
        <f t="shared" si="78"/>
        <v>2036</v>
      </c>
      <c r="N1014" s="7">
        <f t="shared" si="79"/>
        <v>0.37731653076352856</v>
      </c>
      <c r="O1014" s="1" t="s">
        <v>30</v>
      </c>
      <c r="P1014" s="1" t="s">
        <v>31</v>
      </c>
      <c r="Q1014" s="1" t="s">
        <v>32</v>
      </c>
      <c r="R1014" s="1" t="s">
        <v>46</v>
      </c>
      <c r="S1014" s="1" t="s">
        <v>163</v>
      </c>
      <c r="T1014" s="15" t="s">
        <v>27</v>
      </c>
    </row>
    <row r="1015" spans="1:20" x14ac:dyDescent="0.3">
      <c r="A1015" s="14">
        <v>1014</v>
      </c>
      <c r="B1015" s="4">
        <v>44351</v>
      </c>
      <c r="C1015" s="1" t="s">
        <v>529</v>
      </c>
      <c r="D1015" s="1" t="s">
        <v>80</v>
      </c>
      <c r="E1015" s="1" t="s">
        <v>29</v>
      </c>
      <c r="F1015" s="2">
        <v>11</v>
      </c>
      <c r="G1015" s="5">
        <v>1990</v>
      </c>
      <c r="H1015" s="24">
        <f t="shared" si="75"/>
        <v>21890</v>
      </c>
      <c r="I1015" s="7">
        <v>0.05</v>
      </c>
      <c r="J1015" s="5">
        <f t="shared" si="76"/>
        <v>1094.5</v>
      </c>
      <c r="K1015" s="5">
        <f t="shared" si="77"/>
        <v>20795.5</v>
      </c>
      <c r="L1015" s="5">
        <v>1390</v>
      </c>
      <c r="M1015" s="5">
        <f t="shared" si="78"/>
        <v>5505.5</v>
      </c>
      <c r="N1015" s="7">
        <f t="shared" si="79"/>
        <v>0.26474477651414968</v>
      </c>
      <c r="O1015" s="1" t="s">
        <v>59</v>
      </c>
      <c r="P1015" s="1" t="s">
        <v>31</v>
      </c>
      <c r="Q1015" s="1" t="s">
        <v>32</v>
      </c>
      <c r="R1015" s="1" t="s">
        <v>33</v>
      </c>
      <c r="S1015" s="1" t="s">
        <v>318</v>
      </c>
      <c r="T1015" s="15" t="s">
        <v>61</v>
      </c>
    </row>
    <row r="1016" spans="1:20" x14ac:dyDescent="0.3">
      <c r="A1016" s="14">
        <v>1015</v>
      </c>
      <c r="B1016" s="4">
        <v>44479</v>
      </c>
      <c r="C1016" s="1" t="s">
        <v>533</v>
      </c>
      <c r="D1016" s="1" t="s">
        <v>28</v>
      </c>
      <c r="E1016" s="1" t="s">
        <v>29</v>
      </c>
      <c r="F1016" s="2">
        <v>7</v>
      </c>
      <c r="G1016" s="5">
        <v>2140</v>
      </c>
      <c r="H1016" s="24">
        <f t="shared" si="75"/>
        <v>14980</v>
      </c>
      <c r="I1016" s="7">
        <v>0.02</v>
      </c>
      <c r="J1016" s="5">
        <f t="shared" si="76"/>
        <v>299.60000000000002</v>
      </c>
      <c r="K1016" s="5">
        <f t="shared" si="77"/>
        <v>14680.4</v>
      </c>
      <c r="L1016" s="5">
        <v>1670</v>
      </c>
      <c r="M1016" s="5">
        <f t="shared" si="78"/>
        <v>2990.3999999999996</v>
      </c>
      <c r="N1016" s="7">
        <f t="shared" si="79"/>
        <v>0.203700171657448</v>
      </c>
      <c r="O1016" s="1" t="s">
        <v>30</v>
      </c>
      <c r="P1016" s="1" t="s">
        <v>31</v>
      </c>
      <c r="Q1016" s="1" t="s">
        <v>48</v>
      </c>
      <c r="R1016" s="1" t="s">
        <v>56</v>
      </c>
      <c r="S1016" s="1" t="s">
        <v>132</v>
      </c>
      <c r="T1016" s="15" t="s">
        <v>35</v>
      </c>
    </row>
    <row r="1017" spans="1:20" x14ac:dyDescent="0.3">
      <c r="A1017" s="14">
        <v>1016</v>
      </c>
      <c r="B1017" s="4">
        <v>44321</v>
      </c>
      <c r="C1017" s="1" t="s">
        <v>530</v>
      </c>
      <c r="D1017" s="1" t="s">
        <v>20</v>
      </c>
      <c r="E1017" s="1" t="s">
        <v>36</v>
      </c>
      <c r="F1017" s="2">
        <v>3</v>
      </c>
      <c r="G1017" s="5">
        <v>1130</v>
      </c>
      <c r="H1017" s="24">
        <f t="shared" si="75"/>
        <v>3390</v>
      </c>
      <c r="I1017" s="7">
        <v>0.02</v>
      </c>
      <c r="J1017" s="5">
        <f t="shared" si="76"/>
        <v>67.8</v>
      </c>
      <c r="K1017" s="5">
        <f t="shared" si="77"/>
        <v>3322.2</v>
      </c>
      <c r="L1017" s="5">
        <v>720</v>
      </c>
      <c r="M1017" s="5">
        <f t="shared" si="78"/>
        <v>1162.1999999999998</v>
      </c>
      <c r="N1017" s="7">
        <f t="shared" si="79"/>
        <v>0.34982842694599958</v>
      </c>
      <c r="O1017" s="1" t="s">
        <v>54</v>
      </c>
      <c r="P1017" s="1" t="s">
        <v>31</v>
      </c>
      <c r="Q1017" s="1" t="s">
        <v>32</v>
      </c>
      <c r="R1017" s="1" t="s">
        <v>63</v>
      </c>
      <c r="S1017" s="1" t="s">
        <v>301</v>
      </c>
      <c r="T1017" s="15" t="s">
        <v>61</v>
      </c>
    </row>
    <row r="1018" spans="1:20" x14ac:dyDescent="0.3">
      <c r="A1018" s="14">
        <v>1017</v>
      </c>
      <c r="B1018" s="4">
        <v>44222</v>
      </c>
      <c r="C1018" s="1" t="s">
        <v>529</v>
      </c>
      <c r="D1018" s="1" t="s">
        <v>20</v>
      </c>
      <c r="E1018" s="1" t="s">
        <v>29</v>
      </c>
      <c r="F1018" s="2">
        <v>4</v>
      </c>
      <c r="G1018" s="5">
        <v>2040</v>
      </c>
      <c r="H1018" s="24">
        <f t="shared" si="75"/>
        <v>8160</v>
      </c>
      <c r="I1018" s="7">
        <v>0.05</v>
      </c>
      <c r="J1018" s="5">
        <f t="shared" si="76"/>
        <v>408</v>
      </c>
      <c r="K1018" s="5">
        <f t="shared" si="77"/>
        <v>7752</v>
      </c>
      <c r="L1018" s="5">
        <v>1580</v>
      </c>
      <c r="M1018" s="5">
        <f t="shared" si="78"/>
        <v>1432</v>
      </c>
      <c r="N1018" s="7">
        <f t="shared" si="79"/>
        <v>0.18472652218782248</v>
      </c>
      <c r="O1018" s="1" t="s">
        <v>54</v>
      </c>
      <c r="P1018" s="1" t="s">
        <v>31</v>
      </c>
      <c r="Q1018" s="1" t="s">
        <v>24</v>
      </c>
      <c r="R1018" s="1" t="s">
        <v>50</v>
      </c>
      <c r="S1018" s="1" t="s">
        <v>285</v>
      </c>
      <c r="T1018" s="15" t="s">
        <v>35</v>
      </c>
    </row>
    <row r="1019" spans="1:20" x14ac:dyDescent="0.3">
      <c r="A1019" s="14">
        <v>1018</v>
      </c>
      <c r="B1019" s="4">
        <v>44514</v>
      </c>
      <c r="C1019" s="1" t="s">
        <v>534</v>
      </c>
      <c r="D1019" s="1" t="s">
        <v>20</v>
      </c>
      <c r="E1019" s="1" t="s">
        <v>29</v>
      </c>
      <c r="F1019" s="2">
        <v>6</v>
      </c>
      <c r="G1019" s="5">
        <v>2380</v>
      </c>
      <c r="H1019" s="24">
        <f t="shared" si="75"/>
        <v>14280</v>
      </c>
      <c r="I1019" s="7">
        <v>0</v>
      </c>
      <c r="J1019" s="5">
        <f t="shared" si="76"/>
        <v>0</v>
      </c>
      <c r="K1019" s="5">
        <f t="shared" si="77"/>
        <v>14280</v>
      </c>
      <c r="L1019" s="5">
        <v>1420</v>
      </c>
      <c r="M1019" s="5">
        <f t="shared" si="78"/>
        <v>5760</v>
      </c>
      <c r="N1019" s="7">
        <f t="shared" si="79"/>
        <v>0.40336134453781514</v>
      </c>
      <c r="O1019" s="1" t="s">
        <v>59</v>
      </c>
      <c r="P1019" s="1" t="s">
        <v>31</v>
      </c>
      <c r="Q1019" s="1" t="s">
        <v>32</v>
      </c>
      <c r="R1019" s="1" t="s">
        <v>63</v>
      </c>
      <c r="S1019" s="1" t="s">
        <v>250</v>
      </c>
      <c r="T1019" s="15" t="s">
        <v>35</v>
      </c>
    </row>
    <row r="1020" spans="1:20" x14ac:dyDescent="0.3">
      <c r="A1020" s="14">
        <v>1019</v>
      </c>
      <c r="B1020" s="4">
        <v>44525</v>
      </c>
      <c r="C1020" s="1" t="s">
        <v>531</v>
      </c>
      <c r="D1020" s="1" t="s">
        <v>20</v>
      </c>
      <c r="E1020" s="1" t="s">
        <v>45</v>
      </c>
      <c r="F1020" s="2">
        <v>2</v>
      </c>
      <c r="G1020" s="5">
        <v>180</v>
      </c>
      <c r="H1020" s="24">
        <f t="shared" si="75"/>
        <v>360</v>
      </c>
      <c r="I1020" s="7">
        <v>0.15</v>
      </c>
      <c r="J1020" s="5">
        <f t="shared" si="76"/>
        <v>54</v>
      </c>
      <c r="K1020" s="5">
        <f t="shared" si="77"/>
        <v>306</v>
      </c>
      <c r="L1020" s="5">
        <v>110</v>
      </c>
      <c r="M1020" s="5">
        <f t="shared" si="78"/>
        <v>86</v>
      </c>
      <c r="N1020" s="7">
        <f t="shared" si="79"/>
        <v>0.28104575163398693</v>
      </c>
      <c r="O1020" s="1" t="s">
        <v>41</v>
      </c>
      <c r="P1020" s="1" t="s">
        <v>31</v>
      </c>
      <c r="Q1020" s="1" t="s">
        <v>24</v>
      </c>
      <c r="R1020" s="1" t="s">
        <v>25</v>
      </c>
      <c r="S1020" s="1" t="s">
        <v>151</v>
      </c>
      <c r="T1020" s="15" t="s">
        <v>27</v>
      </c>
    </row>
    <row r="1021" spans="1:20" x14ac:dyDescent="0.3">
      <c r="A1021" s="14">
        <v>1020</v>
      </c>
      <c r="B1021" s="4">
        <v>44227</v>
      </c>
      <c r="C1021" s="1" t="s">
        <v>529</v>
      </c>
      <c r="D1021" s="1" t="s">
        <v>82</v>
      </c>
      <c r="E1021" s="1" t="s">
        <v>45</v>
      </c>
      <c r="F1021" s="2">
        <v>3</v>
      </c>
      <c r="G1021" s="5">
        <v>210</v>
      </c>
      <c r="H1021" s="24">
        <f t="shared" si="75"/>
        <v>630</v>
      </c>
      <c r="I1021" s="7">
        <v>0.1</v>
      </c>
      <c r="J1021" s="5">
        <f t="shared" si="76"/>
        <v>63</v>
      </c>
      <c r="K1021" s="5">
        <f t="shared" si="77"/>
        <v>567</v>
      </c>
      <c r="L1021" s="5">
        <v>130</v>
      </c>
      <c r="M1021" s="5">
        <f t="shared" si="78"/>
        <v>177</v>
      </c>
      <c r="N1021" s="7">
        <f t="shared" si="79"/>
        <v>0.31216931216931215</v>
      </c>
      <c r="O1021" s="1" t="s">
        <v>41</v>
      </c>
      <c r="P1021" s="1" t="s">
        <v>31</v>
      </c>
      <c r="Q1021" s="1" t="s">
        <v>24</v>
      </c>
      <c r="R1021" s="1" t="s">
        <v>38</v>
      </c>
      <c r="S1021" s="1" t="s">
        <v>333</v>
      </c>
      <c r="T1021" s="15" t="s">
        <v>53</v>
      </c>
    </row>
    <row r="1022" spans="1:20" x14ac:dyDescent="0.3">
      <c r="A1022" s="14">
        <v>1021</v>
      </c>
      <c r="B1022" s="4">
        <v>44276</v>
      </c>
      <c r="C1022" s="1" t="s">
        <v>530</v>
      </c>
      <c r="D1022" s="1" t="s">
        <v>20</v>
      </c>
      <c r="E1022" s="1" t="s">
        <v>45</v>
      </c>
      <c r="F1022" s="2">
        <v>3</v>
      </c>
      <c r="G1022" s="5">
        <v>220</v>
      </c>
      <c r="H1022" s="24">
        <f t="shared" si="75"/>
        <v>660</v>
      </c>
      <c r="I1022" s="7">
        <v>0</v>
      </c>
      <c r="J1022" s="5">
        <f t="shared" si="76"/>
        <v>0</v>
      </c>
      <c r="K1022" s="5">
        <f t="shared" si="77"/>
        <v>660</v>
      </c>
      <c r="L1022" s="5">
        <v>150</v>
      </c>
      <c r="M1022" s="5">
        <f t="shared" si="78"/>
        <v>210</v>
      </c>
      <c r="N1022" s="7">
        <f t="shared" si="79"/>
        <v>0.31818181818181818</v>
      </c>
      <c r="O1022" s="1" t="s">
        <v>54</v>
      </c>
      <c r="P1022" s="1" t="s">
        <v>31</v>
      </c>
      <c r="Q1022" s="1" t="s">
        <v>37</v>
      </c>
      <c r="R1022" s="1" t="s">
        <v>46</v>
      </c>
      <c r="S1022" s="1" t="s">
        <v>231</v>
      </c>
      <c r="T1022" s="15" t="s">
        <v>61</v>
      </c>
    </row>
    <row r="1023" spans="1:20" x14ac:dyDescent="0.3">
      <c r="A1023" s="14">
        <v>1022</v>
      </c>
      <c r="B1023" s="4">
        <v>44248</v>
      </c>
      <c r="C1023" s="1" t="s">
        <v>533</v>
      </c>
      <c r="D1023" s="1" t="s">
        <v>20</v>
      </c>
      <c r="E1023" s="1" t="s">
        <v>45</v>
      </c>
      <c r="F1023" s="2">
        <v>3</v>
      </c>
      <c r="G1023" s="5">
        <v>210</v>
      </c>
      <c r="H1023" s="24">
        <f t="shared" si="75"/>
        <v>630</v>
      </c>
      <c r="I1023" s="7">
        <v>0.02</v>
      </c>
      <c r="J1023" s="5">
        <f t="shared" si="76"/>
        <v>12.6</v>
      </c>
      <c r="K1023" s="5">
        <f t="shared" si="77"/>
        <v>617.4</v>
      </c>
      <c r="L1023" s="5">
        <v>150</v>
      </c>
      <c r="M1023" s="5">
        <f t="shared" si="78"/>
        <v>167.39999999999998</v>
      </c>
      <c r="N1023" s="7">
        <f t="shared" si="79"/>
        <v>0.27113702623906705</v>
      </c>
      <c r="O1023" s="1" t="s">
        <v>41</v>
      </c>
      <c r="P1023" s="1" t="s">
        <v>31</v>
      </c>
      <c r="Q1023" s="1" t="s">
        <v>32</v>
      </c>
      <c r="R1023" s="1" t="s">
        <v>49</v>
      </c>
      <c r="S1023" s="1" t="s">
        <v>155</v>
      </c>
      <c r="T1023" s="15" t="s">
        <v>35</v>
      </c>
    </row>
    <row r="1024" spans="1:20" x14ac:dyDescent="0.3">
      <c r="A1024" s="14">
        <v>1023</v>
      </c>
      <c r="B1024" s="4">
        <v>44247</v>
      </c>
      <c r="C1024" s="1" t="s">
        <v>532</v>
      </c>
      <c r="D1024" s="1" t="s">
        <v>20</v>
      </c>
      <c r="E1024" s="1" t="s">
        <v>21</v>
      </c>
      <c r="F1024" s="2">
        <v>5</v>
      </c>
      <c r="G1024" s="5">
        <v>210</v>
      </c>
      <c r="H1024" s="24">
        <f t="shared" si="75"/>
        <v>1050</v>
      </c>
      <c r="I1024" s="7">
        <v>0</v>
      </c>
      <c r="J1024" s="5">
        <f t="shared" si="76"/>
        <v>0</v>
      </c>
      <c r="K1024" s="5">
        <f t="shared" si="77"/>
        <v>1050</v>
      </c>
      <c r="L1024" s="5">
        <v>160</v>
      </c>
      <c r="M1024" s="5">
        <f t="shared" si="78"/>
        <v>250</v>
      </c>
      <c r="N1024" s="7">
        <f t="shared" si="79"/>
        <v>0.23809523809523808</v>
      </c>
      <c r="O1024" s="1" t="s">
        <v>59</v>
      </c>
      <c r="P1024" s="1" t="s">
        <v>31</v>
      </c>
      <c r="Q1024" s="1" t="s">
        <v>37</v>
      </c>
      <c r="R1024" s="1" t="s">
        <v>33</v>
      </c>
      <c r="S1024" s="1" t="s">
        <v>276</v>
      </c>
      <c r="T1024" s="15" t="s">
        <v>53</v>
      </c>
    </row>
    <row r="1025" spans="1:20" x14ac:dyDescent="0.3">
      <c r="A1025" s="14">
        <v>1024</v>
      </c>
      <c r="B1025" s="4">
        <v>44541</v>
      </c>
      <c r="C1025" s="1" t="s">
        <v>531</v>
      </c>
      <c r="D1025" s="1" t="s">
        <v>82</v>
      </c>
      <c r="E1025" s="1" t="s">
        <v>40</v>
      </c>
      <c r="F1025" s="2">
        <v>4</v>
      </c>
      <c r="G1025" s="5">
        <v>1670</v>
      </c>
      <c r="H1025" s="24">
        <f t="shared" si="75"/>
        <v>6680</v>
      </c>
      <c r="I1025" s="7">
        <v>0</v>
      </c>
      <c r="J1025" s="5">
        <f t="shared" si="76"/>
        <v>0</v>
      </c>
      <c r="K1025" s="5">
        <f t="shared" si="77"/>
        <v>6680</v>
      </c>
      <c r="L1025" s="5">
        <v>1150</v>
      </c>
      <c r="M1025" s="5">
        <f t="shared" si="78"/>
        <v>2080</v>
      </c>
      <c r="N1025" s="7">
        <f t="shared" si="79"/>
        <v>0.31137724550898205</v>
      </c>
      <c r="O1025" s="1" t="s">
        <v>22</v>
      </c>
      <c r="P1025" s="1" t="s">
        <v>23</v>
      </c>
      <c r="Q1025" s="1" t="s">
        <v>32</v>
      </c>
      <c r="R1025" s="1" t="s">
        <v>88</v>
      </c>
      <c r="S1025" s="1" t="s">
        <v>237</v>
      </c>
      <c r="T1025" s="15" t="s">
        <v>61</v>
      </c>
    </row>
    <row r="1026" spans="1:20" x14ac:dyDescent="0.3">
      <c r="A1026" s="14">
        <v>1025</v>
      </c>
      <c r="B1026" s="4">
        <v>44198</v>
      </c>
      <c r="C1026" s="1" t="s">
        <v>531</v>
      </c>
      <c r="D1026" s="1" t="s">
        <v>20</v>
      </c>
      <c r="E1026" s="1" t="s">
        <v>36</v>
      </c>
      <c r="F1026" s="2">
        <v>12</v>
      </c>
      <c r="G1026" s="5">
        <v>1240</v>
      </c>
      <c r="H1026" s="24">
        <f t="shared" ref="H1026:H1089" si="80">F1026*G1026</f>
        <v>14880</v>
      </c>
      <c r="I1026" s="7">
        <v>0</v>
      </c>
      <c r="J1026" s="5">
        <f t="shared" ref="J1026:J1089" si="81">H1026*I1026</f>
        <v>0</v>
      </c>
      <c r="K1026" s="5">
        <f t="shared" ref="K1026:K1089" si="82">H1026-J1026</f>
        <v>14880</v>
      </c>
      <c r="L1026" s="5">
        <v>860</v>
      </c>
      <c r="M1026" s="5">
        <f t="shared" ref="M1026:M1089" si="83">K1026-(F1026*L1026)</f>
        <v>4560</v>
      </c>
      <c r="N1026" s="7">
        <f t="shared" ref="N1026:N1089" si="84">IFERROR(M1026/K1026,0)</f>
        <v>0.30645161290322581</v>
      </c>
      <c r="O1026" s="1" t="s">
        <v>54</v>
      </c>
      <c r="P1026" s="1" t="s">
        <v>31</v>
      </c>
      <c r="Q1026" s="1" t="s">
        <v>24</v>
      </c>
      <c r="R1026" s="1" t="s">
        <v>25</v>
      </c>
      <c r="S1026" s="1" t="s">
        <v>162</v>
      </c>
      <c r="T1026" s="15" t="s">
        <v>53</v>
      </c>
    </row>
    <row r="1027" spans="1:20" x14ac:dyDescent="0.3">
      <c r="A1027" s="14">
        <v>1026</v>
      </c>
      <c r="B1027" s="4">
        <v>44308</v>
      </c>
      <c r="C1027" s="1" t="s">
        <v>529</v>
      </c>
      <c r="D1027" s="1" t="s">
        <v>20</v>
      </c>
      <c r="E1027" s="1" t="s">
        <v>36</v>
      </c>
      <c r="F1027" s="2">
        <v>3</v>
      </c>
      <c r="G1027" s="5">
        <v>1230</v>
      </c>
      <c r="H1027" s="24">
        <f t="shared" si="80"/>
        <v>3690</v>
      </c>
      <c r="I1027" s="7">
        <v>0.05</v>
      </c>
      <c r="J1027" s="5">
        <f t="shared" si="81"/>
        <v>184.5</v>
      </c>
      <c r="K1027" s="5">
        <f t="shared" si="82"/>
        <v>3505.5</v>
      </c>
      <c r="L1027" s="5">
        <v>770</v>
      </c>
      <c r="M1027" s="5">
        <f t="shared" si="83"/>
        <v>1195.5</v>
      </c>
      <c r="N1027" s="7">
        <f t="shared" si="84"/>
        <v>0.34103551561831408</v>
      </c>
      <c r="O1027" s="1" t="s">
        <v>59</v>
      </c>
      <c r="P1027" s="1" t="s">
        <v>31</v>
      </c>
      <c r="Q1027" s="1" t="s">
        <v>37</v>
      </c>
      <c r="R1027" s="1" t="s">
        <v>25</v>
      </c>
      <c r="S1027" s="1" t="s">
        <v>471</v>
      </c>
      <c r="T1027" s="15" t="s">
        <v>61</v>
      </c>
    </row>
    <row r="1028" spans="1:20" x14ac:dyDescent="0.3">
      <c r="A1028" s="14">
        <v>1027</v>
      </c>
      <c r="B1028" s="4">
        <v>44317</v>
      </c>
      <c r="C1028" s="1" t="s">
        <v>533</v>
      </c>
      <c r="D1028" s="1" t="s">
        <v>82</v>
      </c>
      <c r="E1028" s="1" t="s">
        <v>36</v>
      </c>
      <c r="F1028" s="2">
        <v>4</v>
      </c>
      <c r="G1028" s="5">
        <v>1190</v>
      </c>
      <c r="H1028" s="24">
        <f t="shared" si="80"/>
        <v>4760</v>
      </c>
      <c r="I1028" s="7">
        <v>0</v>
      </c>
      <c r="J1028" s="5">
        <f t="shared" si="81"/>
        <v>0</v>
      </c>
      <c r="K1028" s="5">
        <f t="shared" si="82"/>
        <v>4760</v>
      </c>
      <c r="L1028" s="5">
        <v>730</v>
      </c>
      <c r="M1028" s="5">
        <f t="shared" si="83"/>
        <v>1840</v>
      </c>
      <c r="N1028" s="7">
        <f t="shared" si="84"/>
        <v>0.38655462184873951</v>
      </c>
      <c r="O1028" s="1" t="s">
        <v>59</v>
      </c>
      <c r="P1028" s="1" t="s">
        <v>31</v>
      </c>
      <c r="Q1028" s="1" t="s">
        <v>32</v>
      </c>
      <c r="R1028" s="1" t="s">
        <v>49</v>
      </c>
      <c r="S1028" s="1" t="s">
        <v>472</v>
      </c>
      <c r="T1028" s="15" t="s">
        <v>35</v>
      </c>
    </row>
    <row r="1029" spans="1:20" x14ac:dyDescent="0.3">
      <c r="A1029" s="14">
        <v>1028</v>
      </c>
      <c r="B1029" s="4">
        <v>44431</v>
      </c>
      <c r="C1029" s="1" t="s">
        <v>529</v>
      </c>
      <c r="D1029" s="1" t="s">
        <v>20</v>
      </c>
      <c r="E1029" s="1" t="s">
        <v>36</v>
      </c>
      <c r="F1029" s="2">
        <v>6</v>
      </c>
      <c r="G1029" s="5">
        <v>1970</v>
      </c>
      <c r="H1029" s="24">
        <f t="shared" si="80"/>
        <v>11820</v>
      </c>
      <c r="I1029" s="7">
        <v>0.02</v>
      </c>
      <c r="J1029" s="5">
        <f t="shared" si="81"/>
        <v>236.4</v>
      </c>
      <c r="K1029" s="5">
        <f t="shared" si="82"/>
        <v>11583.6</v>
      </c>
      <c r="L1029" s="5">
        <v>1380</v>
      </c>
      <c r="M1029" s="5">
        <f t="shared" si="83"/>
        <v>3303.6000000000004</v>
      </c>
      <c r="N1029" s="7">
        <f t="shared" si="84"/>
        <v>0.28519631202734902</v>
      </c>
      <c r="O1029" s="1" t="s">
        <v>41</v>
      </c>
      <c r="P1029" s="1" t="s">
        <v>76</v>
      </c>
      <c r="Q1029" s="1" t="s">
        <v>37</v>
      </c>
      <c r="R1029" s="1" t="s">
        <v>38</v>
      </c>
      <c r="S1029" s="1" t="s">
        <v>288</v>
      </c>
      <c r="T1029" s="15" t="s">
        <v>27</v>
      </c>
    </row>
    <row r="1030" spans="1:20" x14ac:dyDescent="0.3">
      <c r="A1030" s="14">
        <v>1029</v>
      </c>
      <c r="B1030" s="4">
        <v>44509</v>
      </c>
      <c r="C1030" s="1" t="s">
        <v>533</v>
      </c>
      <c r="D1030" s="1" t="s">
        <v>20</v>
      </c>
      <c r="E1030" s="1" t="s">
        <v>29</v>
      </c>
      <c r="F1030" s="2">
        <v>1</v>
      </c>
      <c r="G1030" s="5">
        <v>1970</v>
      </c>
      <c r="H1030" s="24">
        <f t="shared" si="80"/>
        <v>1970</v>
      </c>
      <c r="I1030" s="7">
        <v>0.05</v>
      </c>
      <c r="J1030" s="5">
        <f t="shared" si="81"/>
        <v>98.5</v>
      </c>
      <c r="K1030" s="5">
        <f t="shared" si="82"/>
        <v>1871.5</v>
      </c>
      <c r="L1030" s="5">
        <v>1570</v>
      </c>
      <c r="M1030" s="5">
        <f t="shared" si="83"/>
        <v>301.5</v>
      </c>
      <c r="N1030" s="7">
        <f t="shared" si="84"/>
        <v>0.16110072134651349</v>
      </c>
      <c r="O1030" s="1" t="s">
        <v>41</v>
      </c>
      <c r="P1030" s="1" t="s">
        <v>31</v>
      </c>
      <c r="Q1030" s="1" t="s">
        <v>48</v>
      </c>
      <c r="R1030" s="1" t="s">
        <v>46</v>
      </c>
      <c r="S1030" s="1" t="s">
        <v>453</v>
      </c>
      <c r="T1030" s="15" t="s">
        <v>27</v>
      </c>
    </row>
    <row r="1031" spans="1:20" x14ac:dyDescent="0.3">
      <c r="A1031" s="14">
        <v>1030</v>
      </c>
      <c r="B1031" s="4">
        <v>44259</v>
      </c>
      <c r="C1031" s="1" t="s">
        <v>530</v>
      </c>
      <c r="D1031" s="1" t="s">
        <v>20</v>
      </c>
      <c r="E1031" s="1" t="s">
        <v>36</v>
      </c>
      <c r="F1031" s="2">
        <v>3</v>
      </c>
      <c r="G1031" s="5">
        <v>1240</v>
      </c>
      <c r="H1031" s="24">
        <f t="shared" si="80"/>
        <v>3720</v>
      </c>
      <c r="I1031" s="7">
        <v>0.15</v>
      </c>
      <c r="J1031" s="5">
        <f t="shared" si="81"/>
        <v>558</v>
      </c>
      <c r="K1031" s="5">
        <f t="shared" si="82"/>
        <v>3162</v>
      </c>
      <c r="L1031" s="5">
        <v>920</v>
      </c>
      <c r="M1031" s="5">
        <f t="shared" si="83"/>
        <v>402</v>
      </c>
      <c r="N1031" s="7">
        <f t="shared" si="84"/>
        <v>0.12713472485768501</v>
      </c>
      <c r="O1031" s="1" t="s">
        <v>22</v>
      </c>
      <c r="P1031" s="1" t="s">
        <v>31</v>
      </c>
      <c r="Q1031" s="1" t="s">
        <v>32</v>
      </c>
      <c r="R1031" s="1" t="s">
        <v>49</v>
      </c>
      <c r="S1031" s="1" t="s">
        <v>269</v>
      </c>
      <c r="T1031" s="15" t="s">
        <v>27</v>
      </c>
    </row>
    <row r="1032" spans="1:20" x14ac:dyDescent="0.3">
      <c r="A1032" s="14">
        <v>1031</v>
      </c>
      <c r="B1032" s="4">
        <v>44546</v>
      </c>
      <c r="C1032" s="1" t="s">
        <v>534</v>
      </c>
      <c r="D1032" s="1" t="s">
        <v>20</v>
      </c>
      <c r="E1032" s="1" t="s">
        <v>45</v>
      </c>
      <c r="F1032" s="2">
        <v>12</v>
      </c>
      <c r="G1032" s="5">
        <v>190</v>
      </c>
      <c r="H1032" s="24">
        <f t="shared" si="80"/>
        <v>2280</v>
      </c>
      <c r="I1032" s="7">
        <v>0.05</v>
      </c>
      <c r="J1032" s="5">
        <f t="shared" si="81"/>
        <v>114</v>
      </c>
      <c r="K1032" s="5">
        <f t="shared" si="82"/>
        <v>2166</v>
      </c>
      <c r="L1032" s="5">
        <v>120</v>
      </c>
      <c r="M1032" s="5">
        <f t="shared" si="83"/>
        <v>726</v>
      </c>
      <c r="N1032" s="7">
        <f t="shared" si="84"/>
        <v>0.33518005540166207</v>
      </c>
      <c r="O1032" s="1" t="s">
        <v>54</v>
      </c>
      <c r="P1032" s="1" t="s">
        <v>31</v>
      </c>
      <c r="Q1032" s="1" t="s">
        <v>48</v>
      </c>
      <c r="R1032" s="1" t="s">
        <v>49</v>
      </c>
      <c r="S1032" s="1" t="s">
        <v>249</v>
      </c>
      <c r="T1032" s="15" t="s">
        <v>61</v>
      </c>
    </row>
    <row r="1033" spans="1:20" x14ac:dyDescent="0.3">
      <c r="A1033" s="14">
        <v>1032</v>
      </c>
      <c r="B1033" s="4">
        <v>44534</v>
      </c>
      <c r="C1033" s="1" t="s">
        <v>529</v>
      </c>
      <c r="D1033" s="1" t="s">
        <v>80</v>
      </c>
      <c r="E1033" s="1" t="s">
        <v>29</v>
      </c>
      <c r="F1033" s="2">
        <v>7</v>
      </c>
      <c r="G1033" s="5">
        <v>2280</v>
      </c>
      <c r="H1033" s="24">
        <f t="shared" si="80"/>
        <v>15960</v>
      </c>
      <c r="I1033" s="7">
        <v>0</v>
      </c>
      <c r="J1033" s="5">
        <f t="shared" si="81"/>
        <v>0</v>
      </c>
      <c r="K1033" s="5">
        <f t="shared" si="82"/>
        <v>15960</v>
      </c>
      <c r="L1033" s="5">
        <v>1370</v>
      </c>
      <c r="M1033" s="5">
        <f t="shared" si="83"/>
        <v>6370</v>
      </c>
      <c r="N1033" s="7">
        <f t="shared" si="84"/>
        <v>0.39912280701754388</v>
      </c>
      <c r="O1033" s="1" t="s">
        <v>41</v>
      </c>
      <c r="P1033" s="1" t="s">
        <v>31</v>
      </c>
      <c r="Q1033" s="1" t="s">
        <v>24</v>
      </c>
      <c r="R1033" s="1" t="s">
        <v>56</v>
      </c>
      <c r="S1033" s="1" t="s">
        <v>257</v>
      </c>
      <c r="T1033" s="15" t="s">
        <v>27</v>
      </c>
    </row>
    <row r="1034" spans="1:20" x14ac:dyDescent="0.3">
      <c r="A1034" s="14">
        <v>1033</v>
      </c>
      <c r="B1034" s="4">
        <v>44439</v>
      </c>
      <c r="C1034" s="1" t="s">
        <v>529</v>
      </c>
      <c r="D1034" s="1" t="s">
        <v>82</v>
      </c>
      <c r="E1034" s="1" t="s">
        <v>45</v>
      </c>
      <c r="F1034" s="2">
        <v>3</v>
      </c>
      <c r="G1034" s="5">
        <v>190</v>
      </c>
      <c r="H1034" s="24">
        <f t="shared" si="80"/>
        <v>570</v>
      </c>
      <c r="I1034" s="7">
        <v>0.05</v>
      </c>
      <c r="J1034" s="5">
        <f t="shared" si="81"/>
        <v>28.5</v>
      </c>
      <c r="K1034" s="5">
        <f t="shared" si="82"/>
        <v>541.5</v>
      </c>
      <c r="L1034" s="5">
        <v>130</v>
      </c>
      <c r="M1034" s="5">
        <f t="shared" si="83"/>
        <v>151.5</v>
      </c>
      <c r="N1034" s="7">
        <f t="shared" si="84"/>
        <v>0.27977839335180055</v>
      </c>
      <c r="O1034" s="1" t="s">
        <v>22</v>
      </c>
      <c r="P1034" s="1" t="s">
        <v>31</v>
      </c>
      <c r="Q1034" s="1" t="s">
        <v>24</v>
      </c>
      <c r="R1034" s="1" t="s">
        <v>25</v>
      </c>
      <c r="S1034" s="1" t="s">
        <v>207</v>
      </c>
      <c r="T1034" s="15" t="s">
        <v>27</v>
      </c>
    </row>
    <row r="1035" spans="1:20" x14ac:dyDescent="0.3">
      <c r="A1035" s="14">
        <v>1034</v>
      </c>
      <c r="B1035" s="4">
        <v>44295</v>
      </c>
      <c r="C1035" s="1" t="s">
        <v>529</v>
      </c>
      <c r="D1035" s="1" t="s">
        <v>20</v>
      </c>
      <c r="E1035" s="1" t="s">
        <v>29</v>
      </c>
      <c r="F1035" s="2">
        <v>6</v>
      </c>
      <c r="G1035" s="5">
        <v>1900</v>
      </c>
      <c r="H1035" s="24">
        <f t="shared" si="80"/>
        <v>11400</v>
      </c>
      <c r="I1035" s="7">
        <v>0.05</v>
      </c>
      <c r="J1035" s="5">
        <f t="shared" si="81"/>
        <v>570</v>
      </c>
      <c r="K1035" s="5">
        <f t="shared" si="82"/>
        <v>10830</v>
      </c>
      <c r="L1035" s="5">
        <v>1200</v>
      </c>
      <c r="M1035" s="5">
        <f t="shared" si="83"/>
        <v>3630</v>
      </c>
      <c r="N1035" s="7">
        <f t="shared" si="84"/>
        <v>0.33518005540166207</v>
      </c>
      <c r="O1035" s="1" t="s">
        <v>59</v>
      </c>
      <c r="P1035" s="1" t="s">
        <v>31</v>
      </c>
      <c r="Q1035" s="1" t="s">
        <v>37</v>
      </c>
      <c r="R1035" s="1" t="s">
        <v>38</v>
      </c>
      <c r="S1035" s="1" t="s">
        <v>473</v>
      </c>
      <c r="T1035" s="15" t="s">
        <v>27</v>
      </c>
    </row>
    <row r="1036" spans="1:20" x14ac:dyDescent="0.3">
      <c r="A1036" s="14">
        <v>1035</v>
      </c>
      <c r="B1036" s="4">
        <v>44552</v>
      </c>
      <c r="C1036" s="1" t="s">
        <v>529</v>
      </c>
      <c r="D1036" s="1" t="s">
        <v>82</v>
      </c>
      <c r="E1036" s="1" t="s">
        <v>40</v>
      </c>
      <c r="F1036" s="2">
        <v>12</v>
      </c>
      <c r="G1036" s="5">
        <v>1440</v>
      </c>
      <c r="H1036" s="24">
        <f t="shared" si="80"/>
        <v>17280</v>
      </c>
      <c r="I1036" s="7">
        <v>0</v>
      </c>
      <c r="J1036" s="5">
        <f t="shared" si="81"/>
        <v>0</v>
      </c>
      <c r="K1036" s="5">
        <f t="shared" si="82"/>
        <v>17280</v>
      </c>
      <c r="L1036" s="5">
        <v>1170</v>
      </c>
      <c r="M1036" s="5">
        <f t="shared" si="83"/>
        <v>3240</v>
      </c>
      <c r="N1036" s="7">
        <f t="shared" si="84"/>
        <v>0.1875</v>
      </c>
      <c r="O1036" s="1" t="s">
        <v>59</v>
      </c>
      <c r="P1036" s="1" t="s">
        <v>31</v>
      </c>
      <c r="Q1036" s="1" t="s">
        <v>48</v>
      </c>
      <c r="R1036" s="1" t="s">
        <v>25</v>
      </c>
      <c r="S1036" s="1" t="s">
        <v>444</v>
      </c>
      <c r="T1036" s="15" t="s">
        <v>35</v>
      </c>
    </row>
    <row r="1037" spans="1:20" x14ac:dyDescent="0.3">
      <c r="A1037" s="14">
        <v>1036</v>
      </c>
      <c r="B1037" s="4">
        <v>44449</v>
      </c>
      <c r="C1037" s="1" t="s">
        <v>531</v>
      </c>
      <c r="D1037" s="1" t="s">
        <v>82</v>
      </c>
      <c r="E1037" s="1" t="s">
        <v>43</v>
      </c>
      <c r="F1037" s="2">
        <v>10</v>
      </c>
      <c r="G1037" s="5">
        <v>290</v>
      </c>
      <c r="H1037" s="24">
        <f t="shared" si="80"/>
        <v>2900</v>
      </c>
      <c r="I1037" s="7">
        <v>0.05</v>
      </c>
      <c r="J1037" s="5">
        <f t="shared" si="81"/>
        <v>145</v>
      </c>
      <c r="K1037" s="5">
        <f t="shared" si="82"/>
        <v>2755</v>
      </c>
      <c r="L1037" s="5">
        <v>180</v>
      </c>
      <c r="M1037" s="5">
        <f t="shared" si="83"/>
        <v>955</v>
      </c>
      <c r="N1037" s="7">
        <f t="shared" si="84"/>
        <v>0.34664246823956441</v>
      </c>
      <c r="O1037" s="1" t="s">
        <v>41</v>
      </c>
      <c r="P1037" s="1" t="s">
        <v>31</v>
      </c>
      <c r="Q1037" s="1" t="s">
        <v>48</v>
      </c>
      <c r="R1037" s="1" t="s">
        <v>66</v>
      </c>
      <c r="S1037" s="1" t="s">
        <v>362</v>
      </c>
      <c r="T1037" s="15" t="s">
        <v>27</v>
      </c>
    </row>
    <row r="1038" spans="1:20" x14ac:dyDescent="0.3">
      <c r="A1038" s="14">
        <v>1037</v>
      </c>
      <c r="B1038" s="4">
        <v>44324</v>
      </c>
      <c r="C1038" s="1" t="s">
        <v>533</v>
      </c>
      <c r="D1038" s="1" t="s">
        <v>20</v>
      </c>
      <c r="E1038" s="1" t="s">
        <v>45</v>
      </c>
      <c r="F1038" s="2">
        <v>2</v>
      </c>
      <c r="G1038" s="5">
        <v>170</v>
      </c>
      <c r="H1038" s="24">
        <f t="shared" si="80"/>
        <v>340</v>
      </c>
      <c r="I1038" s="7">
        <v>0</v>
      </c>
      <c r="J1038" s="5">
        <f t="shared" si="81"/>
        <v>0</v>
      </c>
      <c r="K1038" s="5">
        <f t="shared" si="82"/>
        <v>340</v>
      </c>
      <c r="L1038" s="5">
        <v>120</v>
      </c>
      <c r="M1038" s="5">
        <f t="shared" si="83"/>
        <v>100</v>
      </c>
      <c r="N1038" s="7">
        <f t="shared" si="84"/>
        <v>0.29411764705882354</v>
      </c>
      <c r="O1038" s="1" t="s">
        <v>59</v>
      </c>
      <c r="P1038" s="1" t="s">
        <v>31</v>
      </c>
      <c r="Q1038" s="1" t="s">
        <v>37</v>
      </c>
      <c r="R1038" s="1" t="s">
        <v>33</v>
      </c>
      <c r="S1038" s="1" t="s">
        <v>370</v>
      </c>
      <c r="T1038" s="15" t="s">
        <v>61</v>
      </c>
    </row>
    <row r="1039" spans="1:20" x14ac:dyDescent="0.3">
      <c r="A1039" s="14">
        <v>1038</v>
      </c>
      <c r="B1039" s="4">
        <v>44362</v>
      </c>
      <c r="C1039" s="1" t="s">
        <v>531</v>
      </c>
      <c r="D1039" s="1" t="s">
        <v>20</v>
      </c>
      <c r="E1039" s="1" t="s">
        <v>21</v>
      </c>
      <c r="F1039" s="2">
        <v>4</v>
      </c>
      <c r="G1039" s="5">
        <v>200</v>
      </c>
      <c r="H1039" s="24">
        <f t="shared" si="80"/>
        <v>800</v>
      </c>
      <c r="I1039" s="7">
        <v>0.05</v>
      </c>
      <c r="J1039" s="5">
        <f t="shared" si="81"/>
        <v>40</v>
      </c>
      <c r="K1039" s="5">
        <f t="shared" si="82"/>
        <v>760</v>
      </c>
      <c r="L1039" s="5">
        <v>160</v>
      </c>
      <c r="M1039" s="5">
        <f t="shared" si="83"/>
        <v>120</v>
      </c>
      <c r="N1039" s="7">
        <f t="shared" si="84"/>
        <v>0.15789473684210525</v>
      </c>
      <c r="O1039" s="1" t="s">
        <v>30</v>
      </c>
      <c r="P1039" s="1" t="s">
        <v>31</v>
      </c>
      <c r="Q1039" s="1" t="s">
        <v>48</v>
      </c>
      <c r="R1039" s="1" t="s">
        <v>66</v>
      </c>
      <c r="S1039" s="1" t="s">
        <v>112</v>
      </c>
      <c r="T1039" s="15" t="s">
        <v>27</v>
      </c>
    </row>
    <row r="1040" spans="1:20" x14ac:dyDescent="0.3">
      <c r="A1040" s="14">
        <v>1039</v>
      </c>
      <c r="B1040" s="4">
        <v>44360</v>
      </c>
      <c r="C1040" s="1" t="s">
        <v>529</v>
      </c>
      <c r="D1040" s="1" t="s">
        <v>20</v>
      </c>
      <c r="E1040" s="1" t="s">
        <v>21</v>
      </c>
      <c r="F1040" s="2">
        <v>9</v>
      </c>
      <c r="G1040" s="5">
        <v>210</v>
      </c>
      <c r="H1040" s="24">
        <f t="shared" si="80"/>
        <v>1890</v>
      </c>
      <c r="I1040" s="7">
        <v>0.15</v>
      </c>
      <c r="J1040" s="5">
        <f t="shared" si="81"/>
        <v>283.5</v>
      </c>
      <c r="K1040" s="5">
        <f t="shared" si="82"/>
        <v>1606.5</v>
      </c>
      <c r="L1040" s="5">
        <v>150</v>
      </c>
      <c r="M1040" s="5">
        <f t="shared" si="83"/>
        <v>256.5</v>
      </c>
      <c r="N1040" s="7">
        <f t="shared" si="84"/>
        <v>0.15966386554621848</v>
      </c>
      <c r="O1040" s="1" t="s">
        <v>41</v>
      </c>
      <c r="P1040" s="1" t="s">
        <v>31</v>
      </c>
      <c r="Q1040" s="1" t="s">
        <v>37</v>
      </c>
      <c r="R1040" s="1" t="s">
        <v>46</v>
      </c>
      <c r="S1040" s="1" t="s">
        <v>120</v>
      </c>
      <c r="T1040" s="15" t="s">
        <v>53</v>
      </c>
    </row>
    <row r="1041" spans="1:20" x14ac:dyDescent="0.3">
      <c r="A1041" s="14">
        <v>1040</v>
      </c>
      <c r="B1041" s="4">
        <v>44287</v>
      </c>
      <c r="C1041" s="1" t="s">
        <v>533</v>
      </c>
      <c r="D1041" s="1" t="s">
        <v>20</v>
      </c>
      <c r="E1041" s="1" t="s">
        <v>29</v>
      </c>
      <c r="F1041" s="2">
        <v>1</v>
      </c>
      <c r="G1041" s="5">
        <v>2360</v>
      </c>
      <c r="H1041" s="24">
        <f t="shared" si="80"/>
        <v>2360</v>
      </c>
      <c r="I1041" s="7">
        <v>0.15</v>
      </c>
      <c r="J1041" s="5">
        <f t="shared" si="81"/>
        <v>354</v>
      </c>
      <c r="K1041" s="5">
        <f t="shared" si="82"/>
        <v>2006</v>
      </c>
      <c r="L1041" s="5">
        <v>1660</v>
      </c>
      <c r="M1041" s="5">
        <f t="shared" si="83"/>
        <v>346</v>
      </c>
      <c r="N1041" s="7">
        <f t="shared" si="84"/>
        <v>0.17248255234297108</v>
      </c>
      <c r="O1041" s="1" t="s">
        <v>59</v>
      </c>
      <c r="P1041" s="1" t="s">
        <v>31</v>
      </c>
      <c r="Q1041" s="1" t="s">
        <v>48</v>
      </c>
      <c r="R1041" s="1" t="s">
        <v>38</v>
      </c>
      <c r="S1041" s="1" t="s">
        <v>215</v>
      </c>
      <c r="T1041" s="15" t="s">
        <v>61</v>
      </c>
    </row>
    <row r="1042" spans="1:20" x14ac:dyDescent="0.3">
      <c r="A1042" s="14">
        <v>1041</v>
      </c>
      <c r="B1042" s="4">
        <v>44544</v>
      </c>
      <c r="C1042" s="1" t="s">
        <v>529</v>
      </c>
      <c r="D1042" s="1" t="s">
        <v>28</v>
      </c>
      <c r="E1042" s="1" t="s">
        <v>43</v>
      </c>
      <c r="F1042" s="2">
        <v>11</v>
      </c>
      <c r="G1042" s="5">
        <v>340</v>
      </c>
      <c r="H1042" s="24">
        <f t="shared" si="80"/>
        <v>3740</v>
      </c>
      <c r="I1042" s="7">
        <v>0.02</v>
      </c>
      <c r="J1042" s="5">
        <f t="shared" si="81"/>
        <v>74.8</v>
      </c>
      <c r="K1042" s="5">
        <f t="shared" si="82"/>
        <v>3665.2</v>
      </c>
      <c r="L1042" s="5">
        <v>240</v>
      </c>
      <c r="M1042" s="5">
        <f t="shared" si="83"/>
        <v>1025.1999999999998</v>
      </c>
      <c r="N1042" s="7">
        <f t="shared" si="84"/>
        <v>0.27971188475390152</v>
      </c>
      <c r="O1042" s="1" t="s">
        <v>41</v>
      </c>
      <c r="P1042" s="1" t="s">
        <v>31</v>
      </c>
      <c r="Q1042" s="1" t="s">
        <v>48</v>
      </c>
      <c r="R1042" s="1" t="s">
        <v>63</v>
      </c>
      <c r="S1042" s="1" t="s">
        <v>110</v>
      </c>
      <c r="T1042" s="15" t="s">
        <v>27</v>
      </c>
    </row>
    <row r="1043" spans="1:20" x14ac:dyDescent="0.3">
      <c r="A1043" s="14">
        <v>1042</v>
      </c>
      <c r="B1043" s="4">
        <v>44424</v>
      </c>
      <c r="C1043" s="1" t="s">
        <v>534</v>
      </c>
      <c r="D1043" s="1" t="s">
        <v>82</v>
      </c>
      <c r="E1043" s="1" t="s">
        <v>45</v>
      </c>
      <c r="F1043" s="2">
        <v>9</v>
      </c>
      <c r="G1043" s="5">
        <v>200</v>
      </c>
      <c r="H1043" s="24">
        <f t="shared" si="80"/>
        <v>1800</v>
      </c>
      <c r="I1043" s="7">
        <v>0.15</v>
      </c>
      <c r="J1043" s="5">
        <f t="shared" si="81"/>
        <v>270</v>
      </c>
      <c r="K1043" s="5">
        <f t="shared" si="82"/>
        <v>1530</v>
      </c>
      <c r="L1043" s="5">
        <v>150</v>
      </c>
      <c r="M1043" s="5">
        <f t="shared" si="83"/>
        <v>180</v>
      </c>
      <c r="N1043" s="7">
        <f t="shared" si="84"/>
        <v>0.11764705882352941</v>
      </c>
      <c r="O1043" s="1" t="s">
        <v>22</v>
      </c>
      <c r="P1043" s="1" t="s">
        <v>23</v>
      </c>
      <c r="Q1043" s="1" t="s">
        <v>48</v>
      </c>
      <c r="R1043" s="1" t="s">
        <v>33</v>
      </c>
      <c r="S1043" s="1" t="s">
        <v>474</v>
      </c>
      <c r="T1043" s="15" t="s">
        <v>27</v>
      </c>
    </row>
    <row r="1044" spans="1:20" x14ac:dyDescent="0.3">
      <c r="A1044" s="14">
        <v>1043</v>
      </c>
      <c r="B1044" s="4">
        <v>44233</v>
      </c>
      <c r="C1044" s="1" t="s">
        <v>529</v>
      </c>
      <c r="D1044" s="1" t="s">
        <v>82</v>
      </c>
      <c r="E1044" s="1" t="s">
        <v>21</v>
      </c>
      <c r="F1044" s="2">
        <v>9</v>
      </c>
      <c r="G1044" s="5">
        <v>230</v>
      </c>
      <c r="H1044" s="24">
        <f t="shared" si="80"/>
        <v>2070</v>
      </c>
      <c r="I1044" s="7">
        <v>0.02</v>
      </c>
      <c r="J1044" s="5">
        <f t="shared" si="81"/>
        <v>41.4</v>
      </c>
      <c r="K1044" s="5">
        <f t="shared" si="82"/>
        <v>2028.6</v>
      </c>
      <c r="L1044" s="5">
        <v>170</v>
      </c>
      <c r="M1044" s="5">
        <f t="shared" si="83"/>
        <v>498.59999999999991</v>
      </c>
      <c r="N1044" s="7">
        <f t="shared" si="84"/>
        <v>0.24578527062999109</v>
      </c>
      <c r="O1044" s="1" t="s">
        <v>22</v>
      </c>
      <c r="P1044" s="1" t="s">
        <v>31</v>
      </c>
      <c r="Q1044" s="1" t="s">
        <v>48</v>
      </c>
      <c r="R1044" s="1" t="s">
        <v>63</v>
      </c>
      <c r="S1044" s="1" t="s">
        <v>203</v>
      </c>
      <c r="T1044" s="15" t="s">
        <v>27</v>
      </c>
    </row>
    <row r="1045" spans="1:20" x14ac:dyDescent="0.3">
      <c r="A1045" s="14">
        <v>1044</v>
      </c>
      <c r="B1045" s="4">
        <v>44476</v>
      </c>
      <c r="C1045" s="1" t="s">
        <v>532</v>
      </c>
      <c r="D1045" s="1" t="s">
        <v>20</v>
      </c>
      <c r="E1045" s="1" t="s">
        <v>43</v>
      </c>
      <c r="F1045" s="2">
        <v>11</v>
      </c>
      <c r="G1045" s="5">
        <v>290</v>
      </c>
      <c r="H1045" s="24">
        <f t="shared" si="80"/>
        <v>3190</v>
      </c>
      <c r="I1045" s="7">
        <v>0.05</v>
      </c>
      <c r="J1045" s="5">
        <f t="shared" si="81"/>
        <v>159.5</v>
      </c>
      <c r="K1045" s="5">
        <f t="shared" si="82"/>
        <v>3030.5</v>
      </c>
      <c r="L1045" s="5">
        <v>170</v>
      </c>
      <c r="M1045" s="5">
        <f t="shared" si="83"/>
        <v>1160.5</v>
      </c>
      <c r="N1045" s="7">
        <f t="shared" si="84"/>
        <v>0.38294010889292196</v>
      </c>
      <c r="O1045" s="1" t="s">
        <v>59</v>
      </c>
      <c r="P1045" s="1" t="s">
        <v>31</v>
      </c>
      <c r="Q1045" s="1" t="s">
        <v>24</v>
      </c>
      <c r="R1045" s="1" t="s">
        <v>50</v>
      </c>
      <c r="S1045" s="1" t="s">
        <v>439</v>
      </c>
      <c r="T1045" s="15" t="s">
        <v>61</v>
      </c>
    </row>
    <row r="1046" spans="1:20" x14ac:dyDescent="0.3">
      <c r="A1046" s="14">
        <v>1045</v>
      </c>
      <c r="B1046" s="4">
        <v>44244</v>
      </c>
      <c r="C1046" s="1" t="s">
        <v>532</v>
      </c>
      <c r="D1046" s="1" t="s">
        <v>28</v>
      </c>
      <c r="E1046" s="1" t="s">
        <v>29</v>
      </c>
      <c r="F1046" s="2">
        <v>10</v>
      </c>
      <c r="G1046" s="5">
        <v>2030</v>
      </c>
      <c r="H1046" s="24">
        <f t="shared" si="80"/>
        <v>20300</v>
      </c>
      <c r="I1046" s="7">
        <v>0.05</v>
      </c>
      <c r="J1046" s="5">
        <f t="shared" si="81"/>
        <v>1015</v>
      </c>
      <c r="K1046" s="5">
        <f t="shared" si="82"/>
        <v>19285</v>
      </c>
      <c r="L1046" s="5">
        <v>1460</v>
      </c>
      <c r="M1046" s="5">
        <f t="shared" si="83"/>
        <v>4685</v>
      </c>
      <c r="N1046" s="7">
        <f t="shared" si="84"/>
        <v>0.24293492351568577</v>
      </c>
      <c r="O1046" s="1" t="s">
        <v>30</v>
      </c>
      <c r="P1046" s="1" t="s">
        <v>23</v>
      </c>
      <c r="Q1046" s="1" t="s">
        <v>32</v>
      </c>
      <c r="R1046" s="1" t="s">
        <v>25</v>
      </c>
      <c r="S1046" s="1" t="s">
        <v>165</v>
      </c>
      <c r="T1046" s="15" t="s">
        <v>27</v>
      </c>
    </row>
    <row r="1047" spans="1:20" x14ac:dyDescent="0.3">
      <c r="A1047" s="14">
        <v>1046</v>
      </c>
      <c r="B1047" s="4">
        <v>44421</v>
      </c>
      <c r="C1047" s="1" t="s">
        <v>530</v>
      </c>
      <c r="D1047" s="1" t="s">
        <v>82</v>
      </c>
      <c r="E1047" s="1" t="s">
        <v>36</v>
      </c>
      <c r="F1047" s="2">
        <v>12</v>
      </c>
      <c r="G1047" s="5">
        <v>1370</v>
      </c>
      <c r="H1047" s="24">
        <f t="shared" si="80"/>
        <v>16440</v>
      </c>
      <c r="I1047" s="7">
        <v>0</v>
      </c>
      <c r="J1047" s="5">
        <f t="shared" si="81"/>
        <v>0</v>
      </c>
      <c r="K1047" s="5">
        <f t="shared" si="82"/>
        <v>16440</v>
      </c>
      <c r="L1047" s="5">
        <v>880</v>
      </c>
      <c r="M1047" s="5">
        <f t="shared" si="83"/>
        <v>5880</v>
      </c>
      <c r="N1047" s="7">
        <f t="shared" si="84"/>
        <v>0.35766423357664234</v>
      </c>
      <c r="O1047" s="1" t="s">
        <v>59</v>
      </c>
      <c r="P1047" s="1" t="s">
        <v>31</v>
      </c>
      <c r="Q1047" s="1" t="s">
        <v>48</v>
      </c>
      <c r="R1047" s="1" t="s">
        <v>38</v>
      </c>
      <c r="S1047" s="1" t="s">
        <v>433</v>
      </c>
      <c r="T1047" s="15" t="s">
        <v>61</v>
      </c>
    </row>
    <row r="1048" spans="1:20" x14ac:dyDescent="0.3">
      <c r="A1048" s="14">
        <v>1047</v>
      </c>
      <c r="B1048" s="4">
        <v>44486</v>
      </c>
      <c r="C1048" s="1" t="s">
        <v>529</v>
      </c>
      <c r="D1048" s="1" t="s">
        <v>28</v>
      </c>
      <c r="E1048" s="1" t="s">
        <v>29</v>
      </c>
      <c r="F1048" s="2">
        <v>2</v>
      </c>
      <c r="G1048" s="5">
        <v>1930</v>
      </c>
      <c r="H1048" s="24">
        <f t="shared" si="80"/>
        <v>3860</v>
      </c>
      <c r="I1048" s="7">
        <v>0</v>
      </c>
      <c r="J1048" s="5">
        <f t="shared" si="81"/>
        <v>0</v>
      </c>
      <c r="K1048" s="5">
        <f t="shared" si="82"/>
        <v>3860</v>
      </c>
      <c r="L1048" s="5">
        <v>1360</v>
      </c>
      <c r="M1048" s="5">
        <f t="shared" si="83"/>
        <v>1140</v>
      </c>
      <c r="N1048" s="7">
        <f t="shared" si="84"/>
        <v>0.29533678756476683</v>
      </c>
      <c r="O1048" s="1" t="s">
        <v>54</v>
      </c>
      <c r="P1048" s="1" t="s">
        <v>31</v>
      </c>
      <c r="Q1048" s="1" t="s">
        <v>32</v>
      </c>
      <c r="R1048" s="1" t="s">
        <v>46</v>
      </c>
      <c r="S1048" s="1" t="s">
        <v>336</v>
      </c>
      <c r="T1048" s="15" t="s">
        <v>53</v>
      </c>
    </row>
    <row r="1049" spans="1:20" x14ac:dyDescent="0.3">
      <c r="A1049" s="14">
        <v>1048</v>
      </c>
      <c r="B1049" s="4">
        <v>44294</v>
      </c>
      <c r="C1049" s="1" t="s">
        <v>533</v>
      </c>
      <c r="D1049" s="1" t="s">
        <v>20</v>
      </c>
      <c r="E1049" s="1" t="s">
        <v>36</v>
      </c>
      <c r="F1049" s="2">
        <v>7</v>
      </c>
      <c r="G1049" s="5">
        <v>1270</v>
      </c>
      <c r="H1049" s="24">
        <f t="shared" si="80"/>
        <v>8890</v>
      </c>
      <c r="I1049" s="7">
        <v>0</v>
      </c>
      <c r="J1049" s="5">
        <f t="shared" si="81"/>
        <v>0</v>
      </c>
      <c r="K1049" s="5">
        <f t="shared" si="82"/>
        <v>8890</v>
      </c>
      <c r="L1049" s="5">
        <v>830</v>
      </c>
      <c r="M1049" s="5">
        <f t="shared" si="83"/>
        <v>3080</v>
      </c>
      <c r="N1049" s="7">
        <f t="shared" si="84"/>
        <v>0.34645669291338582</v>
      </c>
      <c r="O1049" s="1" t="s">
        <v>30</v>
      </c>
      <c r="P1049" s="1" t="s">
        <v>31</v>
      </c>
      <c r="Q1049" s="1" t="s">
        <v>37</v>
      </c>
      <c r="R1049" s="1" t="s">
        <v>66</v>
      </c>
      <c r="S1049" s="1" t="s">
        <v>443</v>
      </c>
      <c r="T1049" s="15" t="s">
        <v>61</v>
      </c>
    </row>
    <row r="1050" spans="1:20" x14ac:dyDescent="0.3">
      <c r="A1050" s="14">
        <v>1049</v>
      </c>
      <c r="B1050" s="4">
        <v>44524</v>
      </c>
      <c r="C1050" s="1" t="s">
        <v>529</v>
      </c>
      <c r="D1050" s="1" t="s">
        <v>20</v>
      </c>
      <c r="E1050" s="1" t="s">
        <v>29</v>
      </c>
      <c r="F1050" s="2">
        <v>7</v>
      </c>
      <c r="G1050" s="5">
        <v>1900</v>
      </c>
      <c r="H1050" s="24">
        <f t="shared" si="80"/>
        <v>13300</v>
      </c>
      <c r="I1050" s="7">
        <v>0</v>
      </c>
      <c r="J1050" s="5">
        <f t="shared" si="81"/>
        <v>0</v>
      </c>
      <c r="K1050" s="5">
        <f t="shared" si="82"/>
        <v>13300</v>
      </c>
      <c r="L1050" s="5">
        <v>1250</v>
      </c>
      <c r="M1050" s="5">
        <f t="shared" si="83"/>
        <v>4550</v>
      </c>
      <c r="N1050" s="7">
        <f t="shared" si="84"/>
        <v>0.34210526315789475</v>
      </c>
      <c r="O1050" s="1" t="s">
        <v>59</v>
      </c>
      <c r="P1050" s="1" t="s">
        <v>31</v>
      </c>
      <c r="Q1050" s="1" t="s">
        <v>24</v>
      </c>
      <c r="R1050" s="1" t="s">
        <v>88</v>
      </c>
      <c r="S1050" s="1" t="s">
        <v>239</v>
      </c>
      <c r="T1050" s="15" t="s">
        <v>27</v>
      </c>
    </row>
    <row r="1051" spans="1:20" x14ac:dyDescent="0.3">
      <c r="A1051" s="14">
        <v>1050</v>
      </c>
      <c r="B1051" s="4">
        <v>44209</v>
      </c>
      <c r="C1051" s="1" t="s">
        <v>530</v>
      </c>
      <c r="D1051" s="1" t="s">
        <v>20</v>
      </c>
      <c r="E1051" s="1" t="s">
        <v>36</v>
      </c>
      <c r="F1051" s="2">
        <v>2</v>
      </c>
      <c r="G1051" s="5">
        <v>1320</v>
      </c>
      <c r="H1051" s="24">
        <f t="shared" si="80"/>
        <v>2640</v>
      </c>
      <c r="I1051" s="7">
        <v>0.02</v>
      </c>
      <c r="J1051" s="5">
        <f t="shared" si="81"/>
        <v>52.800000000000004</v>
      </c>
      <c r="K1051" s="5">
        <f t="shared" si="82"/>
        <v>2587.1999999999998</v>
      </c>
      <c r="L1051" s="5">
        <v>800</v>
      </c>
      <c r="M1051" s="5">
        <f t="shared" si="83"/>
        <v>987.19999999999982</v>
      </c>
      <c r="N1051" s="7">
        <f t="shared" si="84"/>
        <v>0.38157081014223865</v>
      </c>
      <c r="O1051" s="1" t="s">
        <v>59</v>
      </c>
      <c r="P1051" s="1" t="s">
        <v>31</v>
      </c>
      <c r="Q1051" s="1" t="s">
        <v>24</v>
      </c>
      <c r="R1051" s="1" t="s">
        <v>63</v>
      </c>
      <c r="S1051" s="1" t="s">
        <v>113</v>
      </c>
      <c r="T1051" s="15" t="s">
        <v>53</v>
      </c>
    </row>
    <row r="1052" spans="1:20" x14ac:dyDescent="0.3">
      <c r="A1052" s="14">
        <v>1051</v>
      </c>
      <c r="B1052" s="4">
        <v>44442</v>
      </c>
      <c r="C1052" s="1" t="s">
        <v>529</v>
      </c>
      <c r="D1052" s="1" t="s">
        <v>20</v>
      </c>
      <c r="E1052" s="1" t="s">
        <v>29</v>
      </c>
      <c r="F1052" s="2">
        <v>9</v>
      </c>
      <c r="G1052" s="5">
        <v>1910</v>
      </c>
      <c r="H1052" s="24">
        <f t="shared" si="80"/>
        <v>17190</v>
      </c>
      <c r="I1052" s="7">
        <v>0.1</v>
      </c>
      <c r="J1052" s="5">
        <f t="shared" si="81"/>
        <v>1719</v>
      </c>
      <c r="K1052" s="5">
        <f t="shared" si="82"/>
        <v>15471</v>
      </c>
      <c r="L1052" s="5">
        <v>1350</v>
      </c>
      <c r="M1052" s="5">
        <f t="shared" si="83"/>
        <v>3321</v>
      </c>
      <c r="N1052" s="7">
        <f t="shared" si="84"/>
        <v>0.21465968586387435</v>
      </c>
      <c r="O1052" s="1" t="s">
        <v>41</v>
      </c>
      <c r="P1052" s="1" t="s">
        <v>31</v>
      </c>
      <c r="Q1052" s="1" t="s">
        <v>48</v>
      </c>
      <c r="R1052" s="1" t="s">
        <v>25</v>
      </c>
      <c r="S1052" s="1" t="s">
        <v>475</v>
      </c>
      <c r="T1052" s="15" t="s">
        <v>61</v>
      </c>
    </row>
    <row r="1053" spans="1:20" x14ac:dyDescent="0.3">
      <c r="A1053" s="14">
        <v>1052</v>
      </c>
      <c r="B1053" s="4">
        <v>44436</v>
      </c>
      <c r="C1053" s="1" t="s">
        <v>533</v>
      </c>
      <c r="D1053" s="1" t="s">
        <v>20</v>
      </c>
      <c r="E1053" s="1" t="s">
        <v>36</v>
      </c>
      <c r="F1053" s="2">
        <v>3</v>
      </c>
      <c r="G1053" s="5">
        <v>1260</v>
      </c>
      <c r="H1053" s="24">
        <f t="shared" si="80"/>
        <v>3780</v>
      </c>
      <c r="I1053" s="7">
        <v>0.05</v>
      </c>
      <c r="J1053" s="5">
        <f t="shared" si="81"/>
        <v>189</v>
      </c>
      <c r="K1053" s="5">
        <f t="shared" si="82"/>
        <v>3591</v>
      </c>
      <c r="L1053" s="5">
        <v>750</v>
      </c>
      <c r="M1053" s="5">
        <f t="shared" si="83"/>
        <v>1341</v>
      </c>
      <c r="N1053" s="7">
        <f t="shared" si="84"/>
        <v>0.37343358395989973</v>
      </c>
      <c r="O1053" s="1" t="s">
        <v>59</v>
      </c>
      <c r="P1053" s="1" t="s">
        <v>31</v>
      </c>
      <c r="Q1053" s="1" t="s">
        <v>48</v>
      </c>
      <c r="R1053" s="1" t="s">
        <v>50</v>
      </c>
      <c r="S1053" s="1" t="s">
        <v>476</v>
      </c>
      <c r="T1053" s="15" t="s">
        <v>53</v>
      </c>
    </row>
    <row r="1054" spans="1:20" x14ac:dyDescent="0.3">
      <c r="A1054" s="14">
        <v>1053</v>
      </c>
      <c r="B1054" s="4">
        <v>44360</v>
      </c>
      <c r="C1054" s="1" t="s">
        <v>534</v>
      </c>
      <c r="D1054" s="1" t="s">
        <v>80</v>
      </c>
      <c r="E1054" s="1" t="s">
        <v>40</v>
      </c>
      <c r="F1054" s="2">
        <v>11</v>
      </c>
      <c r="G1054" s="5">
        <v>1720</v>
      </c>
      <c r="H1054" s="24">
        <f t="shared" si="80"/>
        <v>18920</v>
      </c>
      <c r="I1054" s="7">
        <v>0.1</v>
      </c>
      <c r="J1054" s="5">
        <f t="shared" si="81"/>
        <v>1892</v>
      </c>
      <c r="K1054" s="5">
        <f t="shared" si="82"/>
        <v>17028</v>
      </c>
      <c r="L1054" s="5">
        <v>1080</v>
      </c>
      <c r="M1054" s="5">
        <f t="shared" si="83"/>
        <v>5148</v>
      </c>
      <c r="N1054" s="7">
        <f t="shared" si="84"/>
        <v>0.30232558139534882</v>
      </c>
      <c r="O1054" s="1" t="s">
        <v>22</v>
      </c>
      <c r="P1054" s="1" t="s">
        <v>31</v>
      </c>
      <c r="Q1054" s="1" t="s">
        <v>48</v>
      </c>
      <c r="R1054" s="1" t="s">
        <v>46</v>
      </c>
      <c r="S1054" s="1" t="s">
        <v>353</v>
      </c>
      <c r="T1054" s="15" t="s">
        <v>53</v>
      </c>
    </row>
    <row r="1055" spans="1:20" x14ac:dyDescent="0.3">
      <c r="A1055" s="14">
        <v>1054</v>
      </c>
      <c r="B1055" s="4">
        <v>44519</v>
      </c>
      <c r="C1055" s="1" t="s">
        <v>529</v>
      </c>
      <c r="D1055" s="1" t="s">
        <v>82</v>
      </c>
      <c r="E1055" s="1" t="s">
        <v>45</v>
      </c>
      <c r="F1055" s="2">
        <v>11</v>
      </c>
      <c r="G1055" s="5">
        <v>200</v>
      </c>
      <c r="H1055" s="24">
        <f t="shared" si="80"/>
        <v>2200</v>
      </c>
      <c r="I1055" s="7">
        <v>0</v>
      </c>
      <c r="J1055" s="5">
        <f t="shared" si="81"/>
        <v>0</v>
      </c>
      <c r="K1055" s="5">
        <f t="shared" si="82"/>
        <v>2200</v>
      </c>
      <c r="L1055" s="5">
        <v>130</v>
      </c>
      <c r="M1055" s="5">
        <f t="shared" si="83"/>
        <v>770</v>
      </c>
      <c r="N1055" s="7">
        <f t="shared" si="84"/>
        <v>0.35</v>
      </c>
      <c r="O1055" s="1" t="s">
        <v>41</v>
      </c>
      <c r="P1055" s="1" t="s">
        <v>31</v>
      </c>
      <c r="Q1055" s="1" t="s">
        <v>24</v>
      </c>
      <c r="R1055" s="1" t="s">
        <v>46</v>
      </c>
      <c r="S1055" s="1" t="s">
        <v>361</v>
      </c>
      <c r="T1055" s="15" t="s">
        <v>61</v>
      </c>
    </row>
    <row r="1056" spans="1:20" x14ac:dyDescent="0.3">
      <c r="A1056" s="14">
        <v>1055</v>
      </c>
      <c r="B1056" s="4">
        <v>44206</v>
      </c>
      <c r="C1056" s="1" t="s">
        <v>529</v>
      </c>
      <c r="D1056" s="1" t="s">
        <v>20</v>
      </c>
      <c r="E1056" s="1" t="s">
        <v>29</v>
      </c>
      <c r="F1056" s="2">
        <v>9</v>
      </c>
      <c r="G1056" s="5">
        <v>1980</v>
      </c>
      <c r="H1056" s="24">
        <f t="shared" si="80"/>
        <v>17820</v>
      </c>
      <c r="I1056" s="7">
        <v>0.15</v>
      </c>
      <c r="J1056" s="5">
        <f t="shared" si="81"/>
        <v>2673</v>
      </c>
      <c r="K1056" s="5">
        <f t="shared" si="82"/>
        <v>15147</v>
      </c>
      <c r="L1056" s="5">
        <v>1590</v>
      </c>
      <c r="M1056" s="5">
        <f t="shared" si="83"/>
        <v>837</v>
      </c>
      <c r="N1056" s="7">
        <f t="shared" si="84"/>
        <v>5.5258467023172907E-2</v>
      </c>
      <c r="O1056" s="1" t="s">
        <v>59</v>
      </c>
      <c r="P1056" s="1" t="s">
        <v>31</v>
      </c>
      <c r="Q1056" s="1" t="s">
        <v>48</v>
      </c>
      <c r="R1056" s="1" t="s">
        <v>88</v>
      </c>
      <c r="S1056" s="1" t="s">
        <v>455</v>
      </c>
      <c r="T1056" s="15" t="s">
        <v>61</v>
      </c>
    </row>
    <row r="1057" spans="1:20" x14ac:dyDescent="0.3">
      <c r="A1057" s="14">
        <v>1056</v>
      </c>
      <c r="B1057" s="4">
        <v>44232</v>
      </c>
      <c r="C1057" s="1" t="s">
        <v>532</v>
      </c>
      <c r="D1057" s="1" t="s">
        <v>20</v>
      </c>
      <c r="E1057" s="1" t="s">
        <v>43</v>
      </c>
      <c r="F1057" s="2">
        <v>4</v>
      </c>
      <c r="G1057" s="5">
        <v>330</v>
      </c>
      <c r="H1057" s="24">
        <f t="shared" si="80"/>
        <v>1320</v>
      </c>
      <c r="I1057" s="7">
        <v>0.05</v>
      </c>
      <c r="J1057" s="5">
        <f t="shared" si="81"/>
        <v>66</v>
      </c>
      <c r="K1057" s="5">
        <f t="shared" si="82"/>
        <v>1254</v>
      </c>
      <c r="L1057" s="5">
        <v>240</v>
      </c>
      <c r="M1057" s="5">
        <f t="shared" si="83"/>
        <v>294</v>
      </c>
      <c r="N1057" s="7">
        <f t="shared" si="84"/>
        <v>0.23444976076555024</v>
      </c>
      <c r="O1057" s="1" t="s">
        <v>54</v>
      </c>
      <c r="P1057" s="1" t="s">
        <v>31</v>
      </c>
      <c r="Q1057" s="1" t="s">
        <v>37</v>
      </c>
      <c r="R1057" s="1" t="s">
        <v>88</v>
      </c>
      <c r="S1057" s="1" t="s">
        <v>100</v>
      </c>
      <c r="T1057" s="15" t="s">
        <v>53</v>
      </c>
    </row>
    <row r="1058" spans="1:20" x14ac:dyDescent="0.3">
      <c r="A1058" s="14">
        <v>1057</v>
      </c>
      <c r="B1058" s="4">
        <v>44240</v>
      </c>
      <c r="C1058" s="1" t="s">
        <v>533</v>
      </c>
      <c r="D1058" s="1" t="s">
        <v>20</v>
      </c>
      <c r="E1058" s="1" t="s">
        <v>21</v>
      </c>
      <c r="F1058" s="2">
        <v>9</v>
      </c>
      <c r="G1058" s="5">
        <v>220</v>
      </c>
      <c r="H1058" s="24">
        <f t="shared" si="80"/>
        <v>1980</v>
      </c>
      <c r="I1058" s="7">
        <v>0</v>
      </c>
      <c r="J1058" s="5">
        <f t="shared" si="81"/>
        <v>0</v>
      </c>
      <c r="K1058" s="5">
        <f t="shared" si="82"/>
        <v>1980</v>
      </c>
      <c r="L1058" s="5">
        <v>130</v>
      </c>
      <c r="M1058" s="5">
        <f t="shared" si="83"/>
        <v>810</v>
      </c>
      <c r="N1058" s="7">
        <f t="shared" si="84"/>
        <v>0.40909090909090912</v>
      </c>
      <c r="O1058" s="1" t="s">
        <v>41</v>
      </c>
      <c r="P1058" s="1" t="s">
        <v>76</v>
      </c>
      <c r="Q1058" s="1" t="s">
        <v>37</v>
      </c>
      <c r="R1058" s="1" t="s">
        <v>50</v>
      </c>
      <c r="S1058" s="1" t="s">
        <v>379</v>
      </c>
      <c r="T1058" s="15" t="s">
        <v>35</v>
      </c>
    </row>
    <row r="1059" spans="1:20" x14ac:dyDescent="0.3">
      <c r="A1059" s="14">
        <v>1058</v>
      </c>
      <c r="B1059" s="4">
        <v>44407</v>
      </c>
      <c r="C1059" s="1" t="s">
        <v>529</v>
      </c>
      <c r="D1059" s="1" t="s">
        <v>82</v>
      </c>
      <c r="E1059" s="1" t="s">
        <v>29</v>
      </c>
      <c r="F1059" s="2">
        <v>11</v>
      </c>
      <c r="G1059" s="5">
        <v>2210</v>
      </c>
      <c r="H1059" s="24">
        <f t="shared" si="80"/>
        <v>24310</v>
      </c>
      <c r="I1059" s="7">
        <v>0.02</v>
      </c>
      <c r="J1059" s="5">
        <f t="shared" si="81"/>
        <v>486.2</v>
      </c>
      <c r="K1059" s="5">
        <f t="shared" si="82"/>
        <v>23823.8</v>
      </c>
      <c r="L1059" s="5">
        <v>1320</v>
      </c>
      <c r="M1059" s="5">
        <f t="shared" si="83"/>
        <v>9303.7999999999993</v>
      </c>
      <c r="N1059" s="7">
        <f t="shared" si="84"/>
        <v>0.39052544094560898</v>
      </c>
      <c r="O1059" s="1" t="s">
        <v>30</v>
      </c>
      <c r="P1059" s="1" t="s">
        <v>31</v>
      </c>
      <c r="Q1059" s="1" t="s">
        <v>24</v>
      </c>
      <c r="R1059" s="1" t="s">
        <v>66</v>
      </c>
      <c r="S1059" s="1" t="s">
        <v>477</v>
      </c>
      <c r="T1059" s="15" t="s">
        <v>35</v>
      </c>
    </row>
    <row r="1060" spans="1:20" x14ac:dyDescent="0.3">
      <c r="A1060" s="14">
        <v>1059</v>
      </c>
      <c r="B1060" s="4">
        <v>44294</v>
      </c>
      <c r="C1060" s="1" t="s">
        <v>530</v>
      </c>
      <c r="D1060" s="1" t="s">
        <v>20</v>
      </c>
      <c r="E1060" s="1" t="s">
        <v>29</v>
      </c>
      <c r="F1060" s="2">
        <v>5</v>
      </c>
      <c r="G1060" s="5">
        <v>2370</v>
      </c>
      <c r="H1060" s="24">
        <f t="shared" si="80"/>
        <v>11850</v>
      </c>
      <c r="I1060" s="7">
        <v>0</v>
      </c>
      <c r="J1060" s="5">
        <f t="shared" si="81"/>
        <v>0</v>
      </c>
      <c r="K1060" s="5">
        <f t="shared" si="82"/>
        <v>11850</v>
      </c>
      <c r="L1060" s="5">
        <v>1900</v>
      </c>
      <c r="M1060" s="5">
        <f t="shared" si="83"/>
        <v>2350</v>
      </c>
      <c r="N1060" s="7">
        <f t="shared" si="84"/>
        <v>0.19831223628691982</v>
      </c>
      <c r="O1060" s="1" t="s">
        <v>59</v>
      </c>
      <c r="P1060" s="1" t="s">
        <v>31</v>
      </c>
      <c r="Q1060" s="1" t="s">
        <v>24</v>
      </c>
      <c r="R1060" s="1" t="s">
        <v>88</v>
      </c>
      <c r="S1060" s="1" t="s">
        <v>350</v>
      </c>
      <c r="T1060" s="15" t="s">
        <v>61</v>
      </c>
    </row>
    <row r="1061" spans="1:20" x14ac:dyDescent="0.3">
      <c r="A1061" s="14">
        <v>1060</v>
      </c>
      <c r="B1061" s="4">
        <v>44350</v>
      </c>
      <c r="C1061" s="1" t="s">
        <v>534</v>
      </c>
      <c r="D1061" s="1" t="s">
        <v>20</v>
      </c>
      <c r="E1061" s="1" t="s">
        <v>45</v>
      </c>
      <c r="F1061" s="2">
        <v>4</v>
      </c>
      <c r="G1061" s="5">
        <v>210</v>
      </c>
      <c r="H1061" s="24">
        <f t="shared" si="80"/>
        <v>840</v>
      </c>
      <c r="I1061" s="7">
        <v>0.15</v>
      </c>
      <c r="J1061" s="5">
        <f t="shared" si="81"/>
        <v>126</v>
      </c>
      <c r="K1061" s="5">
        <f t="shared" si="82"/>
        <v>714</v>
      </c>
      <c r="L1061" s="5">
        <v>150</v>
      </c>
      <c r="M1061" s="5">
        <f t="shared" si="83"/>
        <v>114</v>
      </c>
      <c r="N1061" s="7">
        <f t="shared" si="84"/>
        <v>0.15966386554621848</v>
      </c>
      <c r="O1061" s="1" t="s">
        <v>22</v>
      </c>
      <c r="P1061" s="1" t="s">
        <v>31</v>
      </c>
      <c r="Q1061" s="1" t="s">
        <v>24</v>
      </c>
      <c r="R1061" s="1" t="s">
        <v>50</v>
      </c>
      <c r="S1061" s="1" t="s">
        <v>223</v>
      </c>
      <c r="T1061" s="15" t="s">
        <v>53</v>
      </c>
    </row>
    <row r="1062" spans="1:20" x14ac:dyDescent="0.3">
      <c r="A1062" s="14">
        <v>1061</v>
      </c>
      <c r="B1062" s="4">
        <v>44249</v>
      </c>
      <c r="C1062" s="1" t="s">
        <v>533</v>
      </c>
      <c r="D1062" s="1" t="s">
        <v>82</v>
      </c>
      <c r="E1062" s="1" t="s">
        <v>40</v>
      </c>
      <c r="F1062" s="2">
        <v>6</v>
      </c>
      <c r="G1062" s="5">
        <v>1460</v>
      </c>
      <c r="H1062" s="24">
        <f t="shared" si="80"/>
        <v>8760</v>
      </c>
      <c r="I1062" s="7">
        <v>0.05</v>
      </c>
      <c r="J1062" s="5">
        <f t="shared" si="81"/>
        <v>438</v>
      </c>
      <c r="K1062" s="5">
        <f t="shared" si="82"/>
        <v>8322</v>
      </c>
      <c r="L1062" s="5">
        <v>960</v>
      </c>
      <c r="M1062" s="5">
        <f t="shared" si="83"/>
        <v>2562</v>
      </c>
      <c r="N1062" s="7">
        <f t="shared" si="84"/>
        <v>0.30785868781542897</v>
      </c>
      <c r="O1062" s="1" t="s">
        <v>22</v>
      </c>
      <c r="P1062" s="1" t="s">
        <v>31</v>
      </c>
      <c r="Q1062" s="1" t="s">
        <v>32</v>
      </c>
      <c r="R1062" s="1" t="s">
        <v>38</v>
      </c>
      <c r="S1062" s="1" t="s">
        <v>95</v>
      </c>
      <c r="T1062" s="15" t="s">
        <v>53</v>
      </c>
    </row>
    <row r="1063" spans="1:20" x14ac:dyDescent="0.3">
      <c r="A1063" s="14">
        <v>1062</v>
      </c>
      <c r="B1063" s="4">
        <v>44463</v>
      </c>
      <c r="C1063" s="1" t="s">
        <v>531</v>
      </c>
      <c r="D1063" s="1" t="s">
        <v>82</v>
      </c>
      <c r="E1063" s="1" t="s">
        <v>21</v>
      </c>
      <c r="F1063" s="2">
        <v>6</v>
      </c>
      <c r="G1063" s="5">
        <v>200</v>
      </c>
      <c r="H1063" s="24">
        <f t="shared" si="80"/>
        <v>1200</v>
      </c>
      <c r="I1063" s="7">
        <v>0.02</v>
      </c>
      <c r="J1063" s="5">
        <f t="shared" si="81"/>
        <v>24</v>
      </c>
      <c r="K1063" s="5">
        <f t="shared" si="82"/>
        <v>1176</v>
      </c>
      <c r="L1063" s="5">
        <v>140</v>
      </c>
      <c r="M1063" s="5">
        <f t="shared" si="83"/>
        <v>336</v>
      </c>
      <c r="N1063" s="7">
        <f t="shared" si="84"/>
        <v>0.2857142857142857</v>
      </c>
      <c r="O1063" s="1" t="s">
        <v>41</v>
      </c>
      <c r="P1063" s="1" t="s">
        <v>31</v>
      </c>
      <c r="Q1063" s="1" t="s">
        <v>37</v>
      </c>
      <c r="R1063" s="1" t="s">
        <v>63</v>
      </c>
      <c r="S1063" s="1" t="s">
        <v>213</v>
      </c>
      <c r="T1063" s="15" t="s">
        <v>27</v>
      </c>
    </row>
    <row r="1064" spans="1:20" x14ac:dyDescent="0.3">
      <c r="A1064" s="14">
        <v>1063</v>
      </c>
      <c r="B1064" s="4">
        <v>44233</v>
      </c>
      <c r="C1064" s="1" t="s">
        <v>529</v>
      </c>
      <c r="D1064" s="1" t="s">
        <v>20</v>
      </c>
      <c r="E1064" s="1" t="s">
        <v>45</v>
      </c>
      <c r="F1064" s="2">
        <v>12</v>
      </c>
      <c r="G1064" s="5">
        <v>190</v>
      </c>
      <c r="H1064" s="24">
        <f t="shared" si="80"/>
        <v>2280</v>
      </c>
      <c r="I1064" s="7">
        <v>0</v>
      </c>
      <c r="J1064" s="5">
        <f t="shared" si="81"/>
        <v>0</v>
      </c>
      <c r="K1064" s="5">
        <f t="shared" si="82"/>
        <v>2280</v>
      </c>
      <c r="L1064" s="5">
        <v>140</v>
      </c>
      <c r="M1064" s="5">
        <f t="shared" si="83"/>
        <v>600</v>
      </c>
      <c r="N1064" s="7">
        <f t="shared" si="84"/>
        <v>0.26315789473684209</v>
      </c>
      <c r="O1064" s="1" t="s">
        <v>30</v>
      </c>
      <c r="P1064" s="1" t="s">
        <v>23</v>
      </c>
      <c r="Q1064" s="1" t="s">
        <v>32</v>
      </c>
      <c r="R1064" s="1" t="s">
        <v>88</v>
      </c>
      <c r="S1064" s="1" t="s">
        <v>207</v>
      </c>
      <c r="T1064" s="15" t="s">
        <v>61</v>
      </c>
    </row>
    <row r="1065" spans="1:20" x14ac:dyDescent="0.3">
      <c r="A1065" s="14">
        <v>1064</v>
      </c>
      <c r="B1065" s="4">
        <v>44425</v>
      </c>
      <c r="C1065" s="1" t="s">
        <v>533</v>
      </c>
      <c r="D1065" s="1" t="s">
        <v>20</v>
      </c>
      <c r="E1065" s="1" t="s">
        <v>29</v>
      </c>
      <c r="F1065" s="2">
        <v>10</v>
      </c>
      <c r="G1065" s="5">
        <v>2080</v>
      </c>
      <c r="H1065" s="24">
        <f t="shared" si="80"/>
        <v>20800</v>
      </c>
      <c r="I1065" s="7">
        <v>0</v>
      </c>
      <c r="J1065" s="5">
        <f t="shared" si="81"/>
        <v>0</v>
      </c>
      <c r="K1065" s="5">
        <f t="shared" si="82"/>
        <v>20800</v>
      </c>
      <c r="L1065" s="5">
        <v>1610</v>
      </c>
      <c r="M1065" s="5">
        <f t="shared" si="83"/>
        <v>4700</v>
      </c>
      <c r="N1065" s="7">
        <f t="shared" si="84"/>
        <v>0.22596153846153846</v>
      </c>
      <c r="O1065" s="1" t="s">
        <v>30</v>
      </c>
      <c r="P1065" s="1" t="s">
        <v>62</v>
      </c>
      <c r="Q1065" s="1" t="s">
        <v>32</v>
      </c>
      <c r="R1065" s="1" t="s">
        <v>38</v>
      </c>
      <c r="S1065" s="1" t="s">
        <v>443</v>
      </c>
      <c r="T1065" s="15" t="s">
        <v>61</v>
      </c>
    </row>
    <row r="1066" spans="1:20" x14ac:dyDescent="0.3">
      <c r="A1066" s="14">
        <v>1065</v>
      </c>
      <c r="B1066" s="4">
        <v>44357</v>
      </c>
      <c r="C1066" s="1" t="s">
        <v>533</v>
      </c>
      <c r="D1066" s="1" t="s">
        <v>80</v>
      </c>
      <c r="E1066" s="1" t="s">
        <v>21</v>
      </c>
      <c r="F1066" s="2">
        <v>12</v>
      </c>
      <c r="G1066" s="5">
        <v>230</v>
      </c>
      <c r="H1066" s="24">
        <f t="shared" si="80"/>
        <v>2760</v>
      </c>
      <c r="I1066" s="7">
        <v>0.05</v>
      </c>
      <c r="J1066" s="5">
        <f t="shared" si="81"/>
        <v>138</v>
      </c>
      <c r="K1066" s="5">
        <f t="shared" si="82"/>
        <v>2622</v>
      </c>
      <c r="L1066" s="5">
        <v>170</v>
      </c>
      <c r="M1066" s="5">
        <f t="shared" si="83"/>
        <v>582</v>
      </c>
      <c r="N1066" s="7">
        <f t="shared" si="84"/>
        <v>0.2219679633867277</v>
      </c>
      <c r="O1066" s="1" t="s">
        <v>41</v>
      </c>
      <c r="P1066" s="1" t="s">
        <v>31</v>
      </c>
      <c r="Q1066" s="1" t="s">
        <v>24</v>
      </c>
      <c r="R1066" s="1" t="s">
        <v>33</v>
      </c>
      <c r="S1066" s="1" t="s">
        <v>278</v>
      </c>
      <c r="T1066" s="15" t="s">
        <v>61</v>
      </c>
    </row>
    <row r="1067" spans="1:20" x14ac:dyDescent="0.3">
      <c r="A1067" s="14">
        <v>1066</v>
      </c>
      <c r="B1067" s="4">
        <v>44420</v>
      </c>
      <c r="C1067" s="1" t="s">
        <v>529</v>
      </c>
      <c r="D1067" s="1" t="s">
        <v>20</v>
      </c>
      <c r="E1067" s="1" t="s">
        <v>36</v>
      </c>
      <c r="F1067" s="2">
        <v>12</v>
      </c>
      <c r="G1067" s="5">
        <v>1250</v>
      </c>
      <c r="H1067" s="24">
        <f t="shared" si="80"/>
        <v>15000</v>
      </c>
      <c r="I1067" s="7">
        <v>0.1</v>
      </c>
      <c r="J1067" s="5">
        <f t="shared" si="81"/>
        <v>1500</v>
      </c>
      <c r="K1067" s="5">
        <f t="shared" si="82"/>
        <v>13500</v>
      </c>
      <c r="L1067" s="5">
        <v>960</v>
      </c>
      <c r="M1067" s="5">
        <f t="shared" si="83"/>
        <v>1980</v>
      </c>
      <c r="N1067" s="7">
        <f t="shared" si="84"/>
        <v>0.14666666666666667</v>
      </c>
      <c r="O1067" s="1" t="s">
        <v>41</v>
      </c>
      <c r="P1067" s="1" t="s">
        <v>31</v>
      </c>
      <c r="Q1067" s="1" t="s">
        <v>32</v>
      </c>
      <c r="R1067" s="1" t="s">
        <v>25</v>
      </c>
      <c r="S1067" s="1" t="s">
        <v>478</v>
      </c>
      <c r="T1067" s="15" t="s">
        <v>27</v>
      </c>
    </row>
    <row r="1068" spans="1:20" x14ac:dyDescent="0.3">
      <c r="A1068" s="14">
        <v>1067</v>
      </c>
      <c r="B1068" s="4">
        <v>44403</v>
      </c>
      <c r="C1068" s="1" t="s">
        <v>529</v>
      </c>
      <c r="D1068" s="1" t="s">
        <v>28</v>
      </c>
      <c r="E1068" s="1" t="s">
        <v>40</v>
      </c>
      <c r="F1068" s="2">
        <v>8</v>
      </c>
      <c r="G1068" s="5">
        <v>1460</v>
      </c>
      <c r="H1068" s="24">
        <f t="shared" si="80"/>
        <v>11680</v>
      </c>
      <c r="I1068" s="7">
        <v>0</v>
      </c>
      <c r="J1068" s="5">
        <f t="shared" si="81"/>
        <v>0</v>
      </c>
      <c r="K1068" s="5">
        <f t="shared" si="82"/>
        <v>11680</v>
      </c>
      <c r="L1068" s="5">
        <v>1140</v>
      </c>
      <c r="M1068" s="5">
        <f t="shared" si="83"/>
        <v>2560</v>
      </c>
      <c r="N1068" s="7">
        <f t="shared" si="84"/>
        <v>0.21917808219178081</v>
      </c>
      <c r="O1068" s="1" t="s">
        <v>41</v>
      </c>
      <c r="P1068" s="1" t="s">
        <v>31</v>
      </c>
      <c r="Q1068" s="1" t="s">
        <v>32</v>
      </c>
      <c r="R1068" s="1" t="s">
        <v>88</v>
      </c>
      <c r="S1068" s="1" t="s">
        <v>371</v>
      </c>
      <c r="T1068" s="15" t="s">
        <v>61</v>
      </c>
    </row>
    <row r="1069" spans="1:20" x14ac:dyDescent="0.3">
      <c r="A1069" s="14">
        <v>1068</v>
      </c>
      <c r="B1069" s="4">
        <v>44559</v>
      </c>
      <c r="C1069" s="1" t="s">
        <v>534</v>
      </c>
      <c r="D1069" s="1" t="s">
        <v>20</v>
      </c>
      <c r="E1069" s="1" t="s">
        <v>36</v>
      </c>
      <c r="F1069" s="2">
        <v>9</v>
      </c>
      <c r="G1069" s="5">
        <v>1120</v>
      </c>
      <c r="H1069" s="24">
        <f t="shared" si="80"/>
        <v>10080</v>
      </c>
      <c r="I1069" s="7">
        <v>0</v>
      </c>
      <c r="J1069" s="5">
        <f t="shared" si="81"/>
        <v>0</v>
      </c>
      <c r="K1069" s="5">
        <f t="shared" si="82"/>
        <v>10080</v>
      </c>
      <c r="L1069" s="5">
        <v>670</v>
      </c>
      <c r="M1069" s="5">
        <f t="shared" si="83"/>
        <v>4050</v>
      </c>
      <c r="N1069" s="7">
        <f t="shared" si="84"/>
        <v>0.4017857142857143</v>
      </c>
      <c r="O1069" s="1" t="s">
        <v>30</v>
      </c>
      <c r="P1069" s="1" t="s">
        <v>31</v>
      </c>
      <c r="Q1069" s="1" t="s">
        <v>37</v>
      </c>
      <c r="R1069" s="1" t="s">
        <v>25</v>
      </c>
      <c r="S1069" s="1" t="s">
        <v>131</v>
      </c>
      <c r="T1069" s="15" t="s">
        <v>53</v>
      </c>
    </row>
    <row r="1070" spans="1:20" x14ac:dyDescent="0.3">
      <c r="A1070" s="14">
        <v>1069</v>
      </c>
      <c r="B1070" s="4">
        <v>44451</v>
      </c>
      <c r="C1070" s="1" t="s">
        <v>534</v>
      </c>
      <c r="D1070" s="1" t="s">
        <v>82</v>
      </c>
      <c r="E1070" s="1" t="s">
        <v>40</v>
      </c>
      <c r="F1070" s="2">
        <v>8</v>
      </c>
      <c r="G1070" s="5">
        <v>1140</v>
      </c>
      <c r="H1070" s="24">
        <f t="shared" si="80"/>
        <v>9120</v>
      </c>
      <c r="I1070" s="7">
        <v>0.05</v>
      </c>
      <c r="J1070" s="5">
        <f t="shared" si="81"/>
        <v>456</v>
      </c>
      <c r="K1070" s="5">
        <f t="shared" si="82"/>
        <v>8664</v>
      </c>
      <c r="L1070" s="5">
        <v>700</v>
      </c>
      <c r="M1070" s="5">
        <f t="shared" si="83"/>
        <v>3064</v>
      </c>
      <c r="N1070" s="7">
        <f t="shared" si="84"/>
        <v>0.35364727608494922</v>
      </c>
      <c r="O1070" s="1" t="s">
        <v>30</v>
      </c>
      <c r="P1070" s="1" t="s">
        <v>31</v>
      </c>
      <c r="Q1070" s="1" t="s">
        <v>37</v>
      </c>
      <c r="R1070" s="1" t="s">
        <v>46</v>
      </c>
      <c r="S1070" s="1" t="s">
        <v>242</v>
      </c>
      <c r="T1070" s="15" t="s">
        <v>35</v>
      </c>
    </row>
    <row r="1071" spans="1:20" x14ac:dyDescent="0.3">
      <c r="A1071" s="14">
        <v>1070</v>
      </c>
      <c r="B1071" s="4">
        <v>44414</v>
      </c>
      <c r="C1071" s="1" t="s">
        <v>534</v>
      </c>
      <c r="D1071" s="1" t="s">
        <v>20</v>
      </c>
      <c r="E1071" s="1" t="s">
        <v>36</v>
      </c>
      <c r="F1071" s="2">
        <v>6</v>
      </c>
      <c r="G1071" s="5">
        <v>1320</v>
      </c>
      <c r="H1071" s="24">
        <f t="shared" si="80"/>
        <v>7920</v>
      </c>
      <c r="I1071" s="7">
        <v>0.05</v>
      </c>
      <c r="J1071" s="5">
        <f t="shared" si="81"/>
        <v>396</v>
      </c>
      <c r="K1071" s="5">
        <f t="shared" si="82"/>
        <v>7524</v>
      </c>
      <c r="L1071" s="5">
        <v>830</v>
      </c>
      <c r="M1071" s="5">
        <f t="shared" si="83"/>
        <v>2544</v>
      </c>
      <c r="N1071" s="7">
        <f t="shared" si="84"/>
        <v>0.33811802232854865</v>
      </c>
      <c r="O1071" s="1" t="s">
        <v>54</v>
      </c>
      <c r="P1071" s="1" t="s">
        <v>31</v>
      </c>
      <c r="Q1071" s="1" t="s">
        <v>48</v>
      </c>
      <c r="R1071" s="1" t="s">
        <v>56</v>
      </c>
      <c r="S1071" s="1" t="s">
        <v>203</v>
      </c>
      <c r="T1071" s="15" t="s">
        <v>35</v>
      </c>
    </row>
    <row r="1072" spans="1:20" x14ac:dyDescent="0.3">
      <c r="A1072" s="14">
        <v>1071</v>
      </c>
      <c r="B1072" s="4">
        <v>44505</v>
      </c>
      <c r="C1072" s="1" t="s">
        <v>532</v>
      </c>
      <c r="D1072" s="1" t="s">
        <v>82</v>
      </c>
      <c r="E1072" s="1" t="s">
        <v>21</v>
      </c>
      <c r="F1072" s="2">
        <v>4</v>
      </c>
      <c r="G1072" s="5">
        <v>210</v>
      </c>
      <c r="H1072" s="24">
        <f t="shared" si="80"/>
        <v>840</v>
      </c>
      <c r="I1072" s="7">
        <v>0.05</v>
      </c>
      <c r="J1072" s="5">
        <f t="shared" si="81"/>
        <v>42</v>
      </c>
      <c r="K1072" s="5">
        <f t="shared" si="82"/>
        <v>798</v>
      </c>
      <c r="L1072" s="5">
        <v>140</v>
      </c>
      <c r="M1072" s="5">
        <f t="shared" si="83"/>
        <v>238</v>
      </c>
      <c r="N1072" s="7">
        <f t="shared" si="84"/>
        <v>0.2982456140350877</v>
      </c>
      <c r="O1072" s="1" t="s">
        <v>22</v>
      </c>
      <c r="P1072" s="1" t="s">
        <v>31</v>
      </c>
      <c r="Q1072" s="1" t="s">
        <v>24</v>
      </c>
      <c r="R1072" s="1" t="s">
        <v>66</v>
      </c>
      <c r="S1072" s="1" t="s">
        <v>123</v>
      </c>
      <c r="T1072" s="15" t="s">
        <v>53</v>
      </c>
    </row>
    <row r="1073" spans="1:20" x14ac:dyDescent="0.3">
      <c r="A1073" s="14">
        <v>1072</v>
      </c>
      <c r="B1073" s="4">
        <v>44261</v>
      </c>
      <c r="C1073" s="1" t="s">
        <v>532</v>
      </c>
      <c r="D1073" s="1" t="s">
        <v>28</v>
      </c>
      <c r="E1073" s="1" t="s">
        <v>40</v>
      </c>
      <c r="F1073" s="2">
        <v>4</v>
      </c>
      <c r="G1073" s="5">
        <v>1290</v>
      </c>
      <c r="H1073" s="24">
        <f t="shared" si="80"/>
        <v>5160</v>
      </c>
      <c r="I1073" s="7">
        <v>0</v>
      </c>
      <c r="J1073" s="5">
        <f t="shared" si="81"/>
        <v>0</v>
      </c>
      <c r="K1073" s="5">
        <f t="shared" si="82"/>
        <v>5160</v>
      </c>
      <c r="L1073" s="5">
        <v>910</v>
      </c>
      <c r="M1073" s="5">
        <f t="shared" si="83"/>
        <v>1520</v>
      </c>
      <c r="N1073" s="7">
        <f t="shared" si="84"/>
        <v>0.29457364341085274</v>
      </c>
      <c r="O1073" s="1" t="s">
        <v>22</v>
      </c>
      <c r="P1073" s="1" t="s">
        <v>31</v>
      </c>
      <c r="Q1073" s="1" t="s">
        <v>24</v>
      </c>
      <c r="R1073" s="1" t="s">
        <v>88</v>
      </c>
      <c r="S1073" s="1" t="s">
        <v>479</v>
      </c>
      <c r="T1073" s="15" t="s">
        <v>61</v>
      </c>
    </row>
    <row r="1074" spans="1:20" x14ac:dyDescent="0.3">
      <c r="A1074" s="14">
        <v>1073</v>
      </c>
      <c r="B1074" s="4">
        <v>44548</v>
      </c>
      <c r="C1074" s="1" t="s">
        <v>529</v>
      </c>
      <c r="D1074" s="1" t="s">
        <v>20</v>
      </c>
      <c r="E1074" s="1" t="s">
        <v>29</v>
      </c>
      <c r="F1074" s="2">
        <v>11</v>
      </c>
      <c r="G1074" s="5">
        <v>2050</v>
      </c>
      <c r="H1074" s="24">
        <f t="shared" si="80"/>
        <v>22550</v>
      </c>
      <c r="I1074" s="7">
        <v>0.15</v>
      </c>
      <c r="J1074" s="5">
        <f t="shared" si="81"/>
        <v>3382.5</v>
      </c>
      <c r="K1074" s="5">
        <f t="shared" si="82"/>
        <v>19167.5</v>
      </c>
      <c r="L1074" s="5">
        <v>1240</v>
      </c>
      <c r="M1074" s="5">
        <f t="shared" si="83"/>
        <v>5527.5</v>
      </c>
      <c r="N1074" s="7">
        <f t="shared" si="84"/>
        <v>0.28837876614060259</v>
      </c>
      <c r="O1074" s="1" t="s">
        <v>22</v>
      </c>
      <c r="P1074" s="1" t="s">
        <v>31</v>
      </c>
      <c r="Q1074" s="1" t="s">
        <v>48</v>
      </c>
      <c r="R1074" s="1" t="s">
        <v>25</v>
      </c>
      <c r="S1074" s="1" t="s">
        <v>351</v>
      </c>
      <c r="T1074" s="15" t="s">
        <v>53</v>
      </c>
    </row>
    <row r="1075" spans="1:20" x14ac:dyDescent="0.3">
      <c r="A1075" s="14">
        <v>1074</v>
      </c>
      <c r="B1075" s="4">
        <v>44459</v>
      </c>
      <c r="C1075" s="1" t="s">
        <v>529</v>
      </c>
      <c r="D1075" s="1" t="s">
        <v>20</v>
      </c>
      <c r="E1075" s="1" t="s">
        <v>45</v>
      </c>
      <c r="F1075" s="2">
        <v>2</v>
      </c>
      <c r="G1075" s="5">
        <v>180</v>
      </c>
      <c r="H1075" s="24">
        <f t="shared" si="80"/>
        <v>360</v>
      </c>
      <c r="I1075" s="7">
        <v>0</v>
      </c>
      <c r="J1075" s="5">
        <f t="shared" si="81"/>
        <v>0</v>
      </c>
      <c r="K1075" s="5">
        <f t="shared" si="82"/>
        <v>360</v>
      </c>
      <c r="L1075" s="5">
        <v>120</v>
      </c>
      <c r="M1075" s="5">
        <f t="shared" si="83"/>
        <v>120</v>
      </c>
      <c r="N1075" s="7">
        <f t="shared" si="84"/>
        <v>0.33333333333333331</v>
      </c>
      <c r="O1075" s="1" t="s">
        <v>54</v>
      </c>
      <c r="P1075" s="1" t="s">
        <v>23</v>
      </c>
      <c r="Q1075" s="1" t="s">
        <v>32</v>
      </c>
      <c r="R1075" s="1" t="s">
        <v>25</v>
      </c>
      <c r="S1075" s="1" t="s">
        <v>400</v>
      </c>
      <c r="T1075" s="15" t="s">
        <v>27</v>
      </c>
    </row>
    <row r="1076" spans="1:20" x14ac:dyDescent="0.3">
      <c r="A1076" s="14">
        <v>1075</v>
      </c>
      <c r="B1076" s="4">
        <v>44331</v>
      </c>
      <c r="C1076" s="1" t="s">
        <v>530</v>
      </c>
      <c r="D1076" s="1" t="s">
        <v>28</v>
      </c>
      <c r="E1076" s="1" t="s">
        <v>21</v>
      </c>
      <c r="F1076" s="2">
        <v>10</v>
      </c>
      <c r="G1076" s="5">
        <v>180</v>
      </c>
      <c r="H1076" s="24">
        <f t="shared" si="80"/>
        <v>1800</v>
      </c>
      <c r="I1076" s="7">
        <v>0.05</v>
      </c>
      <c r="J1076" s="5">
        <f t="shared" si="81"/>
        <v>90</v>
      </c>
      <c r="K1076" s="5">
        <f t="shared" si="82"/>
        <v>1710</v>
      </c>
      <c r="L1076" s="5">
        <v>120</v>
      </c>
      <c r="M1076" s="5">
        <f t="shared" si="83"/>
        <v>510</v>
      </c>
      <c r="N1076" s="7">
        <f t="shared" si="84"/>
        <v>0.2982456140350877</v>
      </c>
      <c r="O1076" s="1" t="s">
        <v>22</v>
      </c>
      <c r="P1076" s="1" t="s">
        <v>76</v>
      </c>
      <c r="Q1076" s="1" t="s">
        <v>37</v>
      </c>
      <c r="R1076" s="1" t="s">
        <v>66</v>
      </c>
      <c r="S1076" s="1" t="s">
        <v>198</v>
      </c>
      <c r="T1076" s="15" t="s">
        <v>53</v>
      </c>
    </row>
    <row r="1077" spans="1:20" x14ac:dyDescent="0.3">
      <c r="A1077" s="14">
        <v>1076</v>
      </c>
      <c r="B1077" s="4">
        <v>44321</v>
      </c>
      <c r="C1077" s="1" t="s">
        <v>533</v>
      </c>
      <c r="D1077" s="1" t="s">
        <v>28</v>
      </c>
      <c r="E1077" s="1" t="s">
        <v>29</v>
      </c>
      <c r="F1077" s="2">
        <v>6</v>
      </c>
      <c r="G1077" s="5">
        <v>2060</v>
      </c>
      <c r="H1077" s="24">
        <f t="shared" si="80"/>
        <v>12360</v>
      </c>
      <c r="I1077" s="7">
        <v>0</v>
      </c>
      <c r="J1077" s="5">
        <f t="shared" si="81"/>
        <v>0</v>
      </c>
      <c r="K1077" s="5">
        <f t="shared" si="82"/>
        <v>12360</v>
      </c>
      <c r="L1077" s="5">
        <v>1210</v>
      </c>
      <c r="M1077" s="5">
        <f t="shared" si="83"/>
        <v>5100</v>
      </c>
      <c r="N1077" s="7">
        <f t="shared" si="84"/>
        <v>0.41262135922330095</v>
      </c>
      <c r="O1077" s="1" t="s">
        <v>41</v>
      </c>
      <c r="P1077" s="1" t="s">
        <v>31</v>
      </c>
      <c r="Q1077" s="1" t="s">
        <v>48</v>
      </c>
      <c r="R1077" s="1" t="s">
        <v>46</v>
      </c>
      <c r="S1077" s="1" t="s">
        <v>480</v>
      </c>
      <c r="T1077" s="15" t="s">
        <v>53</v>
      </c>
    </row>
    <row r="1078" spans="1:20" x14ac:dyDescent="0.3">
      <c r="A1078" s="14">
        <v>1077</v>
      </c>
      <c r="B1078" s="4">
        <v>44358</v>
      </c>
      <c r="C1078" s="1" t="s">
        <v>533</v>
      </c>
      <c r="D1078" s="1" t="s">
        <v>20</v>
      </c>
      <c r="E1078" s="1" t="s">
        <v>21</v>
      </c>
      <c r="F1078" s="2">
        <v>11</v>
      </c>
      <c r="G1078" s="5">
        <v>190</v>
      </c>
      <c r="H1078" s="24">
        <f t="shared" si="80"/>
        <v>2090</v>
      </c>
      <c r="I1078" s="7">
        <v>0.05</v>
      </c>
      <c r="J1078" s="5">
        <f t="shared" si="81"/>
        <v>104.5</v>
      </c>
      <c r="K1078" s="5">
        <f t="shared" si="82"/>
        <v>1985.5</v>
      </c>
      <c r="L1078" s="5">
        <v>140</v>
      </c>
      <c r="M1078" s="5">
        <f t="shared" si="83"/>
        <v>445.5</v>
      </c>
      <c r="N1078" s="7">
        <f t="shared" si="84"/>
        <v>0.22437673130193905</v>
      </c>
      <c r="O1078" s="1" t="s">
        <v>22</v>
      </c>
      <c r="P1078" s="1" t="s">
        <v>31</v>
      </c>
      <c r="Q1078" s="1" t="s">
        <v>32</v>
      </c>
      <c r="R1078" s="1" t="s">
        <v>66</v>
      </c>
      <c r="S1078" s="1" t="s">
        <v>267</v>
      </c>
      <c r="T1078" s="15" t="s">
        <v>61</v>
      </c>
    </row>
    <row r="1079" spans="1:20" x14ac:dyDescent="0.3">
      <c r="A1079" s="14">
        <v>1078</v>
      </c>
      <c r="B1079" s="4">
        <v>44262</v>
      </c>
      <c r="C1079" s="1" t="s">
        <v>533</v>
      </c>
      <c r="D1079" s="1" t="s">
        <v>20</v>
      </c>
      <c r="E1079" s="1" t="s">
        <v>21</v>
      </c>
      <c r="F1079" s="2">
        <v>1</v>
      </c>
      <c r="G1079" s="5">
        <v>200</v>
      </c>
      <c r="H1079" s="24">
        <f t="shared" si="80"/>
        <v>200</v>
      </c>
      <c r="I1079" s="7">
        <v>0.1</v>
      </c>
      <c r="J1079" s="5">
        <f t="shared" si="81"/>
        <v>20</v>
      </c>
      <c r="K1079" s="5">
        <f t="shared" si="82"/>
        <v>180</v>
      </c>
      <c r="L1079" s="5">
        <v>130</v>
      </c>
      <c r="M1079" s="5">
        <f t="shared" si="83"/>
        <v>50</v>
      </c>
      <c r="N1079" s="7">
        <f t="shared" si="84"/>
        <v>0.27777777777777779</v>
      </c>
      <c r="O1079" s="1" t="s">
        <v>41</v>
      </c>
      <c r="P1079" s="1" t="s">
        <v>76</v>
      </c>
      <c r="Q1079" s="1" t="s">
        <v>24</v>
      </c>
      <c r="R1079" s="1" t="s">
        <v>50</v>
      </c>
      <c r="S1079" s="1" t="s">
        <v>481</v>
      </c>
      <c r="T1079" s="15" t="s">
        <v>27</v>
      </c>
    </row>
    <row r="1080" spans="1:20" x14ac:dyDescent="0.3">
      <c r="A1080" s="14">
        <v>1079</v>
      </c>
      <c r="B1080" s="4">
        <v>44407</v>
      </c>
      <c r="C1080" s="1" t="s">
        <v>533</v>
      </c>
      <c r="D1080" s="1" t="s">
        <v>20</v>
      </c>
      <c r="E1080" s="1" t="s">
        <v>36</v>
      </c>
      <c r="F1080" s="2">
        <v>1</v>
      </c>
      <c r="G1080" s="5">
        <v>1280</v>
      </c>
      <c r="H1080" s="24">
        <f t="shared" si="80"/>
        <v>1280</v>
      </c>
      <c r="I1080" s="7">
        <v>0.15</v>
      </c>
      <c r="J1080" s="5">
        <f t="shared" si="81"/>
        <v>192</v>
      </c>
      <c r="K1080" s="5">
        <f t="shared" si="82"/>
        <v>1088</v>
      </c>
      <c r="L1080" s="5">
        <v>880</v>
      </c>
      <c r="M1080" s="5">
        <f t="shared" si="83"/>
        <v>208</v>
      </c>
      <c r="N1080" s="7">
        <f t="shared" si="84"/>
        <v>0.19117647058823528</v>
      </c>
      <c r="O1080" s="1" t="s">
        <v>41</v>
      </c>
      <c r="P1080" s="1" t="s">
        <v>31</v>
      </c>
      <c r="Q1080" s="1" t="s">
        <v>24</v>
      </c>
      <c r="R1080" s="1" t="s">
        <v>33</v>
      </c>
      <c r="S1080" s="1" t="s">
        <v>328</v>
      </c>
      <c r="T1080" s="15" t="s">
        <v>27</v>
      </c>
    </row>
    <row r="1081" spans="1:20" x14ac:dyDescent="0.3">
      <c r="A1081" s="14">
        <v>1080</v>
      </c>
      <c r="B1081" s="4">
        <v>44243</v>
      </c>
      <c r="C1081" s="1" t="s">
        <v>529</v>
      </c>
      <c r="D1081" s="1" t="s">
        <v>28</v>
      </c>
      <c r="E1081" s="1" t="s">
        <v>29</v>
      </c>
      <c r="F1081" s="2">
        <v>1</v>
      </c>
      <c r="G1081" s="5">
        <v>2300</v>
      </c>
      <c r="H1081" s="24">
        <f t="shared" si="80"/>
        <v>2300</v>
      </c>
      <c r="I1081" s="7">
        <v>0.1</v>
      </c>
      <c r="J1081" s="5">
        <f t="shared" si="81"/>
        <v>230</v>
      </c>
      <c r="K1081" s="5">
        <f t="shared" si="82"/>
        <v>2070</v>
      </c>
      <c r="L1081" s="5">
        <v>1510</v>
      </c>
      <c r="M1081" s="5">
        <f t="shared" si="83"/>
        <v>560</v>
      </c>
      <c r="N1081" s="7">
        <f t="shared" si="84"/>
        <v>0.27053140096618356</v>
      </c>
      <c r="O1081" s="1" t="s">
        <v>41</v>
      </c>
      <c r="P1081" s="1" t="s">
        <v>31</v>
      </c>
      <c r="Q1081" s="1" t="s">
        <v>24</v>
      </c>
      <c r="R1081" s="1" t="s">
        <v>63</v>
      </c>
      <c r="S1081" s="1" t="s">
        <v>392</v>
      </c>
      <c r="T1081" s="15" t="s">
        <v>53</v>
      </c>
    </row>
    <row r="1082" spans="1:20" x14ac:dyDescent="0.3">
      <c r="A1082" s="14">
        <v>1081</v>
      </c>
      <c r="B1082" s="4">
        <v>44224</v>
      </c>
      <c r="C1082" s="1" t="s">
        <v>534</v>
      </c>
      <c r="D1082" s="1" t="s">
        <v>28</v>
      </c>
      <c r="E1082" s="1" t="s">
        <v>29</v>
      </c>
      <c r="F1082" s="2">
        <v>12</v>
      </c>
      <c r="G1082" s="5">
        <v>2340</v>
      </c>
      <c r="H1082" s="24">
        <f t="shared" si="80"/>
        <v>28080</v>
      </c>
      <c r="I1082" s="7">
        <v>0.15</v>
      </c>
      <c r="J1082" s="5">
        <f t="shared" si="81"/>
        <v>4212</v>
      </c>
      <c r="K1082" s="5">
        <f t="shared" si="82"/>
        <v>23868</v>
      </c>
      <c r="L1082" s="5">
        <v>1640</v>
      </c>
      <c r="M1082" s="5">
        <f t="shared" si="83"/>
        <v>4188</v>
      </c>
      <c r="N1082" s="7">
        <f t="shared" si="84"/>
        <v>0.17546505781799898</v>
      </c>
      <c r="O1082" s="1" t="s">
        <v>59</v>
      </c>
      <c r="P1082" s="1" t="s">
        <v>31</v>
      </c>
      <c r="Q1082" s="1" t="s">
        <v>48</v>
      </c>
      <c r="R1082" s="1" t="s">
        <v>38</v>
      </c>
      <c r="S1082" s="1" t="s">
        <v>339</v>
      </c>
      <c r="T1082" s="15" t="s">
        <v>53</v>
      </c>
    </row>
    <row r="1083" spans="1:20" x14ac:dyDescent="0.3">
      <c r="A1083" s="14">
        <v>1082</v>
      </c>
      <c r="B1083" s="4">
        <v>44483</v>
      </c>
      <c r="C1083" s="1" t="s">
        <v>529</v>
      </c>
      <c r="D1083" s="1" t="s">
        <v>28</v>
      </c>
      <c r="E1083" s="1" t="s">
        <v>29</v>
      </c>
      <c r="F1083" s="2">
        <v>2</v>
      </c>
      <c r="G1083" s="5">
        <v>2270</v>
      </c>
      <c r="H1083" s="24">
        <f t="shared" si="80"/>
        <v>4540</v>
      </c>
      <c r="I1083" s="7">
        <v>0.1</v>
      </c>
      <c r="J1083" s="5">
        <f t="shared" si="81"/>
        <v>454</v>
      </c>
      <c r="K1083" s="5">
        <f t="shared" si="82"/>
        <v>4086</v>
      </c>
      <c r="L1083" s="5">
        <v>1690</v>
      </c>
      <c r="M1083" s="5">
        <f t="shared" si="83"/>
        <v>706</v>
      </c>
      <c r="N1083" s="7">
        <f t="shared" si="84"/>
        <v>0.1727851199216838</v>
      </c>
      <c r="O1083" s="1" t="s">
        <v>30</v>
      </c>
      <c r="P1083" s="1" t="s">
        <v>31</v>
      </c>
      <c r="Q1083" s="1" t="s">
        <v>32</v>
      </c>
      <c r="R1083" s="1" t="s">
        <v>56</v>
      </c>
      <c r="S1083" s="1" t="s">
        <v>251</v>
      </c>
      <c r="T1083" s="15" t="s">
        <v>35</v>
      </c>
    </row>
    <row r="1084" spans="1:20" x14ac:dyDescent="0.3">
      <c r="A1084" s="14">
        <v>1083</v>
      </c>
      <c r="B1084" s="4">
        <v>44376</v>
      </c>
      <c r="C1084" s="1" t="s">
        <v>533</v>
      </c>
      <c r="D1084" s="1" t="s">
        <v>82</v>
      </c>
      <c r="E1084" s="1" t="s">
        <v>29</v>
      </c>
      <c r="F1084" s="2">
        <v>1</v>
      </c>
      <c r="G1084" s="5">
        <v>2120</v>
      </c>
      <c r="H1084" s="24">
        <f t="shared" si="80"/>
        <v>2120</v>
      </c>
      <c r="I1084" s="7">
        <v>0</v>
      </c>
      <c r="J1084" s="5">
        <f t="shared" si="81"/>
        <v>0</v>
      </c>
      <c r="K1084" s="5">
        <f t="shared" si="82"/>
        <v>2120</v>
      </c>
      <c r="L1084" s="5">
        <v>1300</v>
      </c>
      <c r="M1084" s="5">
        <f t="shared" si="83"/>
        <v>820</v>
      </c>
      <c r="N1084" s="7">
        <f t="shared" si="84"/>
        <v>0.3867924528301887</v>
      </c>
      <c r="O1084" s="1" t="s">
        <v>54</v>
      </c>
      <c r="P1084" s="1" t="s">
        <v>31</v>
      </c>
      <c r="Q1084" s="1" t="s">
        <v>48</v>
      </c>
      <c r="R1084" s="1" t="s">
        <v>66</v>
      </c>
      <c r="S1084" s="1" t="s">
        <v>358</v>
      </c>
      <c r="T1084" s="15" t="s">
        <v>53</v>
      </c>
    </row>
    <row r="1085" spans="1:20" x14ac:dyDescent="0.3">
      <c r="A1085" s="14">
        <v>1084</v>
      </c>
      <c r="B1085" s="4">
        <v>44394</v>
      </c>
      <c r="C1085" s="1" t="s">
        <v>530</v>
      </c>
      <c r="D1085" s="1" t="s">
        <v>28</v>
      </c>
      <c r="E1085" s="1" t="s">
        <v>21</v>
      </c>
      <c r="F1085" s="2">
        <v>4</v>
      </c>
      <c r="G1085" s="5">
        <v>210</v>
      </c>
      <c r="H1085" s="24">
        <f t="shared" si="80"/>
        <v>840</v>
      </c>
      <c r="I1085" s="7">
        <v>0</v>
      </c>
      <c r="J1085" s="5">
        <f t="shared" si="81"/>
        <v>0</v>
      </c>
      <c r="K1085" s="5">
        <f t="shared" si="82"/>
        <v>840</v>
      </c>
      <c r="L1085" s="5">
        <v>150</v>
      </c>
      <c r="M1085" s="5">
        <f t="shared" si="83"/>
        <v>240</v>
      </c>
      <c r="N1085" s="7">
        <f t="shared" si="84"/>
        <v>0.2857142857142857</v>
      </c>
      <c r="O1085" s="1" t="s">
        <v>30</v>
      </c>
      <c r="P1085" s="1" t="s">
        <v>31</v>
      </c>
      <c r="Q1085" s="1" t="s">
        <v>32</v>
      </c>
      <c r="R1085" s="1" t="s">
        <v>46</v>
      </c>
      <c r="S1085" s="1" t="s">
        <v>436</v>
      </c>
      <c r="T1085" s="15" t="s">
        <v>27</v>
      </c>
    </row>
    <row r="1086" spans="1:20" x14ac:dyDescent="0.3">
      <c r="A1086" s="14">
        <v>1085</v>
      </c>
      <c r="B1086" s="4">
        <v>44344</v>
      </c>
      <c r="C1086" s="1" t="s">
        <v>529</v>
      </c>
      <c r="D1086" s="1" t="s">
        <v>80</v>
      </c>
      <c r="E1086" s="1" t="s">
        <v>29</v>
      </c>
      <c r="F1086" s="2">
        <v>1</v>
      </c>
      <c r="G1086" s="5">
        <v>1910</v>
      </c>
      <c r="H1086" s="24">
        <f t="shared" si="80"/>
        <v>1910</v>
      </c>
      <c r="I1086" s="7">
        <v>0.02</v>
      </c>
      <c r="J1086" s="5">
        <f t="shared" si="81"/>
        <v>38.200000000000003</v>
      </c>
      <c r="K1086" s="5">
        <f t="shared" si="82"/>
        <v>1871.8</v>
      </c>
      <c r="L1086" s="5">
        <v>1310</v>
      </c>
      <c r="M1086" s="5">
        <f t="shared" si="83"/>
        <v>561.79999999999995</v>
      </c>
      <c r="N1086" s="7">
        <f t="shared" si="84"/>
        <v>0.30013890372903085</v>
      </c>
      <c r="O1086" s="1" t="s">
        <v>30</v>
      </c>
      <c r="P1086" s="1" t="s">
        <v>31</v>
      </c>
      <c r="Q1086" s="1" t="s">
        <v>37</v>
      </c>
      <c r="R1086" s="1" t="s">
        <v>88</v>
      </c>
      <c r="S1086" s="1" t="s">
        <v>313</v>
      </c>
      <c r="T1086" s="15" t="s">
        <v>61</v>
      </c>
    </row>
    <row r="1087" spans="1:20" x14ac:dyDescent="0.3">
      <c r="A1087" s="14">
        <v>1086</v>
      </c>
      <c r="B1087" s="4">
        <v>44244</v>
      </c>
      <c r="C1087" s="1" t="s">
        <v>531</v>
      </c>
      <c r="D1087" s="1" t="s">
        <v>82</v>
      </c>
      <c r="E1087" s="1" t="s">
        <v>21</v>
      </c>
      <c r="F1087" s="2">
        <v>6</v>
      </c>
      <c r="G1087" s="5">
        <v>200</v>
      </c>
      <c r="H1087" s="24">
        <f t="shared" si="80"/>
        <v>1200</v>
      </c>
      <c r="I1087" s="7">
        <v>0</v>
      </c>
      <c r="J1087" s="5">
        <f t="shared" si="81"/>
        <v>0</v>
      </c>
      <c r="K1087" s="5">
        <f t="shared" si="82"/>
        <v>1200</v>
      </c>
      <c r="L1087" s="5">
        <v>130</v>
      </c>
      <c r="M1087" s="5">
        <f t="shared" si="83"/>
        <v>420</v>
      </c>
      <c r="N1087" s="7">
        <f t="shared" si="84"/>
        <v>0.35</v>
      </c>
      <c r="O1087" s="1" t="s">
        <v>54</v>
      </c>
      <c r="P1087" s="1" t="s">
        <v>76</v>
      </c>
      <c r="Q1087" s="1" t="s">
        <v>37</v>
      </c>
      <c r="R1087" s="1" t="s">
        <v>38</v>
      </c>
      <c r="S1087" s="1" t="s">
        <v>482</v>
      </c>
      <c r="T1087" s="15" t="s">
        <v>61</v>
      </c>
    </row>
    <row r="1088" spans="1:20" x14ac:dyDescent="0.3">
      <c r="A1088" s="14">
        <v>1087</v>
      </c>
      <c r="B1088" s="4">
        <v>44526</v>
      </c>
      <c r="C1088" s="1" t="s">
        <v>534</v>
      </c>
      <c r="D1088" s="1" t="s">
        <v>82</v>
      </c>
      <c r="E1088" s="1" t="s">
        <v>29</v>
      </c>
      <c r="F1088" s="2">
        <v>9</v>
      </c>
      <c r="G1088" s="5">
        <v>2040</v>
      </c>
      <c r="H1088" s="24">
        <f t="shared" si="80"/>
        <v>18360</v>
      </c>
      <c r="I1088" s="7">
        <v>0.05</v>
      </c>
      <c r="J1088" s="5">
        <f t="shared" si="81"/>
        <v>918</v>
      </c>
      <c r="K1088" s="5">
        <f t="shared" si="82"/>
        <v>17442</v>
      </c>
      <c r="L1088" s="5">
        <v>1560</v>
      </c>
      <c r="M1088" s="5">
        <f t="shared" si="83"/>
        <v>3402</v>
      </c>
      <c r="N1088" s="7">
        <f t="shared" si="84"/>
        <v>0.19504643962848298</v>
      </c>
      <c r="O1088" s="1" t="s">
        <v>59</v>
      </c>
      <c r="P1088" s="1" t="s">
        <v>31</v>
      </c>
      <c r="Q1088" s="1" t="s">
        <v>37</v>
      </c>
      <c r="R1088" s="1" t="s">
        <v>33</v>
      </c>
      <c r="S1088" s="1" t="s">
        <v>204</v>
      </c>
      <c r="T1088" s="15" t="s">
        <v>61</v>
      </c>
    </row>
    <row r="1089" spans="1:20" x14ac:dyDescent="0.3">
      <c r="A1089" s="14">
        <v>1088</v>
      </c>
      <c r="B1089" s="4">
        <v>44467</v>
      </c>
      <c r="C1089" s="1" t="s">
        <v>533</v>
      </c>
      <c r="D1089" s="1" t="s">
        <v>28</v>
      </c>
      <c r="E1089" s="1" t="s">
        <v>40</v>
      </c>
      <c r="F1089" s="2">
        <v>10</v>
      </c>
      <c r="G1089" s="5">
        <v>1620</v>
      </c>
      <c r="H1089" s="24">
        <f t="shared" si="80"/>
        <v>16200</v>
      </c>
      <c r="I1089" s="7">
        <v>0</v>
      </c>
      <c r="J1089" s="5">
        <f t="shared" si="81"/>
        <v>0</v>
      </c>
      <c r="K1089" s="5">
        <f t="shared" si="82"/>
        <v>16200</v>
      </c>
      <c r="L1089" s="5">
        <v>960</v>
      </c>
      <c r="M1089" s="5">
        <f t="shared" si="83"/>
        <v>6600</v>
      </c>
      <c r="N1089" s="7">
        <f t="shared" si="84"/>
        <v>0.40740740740740738</v>
      </c>
      <c r="O1089" s="1" t="s">
        <v>30</v>
      </c>
      <c r="P1089" s="1" t="s">
        <v>31</v>
      </c>
      <c r="Q1089" s="1" t="s">
        <v>37</v>
      </c>
      <c r="R1089" s="1" t="s">
        <v>46</v>
      </c>
      <c r="S1089" s="1" t="s">
        <v>434</v>
      </c>
      <c r="T1089" s="15" t="s">
        <v>53</v>
      </c>
    </row>
    <row r="1090" spans="1:20" x14ac:dyDescent="0.3">
      <c r="A1090" s="14">
        <v>1089</v>
      </c>
      <c r="B1090" s="4">
        <v>44260</v>
      </c>
      <c r="C1090" s="1" t="s">
        <v>529</v>
      </c>
      <c r="D1090" s="1" t="s">
        <v>82</v>
      </c>
      <c r="E1090" s="1" t="s">
        <v>43</v>
      </c>
      <c r="F1090" s="2">
        <v>3</v>
      </c>
      <c r="G1090" s="5">
        <v>310</v>
      </c>
      <c r="H1090" s="24">
        <f t="shared" ref="H1090:H1153" si="85">F1090*G1090</f>
        <v>930</v>
      </c>
      <c r="I1090" s="7">
        <v>0.02</v>
      </c>
      <c r="J1090" s="5">
        <f t="shared" ref="J1090:J1153" si="86">H1090*I1090</f>
        <v>18.600000000000001</v>
      </c>
      <c r="K1090" s="5">
        <f t="shared" ref="K1090:K1153" si="87">H1090-J1090</f>
        <v>911.4</v>
      </c>
      <c r="L1090" s="5">
        <v>210</v>
      </c>
      <c r="M1090" s="5">
        <f t="shared" ref="M1090:M1153" si="88">K1090-(F1090*L1090)</f>
        <v>281.39999999999998</v>
      </c>
      <c r="N1090" s="7">
        <f t="shared" ref="N1090:N1153" si="89">IFERROR(M1090/K1090,0)</f>
        <v>0.30875576036866359</v>
      </c>
      <c r="O1090" s="1" t="s">
        <v>59</v>
      </c>
      <c r="P1090" s="1" t="s">
        <v>31</v>
      </c>
      <c r="Q1090" s="1" t="s">
        <v>24</v>
      </c>
      <c r="R1090" s="1" t="s">
        <v>38</v>
      </c>
      <c r="S1090" s="1" t="s">
        <v>85</v>
      </c>
      <c r="T1090" s="15" t="s">
        <v>53</v>
      </c>
    </row>
    <row r="1091" spans="1:20" x14ac:dyDescent="0.3">
      <c r="A1091" s="14">
        <v>1090</v>
      </c>
      <c r="B1091" s="4">
        <v>44389</v>
      </c>
      <c r="C1091" s="1" t="s">
        <v>533</v>
      </c>
      <c r="D1091" s="1" t="s">
        <v>20</v>
      </c>
      <c r="E1091" s="1" t="s">
        <v>36</v>
      </c>
      <c r="F1091" s="2">
        <v>3</v>
      </c>
      <c r="G1091" s="5">
        <v>1270</v>
      </c>
      <c r="H1091" s="24">
        <f t="shared" si="85"/>
        <v>3810</v>
      </c>
      <c r="I1091" s="7">
        <v>0.05</v>
      </c>
      <c r="J1091" s="5">
        <f t="shared" si="86"/>
        <v>190.5</v>
      </c>
      <c r="K1091" s="5">
        <f t="shared" si="87"/>
        <v>3619.5</v>
      </c>
      <c r="L1091" s="5">
        <v>1030</v>
      </c>
      <c r="M1091" s="5">
        <f t="shared" si="88"/>
        <v>529.5</v>
      </c>
      <c r="N1091" s="7">
        <f t="shared" si="89"/>
        <v>0.1462909241607957</v>
      </c>
      <c r="O1091" s="1" t="s">
        <v>22</v>
      </c>
      <c r="P1091" s="1" t="s">
        <v>31</v>
      </c>
      <c r="Q1091" s="1" t="s">
        <v>48</v>
      </c>
      <c r="R1091" s="1" t="s">
        <v>33</v>
      </c>
      <c r="S1091" s="1" t="s">
        <v>483</v>
      </c>
      <c r="T1091" s="15" t="s">
        <v>27</v>
      </c>
    </row>
    <row r="1092" spans="1:20" x14ac:dyDescent="0.3">
      <c r="A1092" s="14">
        <v>1091</v>
      </c>
      <c r="B1092" s="4">
        <v>44411</v>
      </c>
      <c r="C1092" s="1" t="s">
        <v>534</v>
      </c>
      <c r="D1092" s="1" t="s">
        <v>80</v>
      </c>
      <c r="E1092" s="1" t="s">
        <v>45</v>
      </c>
      <c r="F1092" s="2">
        <v>8</v>
      </c>
      <c r="G1092" s="5">
        <v>210</v>
      </c>
      <c r="H1092" s="24">
        <f t="shared" si="85"/>
        <v>1680</v>
      </c>
      <c r="I1092" s="7">
        <v>0</v>
      </c>
      <c r="J1092" s="5">
        <f t="shared" si="86"/>
        <v>0</v>
      </c>
      <c r="K1092" s="5">
        <f t="shared" si="87"/>
        <v>1680</v>
      </c>
      <c r="L1092" s="5">
        <v>130</v>
      </c>
      <c r="M1092" s="5">
        <f t="shared" si="88"/>
        <v>640</v>
      </c>
      <c r="N1092" s="7">
        <f t="shared" si="89"/>
        <v>0.38095238095238093</v>
      </c>
      <c r="O1092" s="1" t="s">
        <v>22</v>
      </c>
      <c r="P1092" s="1" t="s">
        <v>62</v>
      </c>
      <c r="Q1092" s="1" t="s">
        <v>24</v>
      </c>
      <c r="R1092" s="1" t="s">
        <v>66</v>
      </c>
      <c r="S1092" s="1" t="s">
        <v>377</v>
      </c>
      <c r="T1092" s="15" t="s">
        <v>53</v>
      </c>
    </row>
    <row r="1093" spans="1:20" x14ac:dyDescent="0.3">
      <c r="A1093" s="14">
        <v>1092</v>
      </c>
      <c r="B1093" s="4">
        <v>44234</v>
      </c>
      <c r="C1093" s="1" t="s">
        <v>531</v>
      </c>
      <c r="D1093" s="1" t="s">
        <v>20</v>
      </c>
      <c r="E1093" s="1" t="s">
        <v>29</v>
      </c>
      <c r="F1093" s="2">
        <v>5</v>
      </c>
      <c r="G1093" s="5">
        <v>1920</v>
      </c>
      <c r="H1093" s="24">
        <f t="shared" si="85"/>
        <v>9600</v>
      </c>
      <c r="I1093" s="7">
        <v>0.15</v>
      </c>
      <c r="J1093" s="5">
        <f t="shared" si="86"/>
        <v>1440</v>
      </c>
      <c r="K1093" s="5">
        <f t="shared" si="87"/>
        <v>8160</v>
      </c>
      <c r="L1093" s="5">
        <v>1430</v>
      </c>
      <c r="M1093" s="5">
        <f t="shared" si="88"/>
        <v>1010</v>
      </c>
      <c r="N1093" s="7">
        <f t="shared" si="89"/>
        <v>0.12377450980392157</v>
      </c>
      <c r="O1093" s="1" t="s">
        <v>22</v>
      </c>
      <c r="P1093" s="1" t="s">
        <v>31</v>
      </c>
      <c r="Q1093" s="1" t="s">
        <v>48</v>
      </c>
      <c r="R1093" s="1" t="s">
        <v>63</v>
      </c>
      <c r="S1093" s="1" t="s">
        <v>403</v>
      </c>
      <c r="T1093" s="15" t="s">
        <v>27</v>
      </c>
    </row>
    <row r="1094" spans="1:20" x14ac:dyDescent="0.3">
      <c r="A1094" s="14">
        <v>1093</v>
      </c>
      <c r="B1094" s="4">
        <v>44232</v>
      </c>
      <c r="C1094" s="1" t="s">
        <v>530</v>
      </c>
      <c r="D1094" s="1" t="s">
        <v>82</v>
      </c>
      <c r="E1094" s="1" t="s">
        <v>40</v>
      </c>
      <c r="F1094" s="2">
        <v>12</v>
      </c>
      <c r="G1094" s="5">
        <v>1400</v>
      </c>
      <c r="H1094" s="24">
        <f t="shared" si="85"/>
        <v>16800</v>
      </c>
      <c r="I1094" s="7">
        <v>0.15</v>
      </c>
      <c r="J1094" s="5">
        <f t="shared" si="86"/>
        <v>2520</v>
      </c>
      <c r="K1094" s="5">
        <f t="shared" si="87"/>
        <v>14280</v>
      </c>
      <c r="L1094" s="5">
        <v>900</v>
      </c>
      <c r="M1094" s="5">
        <f t="shared" si="88"/>
        <v>3480</v>
      </c>
      <c r="N1094" s="7">
        <f t="shared" si="89"/>
        <v>0.24369747899159663</v>
      </c>
      <c r="O1094" s="1" t="s">
        <v>54</v>
      </c>
      <c r="P1094" s="1" t="s">
        <v>31</v>
      </c>
      <c r="Q1094" s="1" t="s">
        <v>48</v>
      </c>
      <c r="R1094" s="1" t="s">
        <v>50</v>
      </c>
      <c r="S1094" s="1" t="s">
        <v>366</v>
      </c>
      <c r="T1094" s="15" t="s">
        <v>61</v>
      </c>
    </row>
    <row r="1095" spans="1:20" x14ac:dyDescent="0.3">
      <c r="A1095" s="14">
        <v>1094</v>
      </c>
      <c r="B1095" s="4">
        <v>44493</v>
      </c>
      <c r="C1095" s="1" t="s">
        <v>530</v>
      </c>
      <c r="D1095" s="1" t="s">
        <v>80</v>
      </c>
      <c r="E1095" s="1" t="s">
        <v>21</v>
      </c>
      <c r="F1095" s="2">
        <v>3</v>
      </c>
      <c r="G1095" s="5">
        <v>240</v>
      </c>
      <c r="H1095" s="24">
        <f t="shared" si="85"/>
        <v>720</v>
      </c>
      <c r="I1095" s="7">
        <v>0.05</v>
      </c>
      <c r="J1095" s="5">
        <f t="shared" si="86"/>
        <v>36</v>
      </c>
      <c r="K1095" s="5">
        <f t="shared" si="87"/>
        <v>684</v>
      </c>
      <c r="L1095" s="5">
        <v>170</v>
      </c>
      <c r="M1095" s="5">
        <f t="shared" si="88"/>
        <v>174</v>
      </c>
      <c r="N1095" s="7">
        <f t="shared" si="89"/>
        <v>0.25438596491228072</v>
      </c>
      <c r="O1095" s="1" t="s">
        <v>59</v>
      </c>
      <c r="P1095" s="1" t="s">
        <v>31</v>
      </c>
      <c r="Q1095" s="1" t="s">
        <v>24</v>
      </c>
      <c r="R1095" s="1" t="s">
        <v>49</v>
      </c>
      <c r="S1095" s="1" t="s">
        <v>401</v>
      </c>
      <c r="T1095" s="15" t="s">
        <v>27</v>
      </c>
    </row>
    <row r="1096" spans="1:20" x14ac:dyDescent="0.3">
      <c r="A1096" s="14">
        <v>1095</v>
      </c>
      <c r="B1096" s="4">
        <v>44552</v>
      </c>
      <c r="C1096" s="1" t="s">
        <v>530</v>
      </c>
      <c r="D1096" s="1" t="s">
        <v>82</v>
      </c>
      <c r="E1096" s="1" t="s">
        <v>45</v>
      </c>
      <c r="F1096" s="2">
        <v>12</v>
      </c>
      <c r="G1096" s="5">
        <v>210</v>
      </c>
      <c r="H1096" s="24">
        <f t="shared" si="85"/>
        <v>2520</v>
      </c>
      <c r="I1096" s="7">
        <v>0</v>
      </c>
      <c r="J1096" s="5">
        <f t="shared" si="86"/>
        <v>0</v>
      </c>
      <c r="K1096" s="5">
        <f t="shared" si="87"/>
        <v>2520</v>
      </c>
      <c r="L1096" s="5">
        <v>140</v>
      </c>
      <c r="M1096" s="5">
        <f t="shared" si="88"/>
        <v>840</v>
      </c>
      <c r="N1096" s="7">
        <f t="shared" si="89"/>
        <v>0.33333333333333331</v>
      </c>
      <c r="O1096" s="1" t="s">
        <v>22</v>
      </c>
      <c r="P1096" s="1" t="s">
        <v>31</v>
      </c>
      <c r="Q1096" s="1" t="s">
        <v>24</v>
      </c>
      <c r="R1096" s="1" t="s">
        <v>46</v>
      </c>
      <c r="S1096" s="1" t="s">
        <v>144</v>
      </c>
      <c r="T1096" s="15" t="s">
        <v>53</v>
      </c>
    </row>
    <row r="1097" spans="1:20" x14ac:dyDescent="0.3">
      <c r="A1097" s="14">
        <v>1096</v>
      </c>
      <c r="B1097" s="4">
        <v>44554</v>
      </c>
      <c r="C1097" s="1" t="s">
        <v>529</v>
      </c>
      <c r="D1097" s="1" t="s">
        <v>20</v>
      </c>
      <c r="E1097" s="1" t="s">
        <v>21</v>
      </c>
      <c r="F1097" s="2">
        <v>1</v>
      </c>
      <c r="G1097" s="5">
        <v>200</v>
      </c>
      <c r="H1097" s="24">
        <f t="shared" si="85"/>
        <v>200</v>
      </c>
      <c r="I1097" s="7">
        <v>0.02</v>
      </c>
      <c r="J1097" s="5">
        <f t="shared" si="86"/>
        <v>4</v>
      </c>
      <c r="K1097" s="5">
        <f t="shared" si="87"/>
        <v>196</v>
      </c>
      <c r="L1097" s="5">
        <v>130</v>
      </c>
      <c r="M1097" s="5">
        <f t="shared" si="88"/>
        <v>66</v>
      </c>
      <c r="N1097" s="7">
        <f t="shared" si="89"/>
        <v>0.33673469387755101</v>
      </c>
      <c r="O1097" s="1" t="s">
        <v>59</v>
      </c>
      <c r="P1097" s="1" t="s">
        <v>31</v>
      </c>
      <c r="Q1097" s="1" t="s">
        <v>32</v>
      </c>
      <c r="R1097" s="1" t="s">
        <v>46</v>
      </c>
      <c r="S1097" s="1" t="s">
        <v>347</v>
      </c>
      <c r="T1097" s="15" t="s">
        <v>27</v>
      </c>
    </row>
    <row r="1098" spans="1:20" x14ac:dyDescent="0.3">
      <c r="A1098" s="14">
        <v>1097</v>
      </c>
      <c r="B1098" s="4">
        <v>44525</v>
      </c>
      <c r="C1098" s="1" t="s">
        <v>533</v>
      </c>
      <c r="D1098" s="1" t="s">
        <v>82</v>
      </c>
      <c r="E1098" s="1" t="s">
        <v>29</v>
      </c>
      <c r="F1098" s="2">
        <v>4</v>
      </c>
      <c r="G1098" s="5">
        <v>2010</v>
      </c>
      <c r="H1098" s="24">
        <f t="shared" si="85"/>
        <v>8040</v>
      </c>
      <c r="I1098" s="7">
        <v>0</v>
      </c>
      <c r="J1098" s="5">
        <f t="shared" si="86"/>
        <v>0</v>
      </c>
      <c r="K1098" s="5">
        <f t="shared" si="87"/>
        <v>8040</v>
      </c>
      <c r="L1098" s="5">
        <v>1310</v>
      </c>
      <c r="M1098" s="5">
        <f t="shared" si="88"/>
        <v>2800</v>
      </c>
      <c r="N1098" s="7">
        <f t="shared" si="89"/>
        <v>0.34825870646766172</v>
      </c>
      <c r="O1098" s="1" t="s">
        <v>22</v>
      </c>
      <c r="P1098" s="1" t="s">
        <v>62</v>
      </c>
      <c r="Q1098" s="1" t="s">
        <v>32</v>
      </c>
      <c r="R1098" s="1" t="s">
        <v>88</v>
      </c>
      <c r="S1098" s="1" t="s">
        <v>484</v>
      </c>
      <c r="T1098" s="15" t="s">
        <v>35</v>
      </c>
    </row>
    <row r="1099" spans="1:20" x14ac:dyDescent="0.3">
      <c r="A1099" s="14">
        <v>1098</v>
      </c>
      <c r="B1099" s="4">
        <v>44277</v>
      </c>
      <c r="C1099" s="1" t="s">
        <v>530</v>
      </c>
      <c r="D1099" s="1" t="s">
        <v>28</v>
      </c>
      <c r="E1099" s="1" t="s">
        <v>29</v>
      </c>
      <c r="F1099" s="2">
        <v>7</v>
      </c>
      <c r="G1099" s="5">
        <v>2170</v>
      </c>
      <c r="H1099" s="24">
        <f t="shared" si="85"/>
        <v>15190</v>
      </c>
      <c r="I1099" s="7">
        <v>0.15</v>
      </c>
      <c r="J1099" s="5">
        <f t="shared" si="86"/>
        <v>2278.5</v>
      </c>
      <c r="K1099" s="5">
        <f t="shared" si="87"/>
        <v>12911.5</v>
      </c>
      <c r="L1099" s="5">
        <v>1460</v>
      </c>
      <c r="M1099" s="5">
        <f t="shared" si="88"/>
        <v>2691.5</v>
      </c>
      <c r="N1099" s="7">
        <f t="shared" si="89"/>
        <v>0.2084575765790187</v>
      </c>
      <c r="O1099" s="1" t="s">
        <v>41</v>
      </c>
      <c r="P1099" s="1" t="s">
        <v>23</v>
      </c>
      <c r="Q1099" s="1" t="s">
        <v>32</v>
      </c>
      <c r="R1099" s="1" t="s">
        <v>50</v>
      </c>
      <c r="S1099" s="1" t="s">
        <v>485</v>
      </c>
      <c r="T1099" s="15" t="s">
        <v>61</v>
      </c>
    </row>
    <row r="1100" spans="1:20" x14ac:dyDescent="0.3">
      <c r="A1100" s="14">
        <v>1099</v>
      </c>
      <c r="B1100" s="4">
        <v>44469</v>
      </c>
      <c r="C1100" s="1" t="s">
        <v>533</v>
      </c>
      <c r="D1100" s="1" t="s">
        <v>82</v>
      </c>
      <c r="E1100" s="1" t="s">
        <v>36</v>
      </c>
      <c r="F1100" s="2">
        <v>12</v>
      </c>
      <c r="G1100" s="5">
        <v>1150</v>
      </c>
      <c r="H1100" s="24">
        <f t="shared" si="85"/>
        <v>13800</v>
      </c>
      <c r="I1100" s="7">
        <v>0</v>
      </c>
      <c r="J1100" s="5">
        <f t="shared" si="86"/>
        <v>0</v>
      </c>
      <c r="K1100" s="5">
        <f t="shared" si="87"/>
        <v>13800</v>
      </c>
      <c r="L1100" s="5">
        <v>690</v>
      </c>
      <c r="M1100" s="5">
        <f t="shared" si="88"/>
        <v>5520</v>
      </c>
      <c r="N1100" s="7">
        <f t="shared" si="89"/>
        <v>0.4</v>
      </c>
      <c r="O1100" s="1" t="s">
        <v>59</v>
      </c>
      <c r="P1100" s="1" t="s">
        <v>31</v>
      </c>
      <c r="Q1100" s="1" t="s">
        <v>32</v>
      </c>
      <c r="R1100" s="1" t="s">
        <v>50</v>
      </c>
      <c r="S1100" s="1" t="s">
        <v>107</v>
      </c>
      <c r="T1100" s="15" t="s">
        <v>35</v>
      </c>
    </row>
    <row r="1101" spans="1:20" x14ac:dyDescent="0.3">
      <c r="A1101" s="14">
        <v>1100</v>
      </c>
      <c r="B1101" s="4">
        <v>44392</v>
      </c>
      <c r="C1101" s="1" t="s">
        <v>530</v>
      </c>
      <c r="D1101" s="1" t="s">
        <v>82</v>
      </c>
      <c r="E1101" s="1" t="s">
        <v>45</v>
      </c>
      <c r="F1101" s="2">
        <v>7</v>
      </c>
      <c r="G1101" s="5">
        <v>190</v>
      </c>
      <c r="H1101" s="24">
        <f t="shared" si="85"/>
        <v>1330</v>
      </c>
      <c r="I1101" s="7">
        <v>0.05</v>
      </c>
      <c r="J1101" s="5">
        <f t="shared" si="86"/>
        <v>66.5</v>
      </c>
      <c r="K1101" s="5">
        <f t="shared" si="87"/>
        <v>1263.5</v>
      </c>
      <c r="L1101" s="5">
        <v>150</v>
      </c>
      <c r="M1101" s="5">
        <f t="shared" si="88"/>
        <v>213.5</v>
      </c>
      <c r="N1101" s="7">
        <f t="shared" si="89"/>
        <v>0.16897506925207756</v>
      </c>
      <c r="O1101" s="1" t="s">
        <v>22</v>
      </c>
      <c r="P1101" s="1" t="s">
        <v>31</v>
      </c>
      <c r="Q1101" s="1" t="s">
        <v>48</v>
      </c>
      <c r="R1101" s="1" t="s">
        <v>56</v>
      </c>
      <c r="S1101" s="1" t="s">
        <v>299</v>
      </c>
      <c r="T1101" s="15" t="s">
        <v>61</v>
      </c>
    </row>
    <row r="1102" spans="1:20" x14ac:dyDescent="0.3">
      <c r="A1102" s="14">
        <v>1101</v>
      </c>
      <c r="B1102" s="4">
        <v>44559</v>
      </c>
      <c r="C1102" s="1" t="s">
        <v>529</v>
      </c>
      <c r="D1102" s="1" t="s">
        <v>82</v>
      </c>
      <c r="E1102" s="1" t="s">
        <v>45</v>
      </c>
      <c r="F1102" s="2">
        <v>11</v>
      </c>
      <c r="G1102" s="5">
        <v>200</v>
      </c>
      <c r="H1102" s="24">
        <f t="shared" si="85"/>
        <v>2200</v>
      </c>
      <c r="I1102" s="7">
        <v>0.15</v>
      </c>
      <c r="J1102" s="5">
        <f t="shared" si="86"/>
        <v>330</v>
      </c>
      <c r="K1102" s="5">
        <f t="shared" si="87"/>
        <v>1870</v>
      </c>
      <c r="L1102" s="5">
        <v>130</v>
      </c>
      <c r="M1102" s="5">
        <f t="shared" si="88"/>
        <v>440</v>
      </c>
      <c r="N1102" s="7">
        <f t="shared" si="89"/>
        <v>0.23529411764705882</v>
      </c>
      <c r="O1102" s="1" t="s">
        <v>30</v>
      </c>
      <c r="P1102" s="1" t="s">
        <v>31</v>
      </c>
      <c r="Q1102" s="1" t="s">
        <v>37</v>
      </c>
      <c r="R1102" s="1" t="s">
        <v>25</v>
      </c>
      <c r="S1102" s="1" t="s">
        <v>222</v>
      </c>
      <c r="T1102" s="15" t="s">
        <v>61</v>
      </c>
    </row>
    <row r="1103" spans="1:20" x14ac:dyDescent="0.3">
      <c r="A1103" s="14">
        <v>1102</v>
      </c>
      <c r="B1103" s="4">
        <v>44484</v>
      </c>
      <c r="C1103" s="1" t="s">
        <v>534</v>
      </c>
      <c r="D1103" s="1" t="s">
        <v>28</v>
      </c>
      <c r="E1103" s="1" t="s">
        <v>43</v>
      </c>
      <c r="F1103" s="2">
        <v>8</v>
      </c>
      <c r="G1103" s="5">
        <v>290</v>
      </c>
      <c r="H1103" s="24">
        <f t="shared" si="85"/>
        <v>2320</v>
      </c>
      <c r="I1103" s="7">
        <v>0.1</v>
      </c>
      <c r="J1103" s="5">
        <f t="shared" si="86"/>
        <v>232</v>
      </c>
      <c r="K1103" s="5">
        <f t="shared" si="87"/>
        <v>2088</v>
      </c>
      <c r="L1103" s="5">
        <v>170</v>
      </c>
      <c r="M1103" s="5">
        <f t="shared" si="88"/>
        <v>728</v>
      </c>
      <c r="N1103" s="7">
        <f t="shared" si="89"/>
        <v>0.34865900383141762</v>
      </c>
      <c r="O1103" s="1" t="s">
        <v>30</v>
      </c>
      <c r="P1103" s="1" t="s">
        <v>31</v>
      </c>
      <c r="Q1103" s="1" t="s">
        <v>48</v>
      </c>
      <c r="R1103" s="1" t="s">
        <v>56</v>
      </c>
      <c r="S1103" s="1" t="s">
        <v>393</v>
      </c>
      <c r="T1103" s="15" t="s">
        <v>27</v>
      </c>
    </row>
    <row r="1104" spans="1:20" x14ac:dyDescent="0.3">
      <c r="A1104" s="14">
        <v>1103</v>
      </c>
      <c r="B1104" s="4">
        <v>44346</v>
      </c>
      <c r="C1104" s="1" t="s">
        <v>529</v>
      </c>
      <c r="D1104" s="1" t="s">
        <v>28</v>
      </c>
      <c r="E1104" s="1" t="s">
        <v>43</v>
      </c>
      <c r="F1104" s="2">
        <v>6</v>
      </c>
      <c r="G1104" s="5">
        <v>330</v>
      </c>
      <c r="H1104" s="24">
        <f t="shared" si="85"/>
        <v>1980</v>
      </c>
      <c r="I1104" s="7">
        <v>0</v>
      </c>
      <c r="J1104" s="5">
        <f t="shared" si="86"/>
        <v>0</v>
      </c>
      <c r="K1104" s="5">
        <f t="shared" si="87"/>
        <v>1980</v>
      </c>
      <c r="L1104" s="5">
        <v>240</v>
      </c>
      <c r="M1104" s="5">
        <f t="shared" si="88"/>
        <v>540</v>
      </c>
      <c r="N1104" s="7">
        <f t="shared" si="89"/>
        <v>0.27272727272727271</v>
      </c>
      <c r="O1104" s="1" t="s">
        <v>59</v>
      </c>
      <c r="P1104" s="1" t="s">
        <v>62</v>
      </c>
      <c r="Q1104" s="1" t="s">
        <v>32</v>
      </c>
      <c r="R1104" s="1" t="s">
        <v>49</v>
      </c>
      <c r="S1104" s="1" t="s">
        <v>344</v>
      </c>
      <c r="T1104" s="15" t="s">
        <v>61</v>
      </c>
    </row>
    <row r="1105" spans="1:20" x14ac:dyDescent="0.3">
      <c r="A1105" s="14">
        <v>1104</v>
      </c>
      <c r="B1105" s="4">
        <v>44218</v>
      </c>
      <c r="C1105" s="1" t="s">
        <v>533</v>
      </c>
      <c r="D1105" s="1" t="s">
        <v>20</v>
      </c>
      <c r="E1105" s="1" t="s">
        <v>21</v>
      </c>
      <c r="F1105" s="2">
        <v>8</v>
      </c>
      <c r="G1105" s="5">
        <v>210</v>
      </c>
      <c r="H1105" s="24">
        <f t="shared" si="85"/>
        <v>1680</v>
      </c>
      <c r="I1105" s="7">
        <v>0</v>
      </c>
      <c r="J1105" s="5">
        <f t="shared" si="86"/>
        <v>0</v>
      </c>
      <c r="K1105" s="5">
        <f t="shared" si="87"/>
        <v>1680</v>
      </c>
      <c r="L1105" s="5">
        <v>120</v>
      </c>
      <c r="M1105" s="5">
        <f t="shared" si="88"/>
        <v>720</v>
      </c>
      <c r="N1105" s="7">
        <f t="shared" si="89"/>
        <v>0.42857142857142855</v>
      </c>
      <c r="O1105" s="1" t="s">
        <v>59</v>
      </c>
      <c r="P1105" s="1" t="s">
        <v>31</v>
      </c>
      <c r="Q1105" s="1" t="s">
        <v>48</v>
      </c>
      <c r="R1105" s="1" t="s">
        <v>46</v>
      </c>
      <c r="S1105" s="1" t="s">
        <v>224</v>
      </c>
      <c r="T1105" s="15" t="s">
        <v>53</v>
      </c>
    </row>
    <row r="1106" spans="1:20" x14ac:dyDescent="0.3">
      <c r="A1106" s="14">
        <v>1105</v>
      </c>
      <c r="B1106" s="4">
        <v>44323</v>
      </c>
      <c r="C1106" s="1" t="s">
        <v>529</v>
      </c>
      <c r="D1106" s="1" t="s">
        <v>20</v>
      </c>
      <c r="E1106" s="1" t="s">
        <v>36</v>
      </c>
      <c r="F1106" s="2">
        <v>8</v>
      </c>
      <c r="G1106" s="5">
        <v>1360</v>
      </c>
      <c r="H1106" s="24">
        <f t="shared" si="85"/>
        <v>10880</v>
      </c>
      <c r="I1106" s="7">
        <v>0</v>
      </c>
      <c r="J1106" s="5">
        <f t="shared" si="86"/>
        <v>0</v>
      </c>
      <c r="K1106" s="5">
        <f t="shared" si="87"/>
        <v>10880</v>
      </c>
      <c r="L1106" s="5">
        <v>840</v>
      </c>
      <c r="M1106" s="5">
        <f t="shared" si="88"/>
        <v>4160</v>
      </c>
      <c r="N1106" s="7">
        <f t="shared" si="89"/>
        <v>0.38235294117647056</v>
      </c>
      <c r="O1106" s="1" t="s">
        <v>41</v>
      </c>
      <c r="P1106" s="1" t="s">
        <v>62</v>
      </c>
      <c r="Q1106" s="1" t="s">
        <v>24</v>
      </c>
      <c r="R1106" s="1" t="s">
        <v>50</v>
      </c>
      <c r="S1106" s="1" t="s">
        <v>486</v>
      </c>
      <c r="T1106" s="15" t="s">
        <v>61</v>
      </c>
    </row>
    <row r="1107" spans="1:20" x14ac:dyDescent="0.3">
      <c r="A1107" s="14">
        <v>1106</v>
      </c>
      <c r="B1107" s="4">
        <v>44487</v>
      </c>
      <c r="C1107" s="1" t="s">
        <v>529</v>
      </c>
      <c r="D1107" s="1" t="s">
        <v>20</v>
      </c>
      <c r="E1107" s="1" t="s">
        <v>45</v>
      </c>
      <c r="F1107" s="2">
        <v>6</v>
      </c>
      <c r="G1107" s="5">
        <v>210</v>
      </c>
      <c r="H1107" s="24">
        <f t="shared" si="85"/>
        <v>1260</v>
      </c>
      <c r="I1107" s="7">
        <v>0</v>
      </c>
      <c r="J1107" s="5">
        <f t="shared" si="86"/>
        <v>0</v>
      </c>
      <c r="K1107" s="5">
        <f t="shared" si="87"/>
        <v>1260</v>
      </c>
      <c r="L1107" s="5">
        <v>170</v>
      </c>
      <c r="M1107" s="5">
        <f t="shared" si="88"/>
        <v>240</v>
      </c>
      <c r="N1107" s="7">
        <f t="shared" si="89"/>
        <v>0.19047619047619047</v>
      </c>
      <c r="O1107" s="1" t="s">
        <v>30</v>
      </c>
      <c r="P1107" s="1" t="s">
        <v>23</v>
      </c>
      <c r="Q1107" s="1" t="s">
        <v>24</v>
      </c>
      <c r="R1107" s="1" t="s">
        <v>49</v>
      </c>
      <c r="S1107" s="1" t="s">
        <v>64</v>
      </c>
      <c r="T1107" s="15" t="s">
        <v>61</v>
      </c>
    </row>
    <row r="1108" spans="1:20" x14ac:dyDescent="0.3">
      <c r="A1108" s="14">
        <v>1107</v>
      </c>
      <c r="B1108" s="4">
        <v>44341</v>
      </c>
      <c r="C1108" s="1" t="s">
        <v>533</v>
      </c>
      <c r="D1108" s="1" t="s">
        <v>20</v>
      </c>
      <c r="E1108" s="1" t="s">
        <v>45</v>
      </c>
      <c r="F1108" s="2">
        <v>7</v>
      </c>
      <c r="G1108" s="5">
        <v>200</v>
      </c>
      <c r="H1108" s="24">
        <f t="shared" si="85"/>
        <v>1400</v>
      </c>
      <c r="I1108" s="7">
        <v>0.05</v>
      </c>
      <c r="J1108" s="5">
        <f t="shared" si="86"/>
        <v>70</v>
      </c>
      <c r="K1108" s="5">
        <f t="shared" si="87"/>
        <v>1330</v>
      </c>
      <c r="L1108" s="5">
        <v>130</v>
      </c>
      <c r="M1108" s="5">
        <f t="shared" si="88"/>
        <v>420</v>
      </c>
      <c r="N1108" s="7">
        <f t="shared" si="89"/>
        <v>0.31578947368421051</v>
      </c>
      <c r="O1108" s="1" t="s">
        <v>22</v>
      </c>
      <c r="P1108" s="1" t="s">
        <v>31</v>
      </c>
      <c r="Q1108" s="1" t="s">
        <v>24</v>
      </c>
      <c r="R1108" s="1" t="s">
        <v>50</v>
      </c>
      <c r="S1108" s="1" t="s">
        <v>487</v>
      </c>
      <c r="T1108" s="15" t="s">
        <v>53</v>
      </c>
    </row>
    <row r="1109" spans="1:20" x14ac:dyDescent="0.3">
      <c r="A1109" s="14">
        <v>1108</v>
      </c>
      <c r="B1109" s="4">
        <v>44349</v>
      </c>
      <c r="C1109" s="1" t="s">
        <v>529</v>
      </c>
      <c r="D1109" s="1" t="s">
        <v>82</v>
      </c>
      <c r="E1109" s="1" t="s">
        <v>40</v>
      </c>
      <c r="F1109" s="2">
        <v>7</v>
      </c>
      <c r="G1109" s="5">
        <v>1650</v>
      </c>
      <c r="H1109" s="24">
        <f t="shared" si="85"/>
        <v>11550</v>
      </c>
      <c r="I1109" s="7">
        <v>0</v>
      </c>
      <c r="J1109" s="5">
        <f t="shared" si="86"/>
        <v>0</v>
      </c>
      <c r="K1109" s="5">
        <f t="shared" si="87"/>
        <v>11550</v>
      </c>
      <c r="L1109" s="5">
        <v>1340</v>
      </c>
      <c r="M1109" s="5">
        <f t="shared" si="88"/>
        <v>2170</v>
      </c>
      <c r="N1109" s="7">
        <f t="shared" si="89"/>
        <v>0.18787878787878787</v>
      </c>
      <c r="O1109" s="1" t="s">
        <v>59</v>
      </c>
      <c r="P1109" s="1" t="s">
        <v>76</v>
      </c>
      <c r="Q1109" s="1" t="s">
        <v>24</v>
      </c>
      <c r="R1109" s="1" t="s">
        <v>38</v>
      </c>
      <c r="S1109" s="1" t="s">
        <v>367</v>
      </c>
      <c r="T1109" s="15" t="s">
        <v>27</v>
      </c>
    </row>
    <row r="1110" spans="1:20" x14ac:dyDescent="0.3">
      <c r="A1110" s="14">
        <v>1109</v>
      </c>
      <c r="B1110" s="4">
        <v>44224</v>
      </c>
      <c r="C1110" s="1" t="s">
        <v>530</v>
      </c>
      <c r="D1110" s="1" t="s">
        <v>82</v>
      </c>
      <c r="E1110" s="1" t="s">
        <v>45</v>
      </c>
      <c r="F1110" s="2">
        <v>12</v>
      </c>
      <c r="G1110" s="5">
        <v>180</v>
      </c>
      <c r="H1110" s="24">
        <f t="shared" si="85"/>
        <v>2160</v>
      </c>
      <c r="I1110" s="7">
        <v>0.02</v>
      </c>
      <c r="J1110" s="5">
        <f t="shared" si="86"/>
        <v>43.2</v>
      </c>
      <c r="K1110" s="5">
        <f t="shared" si="87"/>
        <v>2116.8000000000002</v>
      </c>
      <c r="L1110" s="5">
        <v>150</v>
      </c>
      <c r="M1110" s="5">
        <f t="shared" si="88"/>
        <v>316.80000000000018</v>
      </c>
      <c r="N1110" s="7">
        <f t="shared" si="89"/>
        <v>0.14965986394557831</v>
      </c>
      <c r="O1110" s="1" t="s">
        <v>54</v>
      </c>
      <c r="P1110" s="1" t="s">
        <v>31</v>
      </c>
      <c r="Q1110" s="1" t="s">
        <v>32</v>
      </c>
      <c r="R1110" s="1" t="s">
        <v>49</v>
      </c>
      <c r="S1110" s="1" t="s">
        <v>200</v>
      </c>
      <c r="T1110" s="15" t="s">
        <v>35</v>
      </c>
    </row>
    <row r="1111" spans="1:20" x14ac:dyDescent="0.3">
      <c r="A1111" s="14">
        <v>1110</v>
      </c>
      <c r="B1111" s="4">
        <v>44318</v>
      </c>
      <c r="C1111" s="1" t="s">
        <v>532</v>
      </c>
      <c r="D1111" s="1" t="s">
        <v>20</v>
      </c>
      <c r="E1111" s="1" t="s">
        <v>40</v>
      </c>
      <c r="F1111" s="2">
        <v>4</v>
      </c>
      <c r="G1111" s="5">
        <v>1590</v>
      </c>
      <c r="H1111" s="24">
        <f t="shared" si="85"/>
        <v>6360</v>
      </c>
      <c r="I1111" s="7">
        <v>0.15</v>
      </c>
      <c r="J1111" s="5">
        <f t="shared" si="86"/>
        <v>954</v>
      </c>
      <c r="K1111" s="5">
        <f t="shared" si="87"/>
        <v>5406</v>
      </c>
      <c r="L1111" s="5">
        <v>930</v>
      </c>
      <c r="M1111" s="5">
        <f t="shared" si="88"/>
        <v>1686</v>
      </c>
      <c r="N1111" s="7">
        <f t="shared" si="89"/>
        <v>0.31187569367369589</v>
      </c>
      <c r="O1111" s="1" t="s">
        <v>41</v>
      </c>
      <c r="P1111" s="1" t="s">
        <v>31</v>
      </c>
      <c r="Q1111" s="1" t="s">
        <v>32</v>
      </c>
      <c r="R1111" s="1" t="s">
        <v>63</v>
      </c>
      <c r="S1111" s="1" t="s">
        <v>376</v>
      </c>
      <c r="T1111" s="15" t="s">
        <v>61</v>
      </c>
    </row>
    <row r="1112" spans="1:20" x14ac:dyDescent="0.3">
      <c r="A1112" s="14">
        <v>1111</v>
      </c>
      <c r="B1112" s="4">
        <v>44197</v>
      </c>
      <c r="C1112" s="1" t="s">
        <v>529</v>
      </c>
      <c r="D1112" s="1" t="s">
        <v>28</v>
      </c>
      <c r="E1112" s="1" t="s">
        <v>45</v>
      </c>
      <c r="F1112" s="2">
        <v>3</v>
      </c>
      <c r="G1112" s="5">
        <v>180</v>
      </c>
      <c r="H1112" s="24">
        <f t="shared" si="85"/>
        <v>540</v>
      </c>
      <c r="I1112" s="7">
        <v>0.1</v>
      </c>
      <c r="J1112" s="5">
        <f t="shared" si="86"/>
        <v>54</v>
      </c>
      <c r="K1112" s="5">
        <f t="shared" si="87"/>
        <v>486</v>
      </c>
      <c r="L1112" s="5">
        <v>130</v>
      </c>
      <c r="M1112" s="5">
        <f t="shared" si="88"/>
        <v>96</v>
      </c>
      <c r="N1112" s="7">
        <f t="shared" si="89"/>
        <v>0.19753086419753085</v>
      </c>
      <c r="O1112" s="1" t="s">
        <v>59</v>
      </c>
      <c r="P1112" s="1" t="s">
        <v>62</v>
      </c>
      <c r="Q1112" s="1" t="s">
        <v>24</v>
      </c>
      <c r="R1112" s="1" t="s">
        <v>56</v>
      </c>
      <c r="S1112" s="1" t="s">
        <v>449</v>
      </c>
      <c r="T1112" s="15" t="s">
        <v>53</v>
      </c>
    </row>
    <row r="1113" spans="1:20" x14ac:dyDescent="0.3">
      <c r="A1113" s="14">
        <v>1112</v>
      </c>
      <c r="B1113" s="4">
        <v>44215</v>
      </c>
      <c r="C1113" s="1" t="s">
        <v>532</v>
      </c>
      <c r="D1113" s="1" t="s">
        <v>20</v>
      </c>
      <c r="E1113" s="1" t="s">
        <v>40</v>
      </c>
      <c r="F1113" s="2">
        <v>12</v>
      </c>
      <c r="G1113" s="5">
        <v>1460</v>
      </c>
      <c r="H1113" s="24">
        <f t="shared" si="85"/>
        <v>17520</v>
      </c>
      <c r="I1113" s="7">
        <v>0</v>
      </c>
      <c r="J1113" s="5">
        <f t="shared" si="86"/>
        <v>0</v>
      </c>
      <c r="K1113" s="5">
        <f t="shared" si="87"/>
        <v>17520</v>
      </c>
      <c r="L1113" s="5">
        <v>980</v>
      </c>
      <c r="M1113" s="5">
        <f t="shared" si="88"/>
        <v>5760</v>
      </c>
      <c r="N1113" s="7">
        <f t="shared" si="89"/>
        <v>0.32876712328767121</v>
      </c>
      <c r="O1113" s="1" t="s">
        <v>22</v>
      </c>
      <c r="P1113" s="1" t="s">
        <v>31</v>
      </c>
      <c r="Q1113" s="1" t="s">
        <v>32</v>
      </c>
      <c r="R1113" s="1" t="s">
        <v>49</v>
      </c>
      <c r="S1113" s="1" t="s">
        <v>198</v>
      </c>
      <c r="T1113" s="15" t="s">
        <v>35</v>
      </c>
    </row>
    <row r="1114" spans="1:20" x14ac:dyDescent="0.3">
      <c r="A1114" s="14">
        <v>1113</v>
      </c>
      <c r="B1114" s="4">
        <v>44438</v>
      </c>
      <c r="C1114" s="1" t="s">
        <v>531</v>
      </c>
      <c r="D1114" s="1" t="s">
        <v>20</v>
      </c>
      <c r="E1114" s="1" t="s">
        <v>40</v>
      </c>
      <c r="F1114" s="2">
        <v>6</v>
      </c>
      <c r="G1114" s="5">
        <v>1610</v>
      </c>
      <c r="H1114" s="24">
        <f t="shared" si="85"/>
        <v>9660</v>
      </c>
      <c r="I1114" s="7">
        <v>0</v>
      </c>
      <c r="J1114" s="5">
        <f t="shared" si="86"/>
        <v>0</v>
      </c>
      <c r="K1114" s="5">
        <f t="shared" si="87"/>
        <v>9660</v>
      </c>
      <c r="L1114" s="5">
        <v>1090</v>
      </c>
      <c r="M1114" s="5">
        <f t="shared" si="88"/>
        <v>3120</v>
      </c>
      <c r="N1114" s="7">
        <f t="shared" si="89"/>
        <v>0.32298136645962733</v>
      </c>
      <c r="O1114" s="1" t="s">
        <v>41</v>
      </c>
      <c r="P1114" s="1" t="s">
        <v>31</v>
      </c>
      <c r="Q1114" s="1" t="s">
        <v>37</v>
      </c>
      <c r="R1114" s="1" t="s">
        <v>56</v>
      </c>
      <c r="S1114" s="1" t="s">
        <v>78</v>
      </c>
      <c r="T1114" s="15" t="s">
        <v>27</v>
      </c>
    </row>
    <row r="1115" spans="1:20" x14ac:dyDescent="0.3">
      <c r="A1115" s="14">
        <v>1114</v>
      </c>
      <c r="B1115" s="4">
        <v>44484</v>
      </c>
      <c r="C1115" s="1" t="s">
        <v>534</v>
      </c>
      <c r="D1115" s="1" t="s">
        <v>80</v>
      </c>
      <c r="E1115" s="1" t="s">
        <v>43</v>
      </c>
      <c r="F1115" s="2">
        <v>6</v>
      </c>
      <c r="G1115" s="5">
        <v>340</v>
      </c>
      <c r="H1115" s="24">
        <f t="shared" si="85"/>
        <v>2040</v>
      </c>
      <c r="I1115" s="7">
        <v>0.02</v>
      </c>
      <c r="J1115" s="5">
        <f t="shared" si="86"/>
        <v>40.800000000000004</v>
      </c>
      <c r="K1115" s="5">
        <f t="shared" si="87"/>
        <v>1999.2</v>
      </c>
      <c r="L1115" s="5">
        <v>280</v>
      </c>
      <c r="M1115" s="5">
        <f t="shared" si="88"/>
        <v>319.20000000000005</v>
      </c>
      <c r="N1115" s="7">
        <f t="shared" si="89"/>
        <v>0.1596638655462185</v>
      </c>
      <c r="O1115" s="1" t="s">
        <v>22</v>
      </c>
      <c r="P1115" s="1" t="s">
        <v>31</v>
      </c>
      <c r="Q1115" s="1" t="s">
        <v>32</v>
      </c>
      <c r="R1115" s="1" t="s">
        <v>88</v>
      </c>
      <c r="S1115" s="1" t="s">
        <v>381</v>
      </c>
      <c r="T1115" s="15" t="s">
        <v>27</v>
      </c>
    </row>
    <row r="1116" spans="1:20" x14ac:dyDescent="0.3">
      <c r="A1116" s="14">
        <v>1115</v>
      </c>
      <c r="B1116" s="4">
        <v>44517</v>
      </c>
      <c r="C1116" s="1" t="s">
        <v>533</v>
      </c>
      <c r="D1116" s="1" t="s">
        <v>20</v>
      </c>
      <c r="E1116" s="1" t="s">
        <v>45</v>
      </c>
      <c r="F1116" s="2">
        <v>11</v>
      </c>
      <c r="G1116" s="5">
        <v>200</v>
      </c>
      <c r="H1116" s="24">
        <f t="shared" si="85"/>
        <v>2200</v>
      </c>
      <c r="I1116" s="7">
        <v>0.15</v>
      </c>
      <c r="J1116" s="5">
        <f t="shared" si="86"/>
        <v>330</v>
      </c>
      <c r="K1116" s="5">
        <f t="shared" si="87"/>
        <v>1870</v>
      </c>
      <c r="L1116" s="5">
        <v>140</v>
      </c>
      <c r="M1116" s="5">
        <f t="shared" si="88"/>
        <v>330</v>
      </c>
      <c r="N1116" s="7">
        <f t="shared" si="89"/>
        <v>0.17647058823529413</v>
      </c>
      <c r="O1116" s="1" t="s">
        <v>59</v>
      </c>
      <c r="P1116" s="1" t="s">
        <v>31</v>
      </c>
      <c r="Q1116" s="1" t="s">
        <v>37</v>
      </c>
      <c r="R1116" s="1" t="s">
        <v>25</v>
      </c>
      <c r="S1116" s="1" t="s">
        <v>306</v>
      </c>
      <c r="T1116" s="15" t="s">
        <v>61</v>
      </c>
    </row>
    <row r="1117" spans="1:20" x14ac:dyDescent="0.3">
      <c r="A1117" s="14">
        <v>1116</v>
      </c>
      <c r="B1117" s="4">
        <v>44246</v>
      </c>
      <c r="C1117" s="1" t="s">
        <v>530</v>
      </c>
      <c r="D1117" s="1" t="s">
        <v>20</v>
      </c>
      <c r="E1117" s="1" t="s">
        <v>29</v>
      </c>
      <c r="F1117" s="2">
        <v>3</v>
      </c>
      <c r="G1117" s="5">
        <v>2380</v>
      </c>
      <c r="H1117" s="24">
        <f t="shared" si="85"/>
        <v>7140</v>
      </c>
      <c r="I1117" s="7">
        <v>0</v>
      </c>
      <c r="J1117" s="5">
        <f t="shared" si="86"/>
        <v>0</v>
      </c>
      <c r="K1117" s="5">
        <f t="shared" si="87"/>
        <v>7140</v>
      </c>
      <c r="L1117" s="5">
        <v>1770</v>
      </c>
      <c r="M1117" s="5">
        <f t="shared" si="88"/>
        <v>1830</v>
      </c>
      <c r="N1117" s="7">
        <f t="shared" si="89"/>
        <v>0.25630252100840334</v>
      </c>
      <c r="O1117" s="1" t="s">
        <v>30</v>
      </c>
      <c r="P1117" s="1" t="s">
        <v>31</v>
      </c>
      <c r="Q1117" s="1" t="s">
        <v>48</v>
      </c>
      <c r="R1117" s="1" t="s">
        <v>25</v>
      </c>
      <c r="S1117" s="1" t="s">
        <v>385</v>
      </c>
      <c r="T1117" s="15" t="s">
        <v>27</v>
      </c>
    </row>
    <row r="1118" spans="1:20" x14ac:dyDescent="0.3">
      <c r="A1118" s="14">
        <v>1117</v>
      </c>
      <c r="B1118" s="4">
        <v>44404</v>
      </c>
      <c r="C1118" s="1" t="s">
        <v>533</v>
      </c>
      <c r="D1118" s="1" t="s">
        <v>28</v>
      </c>
      <c r="E1118" s="1" t="s">
        <v>43</v>
      </c>
      <c r="F1118" s="2">
        <v>9</v>
      </c>
      <c r="G1118" s="5">
        <v>330</v>
      </c>
      <c r="H1118" s="24">
        <f t="shared" si="85"/>
        <v>2970</v>
      </c>
      <c r="I1118" s="7">
        <v>0</v>
      </c>
      <c r="J1118" s="5">
        <f t="shared" si="86"/>
        <v>0</v>
      </c>
      <c r="K1118" s="5">
        <f t="shared" si="87"/>
        <v>2970</v>
      </c>
      <c r="L1118" s="5">
        <v>250</v>
      </c>
      <c r="M1118" s="5">
        <f t="shared" si="88"/>
        <v>720</v>
      </c>
      <c r="N1118" s="7">
        <f t="shared" si="89"/>
        <v>0.24242424242424243</v>
      </c>
      <c r="O1118" s="1" t="s">
        <v>54</v>
      </c>
      <c r="P1118" s="1" t="s">
        <v>23</v>
      </c>
      <c r="Q1118" s="1" t="s">
        <v>37</v>
      </c>
      <c r="R1118" s="1" t="s">
        <v>49</v>
      </c>
      <c r="S1118" s="1" t="s">
        <v>247</v>
      </c>
      <c r="T1118" s="15" t="s">
        <v>35</v>
      </c>
    </row>
    <row r="1119" spans="1:20" x14ac:dyDescent="0.3">
      <c r="A1119" s="14">
        <v>1118</v>
      </c>
      <c r="B1119" s="4">
        <v>44382</v>
      </c>
      <c r="C1119" s="1" t="s">
        <v>532</v>
      </c>
      <c r="D1119" s="1" t="s">
        <v>28</v>
      </c>
      <c r="E1119" s="1" t="s">
        <v>21</v>
      </c>
      <c r="F1119" s="2">
        <v>3</v>
      </c>
      <c r="G1119" s="5">
        <v>190</v>
      </c>
      <c r="H1119" s="24">
        <f t="shared" si="85"/>
        <v>570</v>
      </c>
      <c r="I1119" s="7">
        <v>0</v>
      </c>
      <c r="J1119" s="5">
        <f t="shared" si="86"/>
        <v>0</v>
      </c>
      <c r="K1119" s="5">
        <f t="shared" si="87"/>
        <v>570</v>
      </c>
      <c r="L1119" s="5">
        <v>150</v>
      </c>
      <c r="M1119" s="5">
        <f t="shared" si="88"/>
        <v>120</v>
      </c>
      <c r="N1119" s="7">
        <f t="shared" si="89"/>
        <v>0.21052631578947367</v>
      </c>
      <c r="O1119" s="1" t="s">
        <v>30</v>
      </c>
      <c r="P1119" s="1" t="s">
        <v>31</v>
      </c>
      <c r="Q1119" s="1" t="s">
        <v>32</v>
      </c>
      <c r="R1119" s="1" t="s">
        <v>88</v>
      </c>
      <c r="S1119" s="1" t="s">
        <v>117</v>
      </c>
      <c r="T1119" s="15" t="s">
        <v>53</v>
      </c>
    </row>
    <row r="1120" spans="1:20" x14ac:dyDescent="0.3">
      <c r="A1120" s="14">
        <v>1119</v>
      </c>
      <c r="B1120" s="4">
        <v>44478</v>
      </c>
      <c r="C1120" s="1" t="s">
        <v>534</v>
      </c>
      <c r="D1120" s="1" t="s">
        <v>80</v>
      </c>
      <c r="E1120" s="1" t="s">
        <v>40</v>
      </c>
      <c r="F1120" s="2">
        <v>3</v>
      </c>
      <c r="G1120" s="5">
        <v>1420</v>
      </c>
      <c r="H1120" s="24">
        <f t="shared" si="85"/>
        <v>4260</v>
      </c>
      <c r="I1120" s="7">
        <v>0.15</v>
      </c>
      <c r="J1120" s="5">
        <f t="shared" si="86"/>
        <v>639</v>
      </c>
      <c r="K1120" s="5">
        <f t="shared" si="87"/>
        <v>3621</v>
      </c>
      <c r="L1120" s="5">
        <v>1040</v>
      </c>
      <c r="M1120" s="5">
        <f t="shared" si="88"/>
        <v>501</v>
      </c>
      <c r="N1120" s="7">
        <f t="shared" si="89"/>
        <v>0.13835956917978459</v>
      </c>
      <c r="O1120" s="1" t="s">
        <v>59</v>
      </c>
      <c r="P1120" s="1" t="s">
        <v>31</v>
      </c>
      <c r="Q1120" s="1" t="s">
        <v>37</v>
      </c>
      <c r="R1120" s="1" t="s">
        <v>50</v>
      </c>
      <c r="S1120" s="1" t="s">
        <v>363</v>
      </c>
      <c r="T1120" s="15" t="s">
        <v>35</v>
      </c>
    </row>
    <row r="1121" spans="1:20" x14ac:dyDescent="0.3">
      <c r="A1121" s="14">
        <v>1120</v>
      </c>
      <c r="B1121" s="4">
        <v>44386</v>
      </c>
      <c r="C1121" s="1" t="s">
        <v>530</v>
      </c>
      <c r="D1121" s="1" t="s">
        <v>20</v>
      </c>
      <c r="E1121" s="1" t="s">
        <v>43</v>
      </c>
      <c r="F1121" s="2">
        <v>4</v>
      </c>
      <c r="G1121" s="5">
        <v>320</v>
      </c>
      <c r="H1121" s="24">
        <f t="shared" si="85"/>
        <v>1280</v>
      </c>
      <c r="I1121" s="7">
        <v>0.15</v>
      </c>
      <c r="J1121" s="5">
        <f t="shared" si="86"/>
        <v>192</v>
      </c>
      <c r="K1121" s="5">
        <f t="shared" si="87"/>
        <v>1088</v>
      </c>
      <c r="L1121" s="5">
        <v>210</v>
      </c>
      <c r="M1121" s="5">
        <f t="shared" si="88"/>
        <v>248</v>
      </c>
      <c r="N1121" s="7">
        <f t="shared" si="89"/>
        <v>0.22794117647058823</v>
      </c>
      <c r="O1121" s="1" t="s">
        <v>54</v>
      </c>
      <c r="P1121" s="1" t="s">
        <v>31</v>
      </c>
      <c r="Q1121" s="1" t="s">
        <v>32</v>
      </c>
      <c r="R1121" s="1" t="s">
        <v>88</v>
      </c>
      <c r="S1121" s="1" t="s">
        <v>202</v>
      </c>
      <c r="T1121" s="15" t="s">
        <v>53</v>
      </c>
    </row>
    <row r="1122" spans="1:20" x14ac:dyDescent="0.3">
      <c r="A1122" s="14">
        <v>1121</v>
      </c>
      <c r="B1122" s="4">
        <v>44289</v>
      </c>
      <c r="C1122" s="1" t="s">
        <v>530</v>
      </c>
      <c r="D1122" s="1" t="s">
        <v>20</v>
      </c>
      <c r="E1122" s="1" t="s">
        <v>29</v>
      </c>
      <c r="F1122" s="2">
        <v>6</v>
      </c>
      <c r="G1122" s="5">
        <v>2300</v>
      </c>
      <c r="H1122" s="24">
        <f t="shared" si="85"/>
        <v>13800</v>
      </c>
      <c r="I1122" s="7">
        <v>0.05</v>
      </c>
      <c r="J1122" s="5">
        <f t="shared" si="86"/>
        <v>690</v>
      </c>
      <c r="K1122" s="5">
        <f t="shared" si="87"/>
        <v>13110</v>
      </c>
      <c r="L1122" s="5">
        <v>1440</v>
      </c>
      <c r="M1122" s="5">
        <f t="shared" si="88"/>
        <v>4470</v>
      </c>
      <c r="N1122" s="7">
        <f t="shared" si="89"/>
        <v>0.34096109839816935</v>
      </c>
      <c r="O1122" s="1" t="s">
        <v>22</v>
      </c>
      <c r="P1122" s="1" t="s">
        <v>31</v>
      </c>
      <c r="Q1122" s="1" t="s">
        <v>37</v>
      </c>
      <c r="R1122" s="1" t="s">
        <v>50</v>
      </c>
      <c r="S1122" s="1" t="s">
        <v>230</v>
      </c>
      <c r="T1122" s="15" t="s">
        <v>61</v>
      </c>
    </row>
    <row r="1123" spans="1:20" x14ac:dyDescent="0.3">
      <c r="A1123" s="14">
        <v>1122</v>
      </c>
      <c r="B1123" s="4">
        <v>44204</v>
      </c>
      <c r="C1123" s="1" t="s">
        <v>530</v>
      </c>
      <c r="D1123" s="1" t="s">
        <v>82</v>
      </c>
      <c r="E1123" s="1" t="s">
        <v>45</v>
      </c>
      <c r="F1123" s="2">
        <v>10</v>
      </c>
      <c r="G1123" s="5">
        <v>210</v>
      </c>
      <c r="H1123" s="24">
        <f t="shared" si="85"/>
        <v>2100</v>
      </c>
      <c r="I1123" s="7">
        <v>0</v>
      </c>
      <c r="J1123" s="5">
        <f t="shared" si="86"/>
        <v>0</v>
      </c>
      <c r="K1123" s="5">
        <f t="shared" si="87"/>
        <v>2100</v>
      </c>
      <c r="L1123" s="5">
        <v>130</v>
      </c>
      <c r="M1123" s="5">
        <f t="shared" si="88"/>
        <v>800</v>
      </c>
      <c r="N1123" s="7">
        <f t="shared" si="89"/>
        <v>0.38095238095238093</v>
      </c>
      <c r="O1123" s="1" t="s">
        <v>59</v>
      </c>
      <c r="P1123" s="1" t="s">
        <v>31</v>
      </c>
      <c r="Q1123" s="1" t="s">
        <v>37</v>
      </c>
      <c r="R1123" s="1" t="s">
        <v>50</v>
      </c>
      <c r="S1123" s="1" t="s">
        <v>488</v>
      </c>
      <c r="T1123" s="15" t="s">
        <v>53</v>
      </c>
    </row>
    <row r="1124" spans="1:20" x14ac:dyDescent="0.3">
      <c r="A1124" s="14">
        <v>1123</v>
      </c>
      <c r="B1124" s="4">
        <v>44531</v>
      </c>
      <c r="C1124" s="1" t="s">
        <v>529</v>
      </c>
      <c r="D1124" s="1" t="s">
        <v>20</v>
      </c>
      <c r="E1124" s="1" t="s">
        <v>29</v>
      </c>
      <c r="F1124" s="2">
        <v>9</v>
      </c>
      <c r="G1124" s="5">
        <v>2380</v>
      </c>
      <c r="H1124" s="24">
        <f t="shared" si="85"/>
        <v>21420</v>
      </c>
      <c r="I1124" s="7">
        <v>0.05</v>
      </c>
      <c r="J1124" s="5">
        <f t="shared" si="86"/>
        <v>1071</v>
      </c>
      <c r="K1124" s="5">
        <f t="shared" si="87"/>
        <v>20349</v>
      </c>
      <c r="L1124" s="5">
        <v>1590</v>
      </c>
      <c r="M1124" s="5">
        <f t="shared" si="88"/>
        <v>6039</v>
      </c>
      <c r="N1124" s="7">
        <f t="shared" si="89"/>
        <v>0.29677134011499334</v>
      </c>
      <c r="O1124" s="1" t="s">
        <v>59</v>
      </c>
      <c r="P1124" s="1" t="s">
        <v>31</v>
      </c>
      <c r="Q1124" s="1" t="s">
        <v>37</v>
      </c>
      <c r="R1124" s="1" t="s">
        <v>56</v>
      </c>
      <c r="S1124" s="1" t="s">
        <v>226</v>
      </c>
      <c r="T1124" s="15" t="s">
        <v>27</v>
      </c>
    </row>
    <row r="1125" spans="1:20" x14ac:dyDescent="0.3">
      <c r="A1125" s="14">
        <v>1124</v>
      </c>
      <c r="B1125" s="4">
        <v>44382</v>
      </c>
      <c r="C1125" s="1" t="s">
        <v>529</v>
      </c>
      <c r="D1125" s="1" t="s">
        <v>28</v>
      </c>
      <c r="E1125" s="1" t="s">
        <v>43</v>
      </c>
      <c r="F1125" s="2">
        <v>7</v>
      </c>
      <c r="G1125" s="5">
        <v>280</v>
      </c>
      <c r="H1125" s="24">
        <f t="shared" si="85"/>
        <v>1960</v>
      </c>
      <c r="I1125" s="7">
        <v>0.1</v>
      </c>
      <c r="J1125" s="5">
        <f t="shared" si="86"/>
        <v>196</v>
      </c>
      <c r="K1125" s="5">
        <f t="shared" si="87"/>
        <v>1764</v>
      </c>
      <c r="L1125" s="5">
        <v>170</v>
      </c>
      <c r="M1125" s="5">
        <f t="shared" si="88"/>
        <v>574</v>
      </c>
      <c r="N1125" s="7">
        <f t="shared" si="89"/>
        <v>0.32539682539682541</v>
      </c>
      <c r="O1125" s="1" t="s">
        <v>54</v>
      </c>
      <c r="P1125" s="1" t="s">
        <v>31</v>
      </c>
      <c r="Q1125" s="1" t="s">
        <v>48</v>
      </c>
      <c r="R1125" s="1" t="s">
        <v>50</v>
      </c>
      <c r="S1125" s="1" t="s">
        <v>489</v>
      </c>
      <c r="T1125" s="15" t="s">
        <v>53</v>
      </c>
    </row>
    <row r="1126" spans="1:20" x14ac:dyDescent="0.3">
      <c r="A1126" s="14">
        <v>1125</v>
      </c>
      <c r="B1126" s="4">
        <v>44431</v>
      </c>
      <c r="C1126" s="1" t="s">
        <v>533</v>
      </c>
      <c r="D1126" s="1" t="s">
        <v>80</v>
      </c>
      <c r="E1126" s="1" t="s">
        <v>43</v>
      </c>
      <c r="F1126" s="2">
        <v>1</v>
      </c>
      <c r="G1126" s="5">
        <v>320</v>
      </c>
      <c r="H1126" s="24">
        <f t="shared" si="85"/>
        <v>320</v>
      </c>
      <c r="I1126" s="7">
        <v>0.05</v>
      </c>
      <c r="J1126" s="5">
        <f t="shared" si="86"/>
        <v>16</v>
      </c>
      <c r="K1126" s="5">
        <f t="shared" si="87"/>
        <v>304</v>
      </c>
      <c r="L1126" s="5">
        <v>220</v>
      </c>
      <c r="M1126" s="5">
        <f t="shared" si="88"/>
        <v>84</v>
      </c>
      <c r="N1126" s="7">
        <f t="shared" si="89"/>
        <v>0.27631578947368424</v>
      </c>
      <c r="O1126" s="1" t="s">
        <v>59</v>
      </c>
      <c r="P1126" s="1" t="s">
        <v>31</v>
      </c>
      <c r="Q1126" s="1" t="s">
        <v>32</v>
      </c>
      <c r="R1126" s="1" t="s">
        <v>63</v>
      </c>
      <c r="S1126" s="1" t="s">
        <v>311</v>
      </c>
      <c r="T1126" s="15" t="s">
        <v>61</v>
      </c>
    </row>
    <row r="1127" spans="1:20" x14ac:dyDescent="0.3">
      <c r="A1127" s="14">
        <v>1126</v>
      </c>
      <c r="B1127" s="4">
        <v>44206</v>
      </c>
      <c r="C1127" s="1" t="s">
        <v>533</v>
      </c>
      <c r="D1127" s="1" t="s">
        <v>20</v>
      </c>
      <c r="E1127" s="1" t="s">
        <v>29</v>
      </c>
      <c r="F1127" s="2">
        <v>12</v>
      </c>
      <c r="G1127" s="5">
        <v>2100</v>
      </c>
      <c r="H1127" s="24">
        <f t="shared" si="85"/>
        <v>25200</v>
      </c>
      <c r="I1127" s="7">
        <v>0</v>
      </c>
      <c r="J1127" s="5">
        <f t="shared" si="86"/>
        <v>0</v>
      </c>
      <c r="K1127" s="5">
        <f t="shared" si="87"/>
        <v>25200</v>
      </c>
      <c r="L1127" s="5">
        <v>1520</v>
      </c>
      <c r="M1127" s="5">
        <f t="shared" si="88"/>
        <v>6960</v>
      </c>
      <c r="N1127" s="7">
        <f t="shared" si="89"/>
        <v>0.27619047619047621</v>
      </c>
      <c r="O1127" s="1" t="s">
        <v>59</v>
      </c>
      <c r="P1127" s="1" t="s">
        <v>31</v>
      </c>
      <c r="Q1127" s="1" t="s">
        <v>48</v>
      </c>
      <c r="R1127" s="1" t="s">
        <v>33</v>
      </c>
      <c r="S1127" s="1" t="s">
        <v>86</v>
      </c>
      <c r="T1127" s="15" t="s">
        <v>27</v>
      </c>
    </row>
    <row r="1128" spans="1:20" x14ac:dyDescent="0.3">
      <c r="A1128" s="14">
        <v>1127</v>
      </c>
      <c r="B1128" s="4">
        <v>44461</v>
      </c>
      <c r="C1128" s="1" t="s">
        <v>533</v>
      </c>
      <c r="D1128" s="1" t="s">
        <v>20</v>
      </c>
      <c r="E1128" s="1" t="s">
        <v>40</v>
      </c>
      <c r="F1128" s="2">
        <v>2</v>
      </c>
      <c r="G1128" s="5">
        <v>1580</v>
      </c>
      <c r="H1128" s="24">
        <f t="shared" si="85"/>
        <v>3160</v>
      </c>
      <c r="I1128" s="7">
        <v>0.1</v>
      </c>
      <c r="J1128" s="5">
        <f t="shared" si="86"/>
        <v>316</v>
      </c>
      <c r="K1128" s="5">
        <f t="shared" si="87"/>
        <v>2844</v>
      </c>
      <c r="L1128" s="5">
        <v>1060</v>
      </c>
      <c r="M1128" s="5">
        <f t="shared" si="88"/>
        <v>724</v>
      </c>
      <c r="N1128" s="7">
        <f t="shared" si="89"/>
        <v>0.25457102672292548</v>
      </c>
      <c r="O1128" s="1" t="s">
        <v>41</v>
      </c>
      <c r="P1128" s="1" t="s">
        <v>31</v>
      </c>
      <c r="Q1128" s="1" t="s">
        <v>32</v>
      </c>
      <c r="R1128" s="1" t="s">
        <v>88</v>
      </c>
      <c r="S1128" s="1" t="s">
        <v>477</v>
      </c>
      <c r="T1128" s="15" t="s">
        <v>53</v>
      </c>
    </row>
    <row r="1129" spans="1:20" x14ac:dyDescent="0.3">
      <c r="A1129" s="14">
        <v>1128</v>
      </c>
      <c r="B1129" s="4">
        <v>44350</v>
      </c>
      <c r="C1129" s="1" t="s">
        <v>529</v>
      </c>
      <c r="D1129" s="1" t="s">
        <v>20</v>
      </c>
      <c r="E1129" s="1" t="s">
        <v>29</v>
      </c>
      <c r="F1129" s="2">
        <v>5</v>
      </c>
      <c r="G1129" s="5">
        <v>2040</v>
      </c>
      <c r="H1129" s="24">
        <f t="shared" si="85"/>
        <v>10200</v>
      </c>
      <c r="I1129" s="7">
        <v>0.15</v>
      </c>
      <c r="J1129" s="5">
        <f t="shared" si="86"/>
        <v>1530</v>
      </c>
      <c r="K1129" s="5">
        <f t="shared" si="87"/>
        <v>8670</v>
      </c>
      <c r="L1129" s="5">
        <v>1220</v>
      </c>
      <c r="M1129" s="5">
        <f t="shared" si="88"/>
        <v>2570</v>
      </c>
      <c r="N1129" s="7">
        <f t="shared" si="89"/>
        <v>0.2964244521337947</v>
      </c>
      <c r="O1129" s="1" t="s">
        <v>22</v>
      </c>
      <c r="P1129" s="1" t="s">
        <v>76</v>
      </c>
      <c r="Q1129" s="1" t="s">
        <v>48</v>
      </c>
      <c r="R1129" s="1" t="s">
        <v>50</v>
      </c>
      <c r="S1129" s="1" t="s">
        <v>70</v>
      </c>
      <c r="T1129" s="15" t="s">
        <v>27</v>
      </c>
    </row>
    <row r="1130" spans="1:20" x14ac:dyDescent="0.3">
      <c r="A1130" s="14">
        <v>1129</v>
      </c>
      <c r="B1130" s="4">
        <v>44293</v>
      </c>
      <c r="C1130" s="1" t="s">
        <v>533</v>
      </c>
      <c r="D1130" s="1" t="s">
        <v>20</v>
      </c>
      <c r="E1130" s="1" t="s">
        <v>21</v>
      </c>
      <c r="F1130" s="2">
        <v>6</v>
      </c>
      <c r="G1130" s="5">
        <v>220</v>
      </c>
      <c r="H1130" s="24">
        <f t="shared" si="85"/>
        <v>1320</v>
      </c>
      <c r="I1130" s="7">
        <v>0.15</v>
      </c>
      <c r="J1130" s="5">
        <f t="shared" si="86"/>
        <v>198</v>
      </c>
      <c r="K1130" s="5">
        <f t="shared" si="87"/>
        <v>1122</v>
      </c>
      <c r="L1130" s="5">
        <v>160</v>
      </c>
      <c r="M1130" s="5">
        <f t="shared" si="88"/>
        <v>162</v>
      </c>
      <c r="N1130" s="7">
        <f t="shared" si="89"/>
        <v>0.14438502673796791</v>
      </c>
      <c r="O1130" s="1" t="s">
        <v>22</v>
      </c>
      <c r="P1130" s="1" t="s">
        <v>23</v>
      </c>
      <c r="Q1130" s="1" t="s">
        <v>48</v>
      </c>
      <c r="R1130" s="1" t="s">
        <v>49</v>
      </c>
      <c r="S1130" s="1" t="s">
        <v>456</v>
      </c>
      <c r="T1130" s="15" t="s">
        <v>27</v>
      </c>
    </row>
    <row r="1131" spans="1:20" x14ac:dyDescent="0.3">
      <c r="A1131" s="14">
        <v>1130</v>
      </c>
      <c r="B1131" s="4">
        <v>44241</v>
      </c>
      <c r="C1131" s="1" t="s">
        <v>534</v>
      </c>
      <c r="D1131" s="1" t="s">
        <v>20</v>
      </c>
      <c r="E1131" s="1" t="s">
        <v>40</v>
      </c>
      <c r="F1131" s="2">
        <v>11</v>
      </c>
      <c r="G1131" s="5">
        <v>1520</v>
      </c>
      <c r="H1131" s="24">
        <f t="shared" si="85"/>
        <v>16720</v>
      </c>
      <c r="I1131" s="7">
        <v>0.02</v>
      </c>
      <c r="J1131" s="5">
        <f t="shared" si="86"/>
        <v>334.40000000000003</v>
      </c>
      <c r="K1131" s="5">
        <f t="shared" si="87"/>
        <v>16385.599999999999</v>
      </c>
      <c r="L1131" s="5">
        <v>1150</v>
      </c>
      <c r="M1131" s="5">
        <f t="shared" si="88"/>
        <v>3735.5999999999985</v>
      </c>
      <c r="N1131" s="7">
        <f t="shared" si="89"/>
        <v>0.22798066595059069</v>
      </c>
      <c r="O1131" s="1" t="s">
        <v>22</v>
      </c>
      <c r="P1131" s="1" t="s">
        <v>31</v>
      </c>
      <c r="Q1131" s="1" t="s">
        <v>37</v>
      </c>
      <c r="R1131" s="1" t="s">
        <v>88</v>
      </c>
      <c r="S1131" s="1" t="s">
        <v>490</v>
      </c>
      <c r="T1131" s="15" t="s">
        <v>35</v>
      </c>
    </row>
    <row r="1132" spans="1:20" x14ac:dyDescent="0.3">
      <c r="A1132" s="14">
        <v>1131</v>
      </c>
      <c r="B1132" s="4">
        <v>44354</v>
      </c>
      <c r="C1132" s="1" t="s">
        <v>531</v>
      </c>
      <c r="D1132" s="1" t="s">
        <v>82</v>
      </c>
      <c r="E1132" s="1" t="s">
        <v>40</v>
      </c>
      <c r="F1132" s="2">
        <v>5</v>
      </c>
      <c r="G1132" s="5">
        <v>1480</v>
      </c>
      <c r="H1132" s="24">
        <f t="shared" si="85"/>
        <v>7400</v>
      </c>
      <c r="I1132" s="7">
        <v>0</v>
      </c>
      <c r="J1132" s="5">
        <f t="shared" si="86"/>
        <v>0</v>
      </c>
      <c r="K1132" s="5">
        <f t="shared" si="87"/>
        <v>7400</v>
      </c>
      <c r="L1132" s="5">
        <v>1150</v>
      </c>
      <c r="M1132" s="5">
        <f t="shared" si="88"/>
        <v>1650</v>
      </c>
      <c r="N1132" s="7">
        <f t="shared" si="89"/>
        <v>0.22297297297297297</v>
      </c>
      <c r="O1132" s="1" t="s">
        <v>41</v>
      </c>
      <c r="P1132" s="1" t="s">
        <v>31</v>
      </c>
      <c r="Q1132" s="1" t="s">
        <v>48</v>
      </c>
      <c r="R1132" s="1" t="s">
        <v>49</v>
      </c>
      <c r="S1132" s="1" t="s">
        <v>491</v>
      </c>
      <c r="T1132" s="15" t="s">
        <v>27</v>
      </c>
    </row>
    <row r="1133" spans="1:20" x14ac:dyDescent="0.3">
      <c r="A1133" s="14">
        <v>1132</v>
      </c>
      <c r="B1133" s="4">
        <v>44380</v>
      </c>
      <c r="C1133" s="1" t="s">
        <v>530</v>
      </c>
      <c r="D1133" s="1" t="s">
        <v>28</v>
      </c>
      <c r="E1133" s="1" t="s">
        <v>45</v>
      </c>
      <c r="F1133" s="2">
        <v>1</v>
      </c>
      <c r="G1133" s="5">
        <v>210</v>
      </c>
      <c r="H1133" s="24">
        <f t="shared" si="85"/>
        <v>210</v>
      </c>
      <c r="I1133" s="7">
        <v>0.02</v>
      </c>
      <c r="J1133" s="5">
        <f t="shared" si="86"/>
        <v>4.2</v>
      </c>
      <c r="K1133" s="5">
        <f t="shared" si="87"/>
        <v>205.8</v>
      </c>
      <c r="L1133" s="5">
        <v>160</v>
      </c>
      <c r="M1133" s="5">
        <f t="shared" si="88"/>
        <v>45.800000000000011</v>
      </c>
      <c r="N1133" s="7">
        <f t="shared" si="89"/>
        <v>0.22254616132167157</v>
      </c>
      <c r="O1133" s="1" t="s">
        <v>54</v>
      </c>
      <c r="P1133" s="1" t="s">
        <v>31</v>
      </c>
      <c r="Q1133" s="1" t="s">
        <v>32</v>
      </c>
      <c r="R1133" s="1" t="s">
        <v>38</v>
      </c>
      <c r="S1133" s="1" t="s">
        <v>305</v>
      </c>
      <c r="T1133" s="15" t="s">
        <v>53</v>
      </c>
    </row>
    <row r="1134" spans="1:20" x14ac:dyDescent="0.3">
      <c r="A1134" s="14">
        <v>1133</v>
      </c>
      <c r="B1134" s="4">
        <v>44336</v>
      </c>
      <c r="C1134" s="1" t="s">
        <v>529</v>
      </c>
      <c r="D1134" s="1" t="s">
        <v>82</v>
      </c>
      <c r="E1134" s="1" t="s">
        <v>45</v>
      </c>
      <c r="F1134" s="2">
        <v>6</v>
      </c>
      <c r="G1134" s="5">
        <v>210</v>
      </c>
      <c r="H1134" s="24">
        <f t="shared" si="85"/>
        <v>1260</v>
      </c>
      <c r="I1134" s="7">
        <v>0</v>
      </c>
      <c r="J1134" s="5">
        <f t="shared" si="86"/>
        <v>0</v>
      </c>
      <c r="K1134" s="5">
        <f t="shared" si="87"/>
        <v>1260</v>
      </c>
      <c r="L1134" s="5">
        <v>120</v>
      </c>
      <c r="M1134" s="5">
        <f t="shared" si="88"/>
        <v>540</v>
      </c>
      <c r="N1134" s="7">
        <f t="shared" si="89"/>
        <v>0.42857142857142855</v>
      </c>
      <c r="O1134" s="1" t="s">
        <v>30</v>
      </c>
      <c r="P1134" s="1" t="s">
        <v>31</v>
      </c>
      <c r="Q1134" s="1" t="s">
        <v>24</v>
      </c>
      <c r="R1134" s="1" t="s">
        <v>63</v>
      </c>
      <c r="S1134" s="1" t="s">
        <v>465</v>
      </c>
      <c r="T1134" s="15" t="s">
        <v>35</v>
      </c>
    </row>
    <row r="1135" spans="1:20" x14ac:dyDescent="0.3">
      <c r="A1135" s="14">
        <v>1134</v>
      </c>
      <c r="B1135" s="4">
        <v>44289</v>
      </c>
      <c r="C1135" s="1" t="s">
        <v>529</v>
      </c>
      <c r="D1135" s="1" t="s">
        <v>82</v>
      </c>
      <c r="E1135" s="1" t="s">
        <v>21</v>
      </c>
      <c r="F1135" s="2">
        <v>2</v>
      </c>
      <c r="G1135" s="5">
        <v>240</v>
      </c>
      <c r="H1135" s="24">
        <f t="shared" si="85"/>
        <v>480</v>
      </c>
      <c r="I1135" s="7">
        <v>0.1</v>
      </c>
      <c r="J1135" s="5">
        <f t="shared" si="86"/>
        <v>48</v>
      </c>
      <c r="K1135" s="5">
        <f t="shared" si="87"/>
        <v>432</v>
      </c>
      <c r="L1135" s="5">
        <v>160</v>
      </c>
      <c r="M1135" s="5">
        <f t="shared" si="88"/>
        <v>112</v>
      </c>
      <c r="N1135" s="7">
        <f t="shared" si="89"/>
        <v>0.25925925925925924</v>
      </c>
      <c r="O1135" s="1" t="s">
        <v>30</v>
      </c>
      <c r="P1135" s="1" t="s">
        <v>31</v>
      </c>
      <c r="Q1135" s="1" t="s">
        <v>48</v>
      </c>
      <c r="R1135" s="1" t="s">
        <v>50</v>
      </c>
      <c r="S1135" s="1" t="s">
        <v>440</v>
      </c>
      <c r="T1135" s="15" t="s">
        <v>61</v>
      </c>
    </row>
    <row r="1136" spans="1:20" x14ac:dyDescent="0.3">
      <c r="A1136" s="14">
        <v>1135</v>
      </c>
      <c r="B1136" s="4">
        <v>44428</v>
      </c>
      <c r="C1136" s="1" t="s">
        <v>529</v>
      </c>
      <c r="D1136" s="1" t="s">
        <v>28</v>
      </c>
      <c r="E1136" s="1" t="s">
        <v>21</v>
      </c>
      <c r="F1136" s="2">
        <v>6</v>
      </c>
      <c r="G1136" s="5">
        <v>210</v>
      </c>
      <c r="H1136" s="24">
        <f t="shared" si="85"/>
        <v>1260</v>
      </c>
      <c r="I1136" s="7">
        <v>0.1</v>
      </c>
      <c r="J1136" s="5">
        <f t="shared" si="86"/>
        <v>126</v>
      </c>
      <c r="K1136" s="5">
        <f t="shared" si="87"/>
        <v>1134</v>
      </c>
      <c r="L1136" s="5">
        <v>120</v>
      </c>
      <c r="M1136" s="5">
        <f t="shared" si="88"/>
        <v>414</v>
      </c>
      <c r="N1136" s="7">
        <f t="shared" si="89"/>
        <v>0.36507936507936506</v>
      </c>
      <c r="O1136" s="1" t="s">
        <v>59</v>
      </c>
      <c r="P1136" s="1" t="s">
        <v>31</v>
      </c>
      <c r="Q1136" s="1" t="s">
        <v>32</v>
      </c>
      <c r="R1136" s="1" t="s">
        <v>63</v>
      </c>
      <c r="S1136" s="1" t="s">
        <v>186</v>
      </c>
      <c r="T1136" s="15" t="s">
        <v>53</v>
      </c>
    </row>
    <row r="1137" spans="1:20" x14ac:dyDescent="0.3">
      <c r="A1137" s="14">
        <v>1136</v>
      </c>
      <c r="B1137" s="4">
        <v>44532</v>
      </c>
      <c r="C1137" s="1" t="s">
        <v>533</v>
      </c>
      <c r="D1137" s="1" t="s">
        <v>20</v>
      </c>
      <c r="E1137" s="1" t="s">
        <v>43</v>
      </c>
      <c r="F1137" s="2">
        <v>7</v>
      </c>
      <c r="G1137" s="5">
        <v>320</v>
      </c>
      <c r="H1137" s="24">
        <f t="shared" si="85"/>
        <v>2240</v>
      </c>
      <c r="I1137" s="7">
        <v>0.05</v>
      </c>
      <c r="J1137" s="5">
        <f t="shared" si="86"/>
        <v>112</v>
      </c>
      <c r="K1137" s="5">
        <f t="shared" si="87"/>
        <v>2128</v>
      </c>
      <c r="L1137" s="5">
        <v>200</v>
      </c>
      <c r="M1137" s="5">
        <f t="shared" si="88"/>
        <v>728</v>
      </c>
      <c r="N1137" s="7">
        <f t="shared" si="89"/>
        <v>0.34210526315789475</v>
      </c>
      <c r="O1137" s="1" t="s">
        <v>59</v>
      </c>
      <c r="P1137" s="1" t="s">
        <v>31</v>
      </c>
      <c r="Q1137" s="1" t="s">
        <v>48</v>
      </c>
      <c r="R1137" s="1" t="s">
        <v>33</v>
      </c>
      <c r="S1137" s="1" t="s">
        <v>324</v>
      </c>
      <c r="T1137" s="15" t="s">
        <v>61</v>
      </c>
    </row>
    <row r="1138" spans="1:20" x14ac:dyDescent="0.3">
      <c r="A1138" s="14">
        <v>1137</v>
      </c>
      <c r="B1138" s="4">
        <v>44521</v>
      </c>
      <c r="C1138" s="1" t="s">
        <v>532</v>
      </c>
      <c r="D1138" s="1" t="s">
        <v>28</v>
      </c>
      <c r="E1138" s="1" t="s">
        <v>43</v>
      </c>
      <c r="F1138" s="2">
        <v>12</v>
      </c>
      <c r="G1138" s="5">
        <v>300</v>
      </c>
      <c r="H1138" s="24">
        <f t="shared" si="85"/>
        <v>3600</v>
      </c>
      <c r="I1138" s="7">
        <v>0.05</v>
      </c>
      <c r="J1138" s="5">
        <f t="shared" si="86"/>
        <v>180</v>
      </c>
      <c r="K1138" s="5">
        <f t="shared" si="87"/>
        <v>3420</v>
      </c>
      <c r="L1138" s="5">
        <v>240</v>
      </c>
      <c r="M1138" s="5">
        <f t="shared" si="88"/>
        <v>540</v>
      </c>
      <c r="N1138" s="7">
        <f t="shared" si="89"/>
        <v>0.15789473684210525</v>
      </c>
      <c r="O1138" s="1" t="s">
        <v>30</v>
      </c>
      <c r="P1138" s="1" t="s">
        <v>31</v>
      </c>
      <c r="Q1138" s="1" t="s">
        <v>37</v>
      </c>
      <c r="R1138" s="1" t="s">
        <v>50</v>
      </c>
      <c r="S1138" s="1" t="s">
        <v>372</v>
      </c>
      <c r="T1138" s="15" t="s">
        <v>53</v>
      </c>
    </row>
    <row r="1139" spans="1:20" x14ac:dyDescent="0.3">
      <c r="A1139" s="14">
        <v>1138</v>
      </c>
      <c r="B1139" s="4">
        <v>44366</v>
      </c>
      <c r="C1139" s="1" t="s">
        <v>532</v>
      </c>
      <c r="D1139" s="1" t="s">
        <v>28</v>
      </c>
      <c r="E1139" s="1" t="s">
        <v>29</v>
      </c>
      <c r="F1139" s="2">
        <v>11</v>
      </c>
      <c r="G1139" s="5">
        <v>2040</v>
      </c>
      <c r="H1139" s="24">
        <f t="shared" si="85"/>
        <v>22440</v>
      </c>
      <c r="I1139" s="7">
        <v>0.02</v>
      </c>
      <c r="J1139" s="5">
        <f t="shared" si="86"/>
        <v>448.8</v>
      </c>
      <c r="K1139" s="5">
        <f t="shared" si="87"/>
        <v>21991.200000000001</v>
      </c>
      <c r="L1139" s="5">
        <v>1330</v>
      </c>
      <c r="M1139" s="5">
        <f t="shared" si="88"/>
        <v>7361.2000000000007</v>
      </c>
      <c r="N1139" s="7">
        <f t="shared" si="89"/>
        <v>0.334733893557423</v>
      </c>
      <c r="O1139" s="1" t="s">
        <v>41</v>
      </c>
      <c r="P1139" s="1" t="s">
        <v>62</v>
      </c>
      <c r="Q1139" s="1" t="s">
        <v>48</v>
      </c>
      <c r="R1139" s="1" t="s">
        <v>56</v>
      </c>
      <c r="S1139" s="1" t="s">
        <v>424</v>
      </c>
      <c r="T1139" s="15" t="s">
        <v>27</v>
      </c>
    </row>
    <row r="1140" spans="1:20" x14ac:dyDescent="0.3">
      <c r="A1140" s="14">
        <v>1139</v>
      </c>
      <c r="B1140" s="4">
        <v>44345</v>
      </c>
      <c r="C1140" s="1" t="s">
        <v>529</v>
      </c>
      <c r="D1140" s="1" t="s">
        <v>28</v>
      </c>
      <c r="E1140" s="1" t="s">
        <v>40</v>
      </c>
      <c r="F1140" s="2">
        <v>4</v>
      </c>
      <c r="G1140" s="5">
        <v>1390</v>
      </c>
      <c r="H1140" s="24">
        <f t="shared" si="85"/>
        <v>5560</v>
      </c>
      <c r="I1140" s="7">
        <v>0.15</v>
      </c>
      <c r="J1140" s="5">
        <f t="shared" si="86"/>
        <v>834</v>
      </c>
      <c r="K1140" s="5">
        <f t="shared" si="87"/>
        <v>4726</v>
      </c>
      <c r="L1140" s="5">
        <v>860</v>
      </c>
      <c r="M1140" s="5">
        <f t="shared" si="88"/>
        <v>1286</v>
      </c>
      <c r="N1140" s="7">
        <f t="shared" si="89"/>
        <v>0.27211172238679643</v>
      </c>
      <c r="O1140" s="1" t="s">
        <v>22</v>
      </c>
      <c r="P1140" s="1" t="s">
        <v>31</v>
      </c>
      <c r="Q1140" s="1" t="s">
        <v>24</v>
      </c>
      <c r="R1140" s="1" t="s">
        <v>88</v>
      </c>
      <c r="S1140" s="1" t="s">
        <v>437</v>
      </c>
      <c r="T1140" s="15" t="s">
        <v>53</v>
      </c>
    </row>
    <row r="1141" spans="1:20" x14ac:dyDescent="0.3">
      <c r="A1141" s="14">
        <v>1140</v>
      </c>
      <c r="B1141" s="4">
        <v>44256</v>
      </c>
      <c r="C1141" s="1" t="s">
        <v>533</v>
      </c>
      <c r="D1141" s="1" t="s">
        <v>20</v>
      </c>
      <c r="E1141" s="1" t="s">
        <v>40</v>
      </c>
      <c r="F1141" s="2">
        <v>5</v>
      </c>
      <c r="G1141" s="5">
        <v>1650</v>
      </c>
      <c r="H1141" s="24">
        <f t="shared" si="85"/>
        <v>8250</v>
      </c>
      <c r="I1141" s="7">
        <v>0.05</v>
      </c>
      <c r="J1141" s="5">
        <f t="shared" si="86"/>
        <v>412.5</v>
      </c>
      <c r="K1141" s="5">
        <f t="shared" si="87"/>
        <v>7837.5</v>
      </c>
      <c r="L1141" s="5">
        <v>1120</v>
      </c>
      <c r="M1141" s="5">
        <f t="shared" si="88"/>
        <v>2237.5</v>
      </c>
      <c r="N1141" s="7">
        <f t="shared" si="89"/>
        <v>0.28548644338118023</v>
      </c>
      <c r="O1141" s="1" t="s">
        <v>30</v>
      </c>
      <c r="P1141" s="1" t="s">
        <v>31</v>
      </c>
      <c r="Q1141" s="1" t="s">
        <v>37</v>
      </c>
      <c r="R1141" s="1" t="s">
        <v>66</v>
      </c>
      <c r="S1141" s="1" t="s">
        <v>327</v>
      </c>
      <c r="T1141" s="15" t="s">
        <v>27</v>
      </c>
    </row>
    <row r="1142" spans="1:20" x14ac:dyDescent="0.3">
      <c r="A1142" s="14">
        <v>1141</v>
      </c>
      <c r="B1142" s="4">
        <v>44264</v>
      </c>
      <c r="C1142" s="1" t="s">
        <v>529</v>
      </c>
      <c r="D1142" s="1" t="s">
        <v>20</v>
      </c>
      <c r="E1142" s="1" t="s">
        <v>36</v>
      </c>
      <c r="F1142" s="2">
        <v>12</v>
      </c>
      <c r="G1142" s="5">
        <v>1320</v>
      </c>
      <c r="H1142" s="24">
        <f t="shared" si="85"/>
        <v>15840</v>
      </c>
      <c r="I1142" s="7">
        <v>0.02</v>
      </c>
      <c r="J1142" s="5">
        <f t="shared" si="86"/>
        <v>316.8</v>
      </c>
      <c r="K1142" s="5">
        <f t="shared" si="87"/>
        <v>15523.2</v>
      </c>
      <c r="L1142" s="5">
        <v>920</v>
      </c>
      <c r="M1142" s="5">
        <f t="shared" si="88"/>
        <v>4483.2000000000007</v>
      </c>
      <c r="N1142" s="7">
        <f t="shared" si="89"/>
        <v>0.28880643166357456</v>
      </c>
      <c r="O1142" s="1" t="s">
        <v>59</v>
      </c>
      <c r="P1142" s="1" t="s">
        <v>31</v>
      </c>
      <c r="Q1142" s="1" t="s">
        <v>32</v>
      </c>
      <c r="R1142" s="1" t="s">
        <v>66</v>
      </c>
      <c r="S1142" s="1" t="s">
        <v>223</v>
      </c>
      <c r="T1142" s="15" t="s">
        <v>53</v>
      </c>
    </row>
    <row r="1143" spans="1:20" x14ac:dyDescent="0.3">
      <c r="A1143" s="14">
        <v>1142</v>
      </c>
      <c r="B1143" s="4">
        <v>44200</v>
      </c>
      <c r="C1143" s="1" t="s">
        <v>530</v>
      </c>
      <c r="D1143" s="1" t="s">
        <v>28</v>
      </c>
      <c r="E1143" s="1" t="s">
        <v>45</v>
      </c>
      <c r="F1143" s="2">
        <v>2</v>
      </c>
      <c r="G1143" s="5">
        <v>200</v>
      </c>
      <c r="H1143" s="24">
        <f t="shared" si="85"/>
        <v>400</v>
      </c>
      <c r="I1143" s="7">
        <v>0.05</v>
      </c>
      <c r="J1143" s="5">
        <f t="shared" si="86"/>
        <v>20</v>
      </c>
      <c r="K1143" s="5">
        <f t="shared" si="87"/>
        <v>380</v>
      </c>
      <c r="L1143" s="5">
        <v>160</v>
      </c>
      <c r="M1143" s="5">
        <f t="shared" si="88"/>
        <v>60</v>
      </c>
      <c r="N1143" s="7">
        <f t="shared" si="89"/>
        <v>0.15789473684210525</v>
      </c>
      <c r="O1143" s="1" t="s">
        <v>59</v>
      </c>
      <c r="P1143" s="1" t="s">
        <v>31</v>
      </c>
      <c r="Q1143" s="1" t="s">
        <v>48</v>
      </c>
      <c r="R1143" s="1" t="s">
        <v>66</v>
      </c>
      <c r="S1143" s="1" t="s">
        <v>285</v>
      </c>
      <c r="T1143" s="15" t="s">
        <v>27</v>
      </c>
    </row>
    <row r="1144" spans="1:20" x14ac:dyDescent="0.3">
      <c r="A1144" s="14">
        <v>1143</v>
      </c>
      <c r="B1144" s="4">
        <v>44391</v>
      </c>
      <c r="C1144" s="1" t="s">
        <v>529</v>
      </c>
      <c r="D1144" s="1" t="s">
        <v>20</v>
      </c>
      <c r="E1144" s="1" t="s">
        <v>45</v>
      </c>
      <c r="F1144" s="2">
        <v>8</v>
      </c>
      <c r="G1144" s="5">
        <v>200</v>
      </c>
      <c r="H1144" s="24">
        <f t="shared" si="85"/>
        <v>1600</v>
      </c>
      <c r="I1144" s="7">
        <v>0</v>
      </c>
      <c r="J1144" s="5">
        <f t="shared" si="86"/>
        <v>0</v>
      </c>
      <c r="K1144" s="5">
        <f t="shared" si="87"/>
        <v>1600</v>
      </c>
      <c r="L1144" s="5">
        <v>120</v>
      </c>
      <c r="M1144" s="5">
        <f t="shared" si="88"/>
        <v>640</v>
      </c>
      <c r="N1144" s="7">
        <f t="shared" si="89"/>
        <v>0.4</v>
      </c>
      <c r="O1144" s="1" t="s">
        <v>22</v>
      </c>
      <c r="P1144" s="1" t="s">
        <v>31</v>
      </c>
      <c r="Q1144" s="1" t="s">
        <v>37</v>
      </c>
      <c r="R1144" s="1" t="s">
        <v>63</v>
      </c>
      <c r="S1144" s="1" t="s">
        <v>351</v>
      </c>
      <c r="T1144" s="15" t="s">
        <v>53</v>
      </c>
    </row>
    <row r="1145" spans="1:20" x14ac:dyDescent="0.3">
      <c r="A1145" s="14">
        <v>1144</v>
      </c>
      <c r="B1145" s="4">
        <v>44474</v>
      </c>
      <c r="C1145" s="1" t="s">
        <v>530</v>
      </c>
      <c r="D1145" s="1" t="s">
        <v>80</v>
      </c>
      <c r="E1145" s="1" t="s">
        <v>21</v>
      </c>
      <c r="F1145" s="2">
        <v>2</v>
      </c>
      <c r="G1145" s="5">
        <v>240</v>
      </c>
      <c r="H1145" s="24">
        <f t="shared" si="85"/>
        <v>480</v>
      </c>
      <c r="I1145" s="7">
        <v>0.05</v>
      </c>
      <c r="J1145" s="5">
        <f t="shared" si="86"/>
        <v>24</v>
      </c>
      <c r="K1145" s="5">
        <f t="shared" si="87"/>
        <v>456</v>
      </c>
      <c r="L1145" s="5">
        <v>190</v>
      </c>
      <c r="M1145" s="5">
        <f t="shared" si="88"/>
        <v>76</v>
      </c>
      <c r="N1145" s="7">
        <f t="shared" si="89"/>
        <v>0.16666666666666666</v>
      </c>
      <c r="O1145" s="1" t="s">
        <v>59</v>
      </c>
      <c r="P1145" s="1" t="s">
        <v>31</v>
      </c>
      <c r="Q1145" s="1" t="s">
        <v>32</v>
      </c>
      <c r="R1145" s="1" t="s">
        <v>49</v>
      </c>
      <c r="S1145" s="1" t="s">
        <v>125</v>
      </c>
      <c r="T1145" s="15" t="s">
        <v>53</v>
      </c>
    </row>
    <row r="1146" spans="1:20" x14ac:dyDescent="0.3">
      <c r="A1146" s="14">
        <v>1145</v>
      </c>
      <c r="B1146" s="4">
        <v>44331</v>
      </c>
      <c r="C1146" s="1" t="s">
        <v>534</v>
      </c>
      <c r="D1146" s="1" t="s">
        <v>20</v>
      </c>
      <c r="E1146" s="1" t="s">
        <v>36</v>
      </c>
      <c r="F1146" s="2">
        <v>3</v>
      </c>
      <c r="G1146" s="5">
        <v>1120</v>
      </c>
      <c r="H1146" s="24">
        <f t="shared" si="85"/>
        <v>3360</v>
      </c>
      <c r="I1146" s="7">
        <v>0.15</v>
      </c>
      <c r="J1146" s="5">
        <f t="shared" si="86"/>
        <v>504</v>
      </c>
      <c r="K1146" s="5">
        <f t="shared" si="87"/>
        <v>2856</v>
      </c>
      <c r="L1146" s="5">
        <v>800</v>
      </c>
      <c r="M1146" s="5">
        <f t="shared" si="88"/>
        <v>456</v>
      </c>
      <c r="N1146" s="7">
        <f t="shared" si="89"/>
        <v>0.15966386554621848</v>
      </c>
      <c r="O1146" s="1" t="s">
        <v>54</v>
      </c>
      <c r="P1146" s="1" t="s">
        <v>31</v>
      </c>
      <c r="Q1146" s="1" t="s">
        <v>32</v>
      </c>
      <c r="R1146" s="1" t="s">
        <v>56</v>
      </c>
      <c r="S1146" s="1" t="s">
        <v>492</v>
      </c>
      <c r="T1146" s="15" t="s">
        <v>61</v>
      </c>
    </row>
    <row r="1147" spans="1:20" x14ac:dyDescent="0.3">
      <c r="A1147" s="14">
        <v>1146</v>
      </c>
      <c r="B1147" s="4">
        <v>44541</v>
      </c>
      <c r="C1147" s="1" t="s">
        <v>529</v>
      </c>
      <c r="D1147" s="1" t="s">
        <v>20</v>
      </c>
      <c r="E1147" s="1" t="s">
        <v>29</v>
      </c>
      <c r="F1147" s="2">
        <v>8</v>
      </c>
      <c r="G1147" s="5">
        <v>2270</v>
      </c>
      <c r="H1147" s="24">
        <f t="shared" si="85"/>
        <v>18160</v>
      </c>
      <c r="I1147" s="7">
        <v>0.05</v>
      </c>
      <c r="J1147" s="5">
        <f t="shared" si="86"/>
        <v>908</v>
      </c>
      <c r="K1147" s="5">
        <f t="shared" si="87"/>
        <v>17252</v>
      </c>
      <c r="L1147" s="5">
        <v>1470</v>
      </c>
      <c r="M1147" s="5">
        <f t="shared" si="88"/>
        <v>5492</v>
      </c>
      <c r="N1147" s="7">
        <f t="shared" si="89"/>
        <v>0.31833990261998607</v>
      </c>
      <c r="O1147" s="1" t="s">
        <v>22</v>
      </c>
      <c r="P1147" s="1" t="s">
        <v>31</v>
      </c>
      <c r="Q1147" s="1" t="s">
        <v>37</v>
      </c>
      <c r="R1147" s="1" t="s">
        <v>66</v>
      </c>
      <c r="S1147" s="1" t="s">
        <v>34</v>
      </c>
      <c r="T1147" s="15" t="s">
        <v>61</v>
      </c>
    </row>
    <row r="1148" spans="1:20" x14ac:dyDescent="0.3">
      <c r="A1148" s="14">
        <v>1147</v>
      </c>
      <c r="B1148" s="4">
        <v>44337</v>
      </c>
      <c r="C1148" s="1" t="s">
        <v>530</v>
      </c>
      <c r="D1148" s="1" t="s">
        <v>20</v>
      </c>
      <c r="E1148" s="1" t="s">
        <v>45</v>
      </c>
      <c r="F1148" s="2">
        <v>1</v>
      </c>
      <c r="G1148" s="5">
        <v>170</v>
      </c>
      <c r="H1148" s="24">
        <f t="shared" si="85"/>
        <v>170</v>
      </c>
      <c r="I1148" s="7">
        <v>0.05</v>
      </c>
      <c r="J1148" s="5">
        <f t="shared" si="86"/>
        <v>8.5</v>
      </c>
      <c r="K1148" s="5">
        <f t="shared" si="87"/>
        <v>161.5</v>
      </c>
      <c r="L1148" s="5">
        <v>110</v>
      </c>
      <c r="M1148" s="5">
        <f t="shared" si="88"/>
        <v>51.5</v>
      </c>
      <c r="N1148" s="7">
        <f t="shared" si="89"/>
        <v>0.31888544891640869</v>
      </c>
      <c r="O1148" s="1" t="s">
        <v>54</v>
      </c>
      <c r="P1148" s="1" t="s">
        <v>31</v>
      </c>
      <c r="Q1148" s="1" t="s">
        <v>24</v>
      </c>
      <c r="R1148" s="1" t="s">
        <v>50</v>
      </c>
      <c r="S1148" s="1" t="s">
        <v>355</v>
      </c>
      <c r="T1148" s="15" t="s">
        <v>27</v>
      </c>
    </row>
    <row r="1149" spans="1:20" x14ac:dyDescent="0.3">
      <c r="A1149" s="14">
        <v>1148</v>
      </c>
      <c r="B1149" s="4">
        <v>44485</v>
      </c>
      <c r="C1149" s="1" t="s">
        <v>529</v>
      </c>
      <c r="D1149" s="1" t="s">
        <v>28</v>
      </c>
      <c r="E1149" s="1" t="s">
        <v>45</v>
      </c>
      <c r="F1149" s="2">
        <v>12</v>
      </c>
      <c r="G1149" s="5">
        <v>210</v>
      </c>
      <c r="H1149" s="24">
        <f t="shared" si="85"/>
        <v>2520</v>
      </c>
      <c r="I1149" s="7">
        <v>0.02</v>
      </c>
      <c r="J1149" s="5">
        <f t="shared" si="86"/>
        <v>50.4</v>
      </c>
      <c r="K1149" s="5">
        <f t="shared" si="87"/>
        <v>2469.6</v>
      </c>
      <c r="L1149" s="5">
        <v>140</v>
      </c>
      <c r="M1149" s="5">
        <f t="shared" si="88"/>
        <v>789.59999999999991</v>
      </c>
      <c r="N1149" s="7">
        <f t="shared" si="89"/>
        <v>0.31972789115646255</v>
      </c>
      <c r="O1149" s="1" t="s">
        <v>30</v>
      </c>
      <c r="P1149" s="1" t="s">
        <v>31</v>
      </c>
      <c r="Q1149" s="1" t="s">
        <v>37</v>
      </c>
      <c r="R1149" s="1" t="s">
        <v>50</v>
      </c>
      <c r="S1149" s="1" t="s">
        <v>138</v>
      </c>
      <c r="T1149" s="15" t="s">
        <v>27</v>
      </c>
    </row>
    <row r="1150" spans="1:20" x14ac:dyDescent="0.3">
      <c r="A1150" s="14">
        <v>1149</v>
      </c>
      <c r="B1150" s="4">
        <v>44220</v>
      </c>
      <c r="C1150" s="1" t="s">
        <v>530</v>
      </c>
      <c r="D1150" s="1" t="s">
        <v>20</v>
      </c>
      <c r="E1150" s="1" t="s">
        <v>21</v>
      </c>
      <c r="F1150" s="2">
        <v>2</v>
      </c>
      <c r="G1150" s="5">
        <v>210</v>
      </c>
      <c r="H1150" s="24">
        <f t="shared" si="85"/>
        <v>420</v>
      </c>
      <c r="I1150" s="7">
        <v>0.05</v>
      </c>
      <c r="J1150" s="5">
        <f t="shared" si="86"/>
        <v>21</v>
      </c>
      <c r="K1150" s="5">
        <f t="shared" si="87"/>
        <v>399</v>
      </c>
      <c r="L1150" s="5">
        <v>130</v>
      </c>
      <c r="M1150" s="5">
        <f t="shared" si="88"/>
        <v>139</v>
      </c>
      <c r="N1150" s="7">
        <f t="shared" si="89"/>
        <v>0.34837092731829572</v>
      </c>
      <c r="O1150" s="1" t="s">
        <v>22</v>
      </c>
      <c r="P1150" s="1" t="s">
        <v>31</v>
      </c>
      <c r="Q1150" s="1" t="s">
        <v>37</v>
      </c>
      <c r="R1150" s="1" t="s">
        <v>88</v>
      </c>
      <c r="S1150" s="1" t="s">
        <v>469</v>
      </c>
      <c r="T1150" s="15" t="s">
        <v>61</v>
      </c>
    </row>
    <row r="1151" spans="1:20" x14ac:dyDescent="0.3">
      <c r="A1151" s="14">
        <v>1150</v>
      </c>
      <c r="B1151" s="4">
        <v>44201</v>
      </c>
      <c r="C1151" s="1" t="s">
        <v>533</v>
      </c>
      <c r="D1151" s="1" t="s">
        <v>28</v>
      </c>
      <c r="E1151" s="1" t="s">
        <v>43</v>
      </c>
      <c r="F1151" s="2">
        <v>8</v>
      </c>
      <c r="G1151" s="5">
        <v>270</v>
      </c>
      <c r="H1151" s="24">
        <f t="shared" si="85"/>
        <v>2160</v>
      </c>
      <c r="I1151" s="7">
        <v>0.02</v>
      </c>
      <c r="J1151" s="5">
        <f t="shared" si="86"/>
        <v>43.2</v>
      </c>
      <c r="K1151" s="5">
        <f t="shared" si="87"/>
        <v>2116.8000000000002</v>
      </c>
      <c r="L1151" s="5">
        <v>190</v>
      </c>
      <c r="M1151" s="5">
        <f t="shared" si="88"/>
        <v>596.80000000000018</v>
      </c>
      <c r="N1151" s="7">
        <f t="shared" si="89"/>
        <v>0.28193499622071055</v>
      </c>
      <c r="O1151" s="1" t="s">
        <v>30</v>
      </c>
      <c r="P1151" s="1" t="s">
        <v>31</v>
      </c>
      <c r="Q1151" s="1" t="s">
        <v>32</v>
      </c>
      <c r="R1151" s="1" t="s">
        <v>46</v>
      </c>
      <c r="S1151" s="1" t="s">
        <v>136</v>
      </c>
      <c r="T1151" s="15" t="s">
        <v>35</v>
      </c>
    </row>
    <row r="1152" spans="1:20" x14ac:dyDescent="0.3">
      <c r="A1152" s="14">
        <v>1151</v>
      </c>
      <c r="B1152" s="4">
        <v>44225</v>
      </c>
      <c r="C1152" s="1" t="s">
        <v>533</v>
      </c>
      <c r="D1152" s="1" t="s">
        <v>28</v>
      </c>
      <c r="E1152" s="1" t="s">
        <v>43</v>
      </c>
      <c r="F1152" s="2">
        <v>3</v>
      </c>
      <c r="G1152" s="5">
        <v>320</v>
      </c>
      <c r="H1152" s="24">
        <f t="shared" si="85"/>
        <v>960</v>
      </c>
      <c r="I1152" s="7">
        <v>0</v>
      </c>
      <c r="J1152" s="5">
        <f t="shared" si="86"/>
        <v>0</v>
      </c>
      <c r="K1152" s="5">
        <f t="shared" si="87"/>
        <v>960</v>
      </c>
      <c r="L1152" s="5">
        <v>250</v>
      </c>
      <c r="M1152" s="5">
        <f t="shared" si="88"/>
        <v>210</v>
      </c>
      <c r="N1152" s="7">
        <f t="shared" si="89"/>
        <v>0.21875</v>
      </c>
      <c r="O1152" s="1" t="s">
        <v>54</v>
      </c>
      <c r="P1152" s="1" t="s">
        <v>31</v>
      </c>
      <c r="Q1152" s="1" t="s">
        <v>32</v>
      </c>
      <c r="R1152" s="1" t="s">
        <v>46</v>
      </c>
      <c r="S1152" s="1" t="s">
        <v>201</v>
      </c>
      <c r="T1152" s="15" t="s">
        <v>53</v>
      </c>
    </row>
    <row r="1153" spans="1:20" x14ac:dyDescent="0.3">
      <c r="A1153" s="14">
        <v>1152</v>
      </c>
      <c r="B1153" s="4">
        <v>44432</v>
      </c>
      <c r="C1153" s="1" t="s">
        <v>534</v>
      </c>
      <c r="D1153" s="1" t="s">
        <v>20</v>
      </c>
      <c r="E1153" s="1" t="s">
        <v>45</v>
      </c>
      <c r="F1153" s="2">
        <v>12</v>
      </c>
      <c r="G1153" s="5">
        <v>190</v>
      </c>
      <c r="H1153" s="24">
        <f t="shared" si="85"/>
        <v>2280</v>
      </c>
      <c r="I1153" s="7">
        <v>0.1</v>
      </c>
      <c r="J1153" s="5">
        <f t="shared" si="86"/>
        <v>228</v>
      </c>
      <c r="K1153" s="5">
        <f t="shared" si="87"/>
        <v>2052</v>
      </c>
      <c r="L1153" s="5">
        <v>120</v>
      </c>
      <c r="M1153" s="5">
        <f t="shared" si="88"/>
        <v>612</v>
      </c>
      <c r="N1153" s="7">
        <f t="shared" si="89"/>
        <v>0.2982456140350877</v>
      </c>
      <c r="O1153" s="1" t="s">
        <v>22</v>
      </c>
      <c r="P1153" s="1" t="s">
        <v>31</v>
      </c>
      <c r="Q1153" s="1" t="s">
        <v>48</v>
      </c>
      <c r="R1153" s="1" t="s">
        <v>46</v>
      </c>
      <c r="S1153" s="1" t="s">
        <v>493</v>
      </c>
      <c r="T1153" s="15" t="s">
        <v>27</v>
      </c>
    </row>
    <row r="1154" spans="1:20" x14ac:dyDescent="0.3">
      <c r="A1154" s="14">
        <v>1153</v>
      </c>
      <c r="B1154" s="4">
        <v>44393</v>
      </c>
      <c r="C1154" s="1" t="s">
        <v>532</v>
      </c>
      <c r="D1154" s="1" t="s">
        <v>80</v>
      </c>
      <c r="E1154" s="1" t="s">
        <v>45</v>
      </c>
      <c r="F1154" s="2">
        <v>7</v>
      </c>
      <c r="G1154" s="5">
        <v>170</v>
      </c>
      <c r="H1154" s="24">
        <f t="shared" ref="H1154:H1217" si="90">F1154*G1154</f>
        <v>1190</v>
      </c>
      <c r="I1154" s="7">
        <v>0.1</v>
      </c>
      <c r="J1154" s="5">
        <f t="shared" ref="J1154:J1217" si="91">H1154*I1154</f>
        <v>119</v>
      </c>
      <c r="K1154" s="5">
        <f t="shared" ref="K1154:K1217" si="92">H1154-J1154</f>
        <v>1071</v>
      </c>
      <c r="L1154" s="5">
        <v>130</v>
      </c>
      <c r="M1154" s="5">
        <f t="shared" ref="M1154:M1217" si="93">K1154-(F1154*L1154)</f>
        <v>161</v>
      </c>
      <c r="N1154" s="7">
        <f t="shared" ref="N1154:N1217" si="94">IFERROR(M1154/K1154,0)</f>
        <v>0.15032679738562091</v>
      </c>
      <c r="O1154" s="1" t="s">
        <v>59</v>
      </c>
      <c r="P1154" s="1" t="s">
        <v>31</v>
      </c>
      <c r="Q1154" s="1" t="s">
        <v>37</v>
      </c>
      <c r="R1154" s="1" t="s">
        <v>66</v>
      </c>
      <c r="S1154" s="1" t="s">
        <v>494</v>
      </c>
      <c r="T1154" s="15" t="s">
        <v>27</v>
      </c>
    </row>
    <row r="1155" spans="1:20" x14ac:dyDescent="0.3">
      <c r="A1155" s="14">
        <v>1154</v>
      </c>
      <c r="B1155" s="4">
        <v>44370</v>
      </c>
      <c r="C1155" s="1" t="s">
        <v>532</v>
      </c>
      <c r="D1155" s="1" t="s">
        <v>80</v>
      </c>
      <c r="E1155" s="1" t="s">
        <v>43</v>
      </c>
      <c r="F1155" s="2">
        <v>12</v>
      </c>
      <c r="G1155" s="5">
        <v>320</v>
      </c>
      <c r="H1155" s="24">
        <f t="shared" si="90"/>
        <v>3840</v>
      </c>
      <c r="I1155" s="7">
        <v>0</v>
      </c>
      <c r="J1155" s="5">
        <f t="shared" si="91"/>
        <v>0</v>
      </c>
      <c r="K1155" s="5">
        <f t="shared" si="92"/>
        <v>3840</v>
      </c>
      <c r="L1155" s="5">
        <v>250</v>
      </c>
      <c r="M1155" s="5">
        <f t="shared" si="93"/>
        <v>840</v>
      </c>
      <c r="N1155" s="7">
        <f t="shared" si="94"/>
        <v>0.21875</v>
      </c>
      <c r="O1155" s="1" t="s">
        <v>30</v>
      </c>
      <c r="P1155" s="1" t="s">
        <v>31</v>
      </c>
      <c r="Q1155" s="1" t="s">
        <v>37</v>
      </c>
      <c r="R1155" s="1" t="s">
        <v>63</v>
      </c>
      <c r="S1155" s="1" t="s">
        <v>333</v>
      </c>
      <c r="T1155" s="15" t="s">
        <v>53</v>
      </c>
    </row>
    <row r="1156" spans="1:20" x14ac:dyDescent="0.3">
      <c r="A1156" s="14">
        <v>1155</v>
      </c>
      <c r="B1156" s="4">
        <v>44311</v>
      </c>
      <c r="C1156" s="1" t="s">
        <v>532</v>
      </c>
      <c r="D1156" s="1" t="s">
        <v>28</v>
      </c>
      <c r="E1156" s="1" t="s">
        <v>21</v>
      </c>
      <c r="F1156" s="2">
        <v>10</v>
      </c>
      <c r="G1156" s="5">
        <v>190</v>
      </c>
      <c r="H1156" s="24">
        <f t="shared" si="90"/>
        <v>1900</v>
      </c>
      <c r="I1156" s="7">
        <v>0</v>
      </c>
      <c r="J1156" s="5">
        <f t="shared" si="91"/>
        <v>0</v>
      </c>
      <c r="K1156" s="5">
        <f t="shared" si="92"/>
        <v>1900</v>
      </c>
      <c r="L1156" s="5">
        <v>120</v>
      </c>
      <c r="M1156" s="5">
        <f t="shared" si="93"/>
        <v>700</v>
      </c>
      <c r="N1156" s="7">
        <f t="shared" si="94"/>
        <v>0.36842105263157893</v>
      </c>
      <c r="O1156" s="1" t="s">
        <v>41</v>
      </c>
      <c r="P1156" s="1" t="s">
        <v>31</v>
      </c>
      <c r="Q1156" s="1" t="s">
        <v>37</v>
      </c>
      <c r="R1156" s="1" t="s">
        <v>50</v>
      </c>
      <c r="S1156" s="1" t="s">
        <v>309</v>
      </c>
      <c r="T1156" s="15" t="s">
        <v>35</v>
      </c>
    </row>
    <row r="1157" spans="1:20" x14ac:dyDescent="0.3">
      <c r="A1157" s="14">
        <v>1156</v>
      </c>
      <c r="B1157" s="4">
        <v>44294</v>
      </c>
      <c r="C1157" s="1" t="s">
        <v>532</v>
      </c>
      <c r="D1157" s="1" t="s">
        <v>20</v>
      </c>
      <c r="E1157" s="1" t="s">
        <v>40</v>
      </c>
      <c r="F1157" s="2">
        <v>10</v>
      </c>
      <c r="G1157" s="5">
        <v>1580</v>
      </c>
      <c r="H1157" s="24">
        <f t="shared" si="90"/>
        <v>15800</v>
      </c>
      <c r="I1157" s="7">
        <v>0.02</v>
      </c>
      <c r="J1157" s="5">
        <f t="shared" si="91"/>
        <v>316</v>
      </c>
      <c r="K1157" s="5">
        <f t="shared" si="92"/>
        <v>15484</v>
      </c>
      <c r="L1157" s="5">
        <v>1020</v>
      </c>
      <c r="M1157" s="5">
        <f t="shared" si="93"/>
        <v>5284</v>
      </c>
      <c r="N1157" s="7">
        <f t="shared" si="94"/>
        <v>0.34125548953758716</v>
      </c>
      <c r="O1157" s="1" t="s">
        <v>59</v>
      </c>
      <c r="P1157" s="1" t="s">
        <v>23</v>
      </c>
      <c r="Q1157" s="1" t="s">
        <v>32</v>
      </c>
      <c r="R1157" s="1" t="s">
        <v>50</v>
      </c>
      <c r="S1157" s="1" t="s">
        <v>364</v>
      </c>
      <c r="T1157" s="15" t="s">
        <v>27</v>
      </c>
    </row>
    <row r="1158" spans="1:20" x14ac:dyDescent="0.3">
      <c r="A1158" s="14">
        <v>1157</v>
      </c>
      <c r="B1158" s="4">
        <v>44419</v>
      </c>
      <c r="C1158" s="1" t="s">
        <v>529</v>
      </c>
      <c r="D1158" s="1" t="s">
        <v>28</v>
      </c>
      <c r="E1158" s="1" t="s">
        <v>36</v>
      </c>
      <c r="F1158" s="2">
        <v>12</v>
      </c>
      <c r="G1158" s="5">
        <v>1260</v>
      </c>
      <c r="H1158" s="24">
        <f t="shared" si="90"/>
        <v>15120</v>
      </c>
      <c r="I1158" s="7">
        <v>0.02</v>
      </c>
      <c r="J1158" s="5">
        <f t="shared" si="91"/>
        <v>302.40000000000003</v>
      </c>
      <c r="K1158" s="5">
        <f t="shared" si="92"/>
        <v>14817.6</v>
      </c>
      <c r="L1158" s="5">
        <v>770</v>
      </c>
      <c r="M1158" s="5">
        <f t="shared" si="93"/>
        <v>5577.6</v>
      </c>
      <c r="N1158" s="7">
        <f t="shared" si="94"/>
        <v>0.37641723356009071</v>
      </c>
      <c r="O1158" s="1" t="s">
        <v>22</v>
      </c>
      <c r="P1158" s="1" t="s">
        <v>31</v>
      </c>
      <c r="Q1158" s="1" t="s">
        <v>37</v>
      </c>
      <c r="R1158" s="1" t="s">
        <v>63</v>
      </c>
      <c r="S1158" s="1" t="s">
        <v>91</v>
      </c>
      <c r="T1158" s="15" t="s">
        <v>61</v>
      </c>
    </row>
    <row r="1159" spans="1:20" x14ac:dyDescent="0.3">
      <c r="A1159" s="14">
        <v>1158</v>
      </c>
      <c r="B1159" s="4">
        <v>44420</v>
      </c>
      <c r="C1159" s="1" t="s">
        <v>529</v>
      </c>
      <c r="D1159" s="1" t="s">
        <v>20</v>
      </c>
      <c r="E1159" s="1" t="s">
        <v>36</v>
      </c>
      <c r="F1159" s="2">
        <v>11</v>
      </c>
      <c r="G1159" s="5">
        <v>1270</v>
      </c>
      <c r="H1159" s="24">
        <f t="shared" si="90"/>
        <v>13970</v>
      </c>
      <c r="I1159" s="7">
        <v>0.02</v>
      </c>
      <c r="J1159" s="5">
        <f t="shared" si="91"/>
        <v>279.40000000000003</v>
      </c>
      <c r="K1159" s="5">
        <f t="shared" si="92"/>
        <v>13690.6</v>
      </c>
      <c r="L1159" s="5">
        <v>780</v>
      </c>
      <c r="M1159" s="5">
        <f t="shared" si="93"/>
        <v>5110.6000000000004</v>
      </c>
      <c r="N1159" s="7">
        <f t="shared" si="94"/>
        <v>0.37329262413626868</v>
      </c>
      <c r="O1159" s="1" t="s">
        <v>30</v>
      </c>
      <c r="P1159" s="1" t="s">
        <v>23</v>
      </c>
      <c r="Q1159" s="1" t="s">
        <v>37</v>
      </c>
      <c r="R1159" s="1" t="s">
        <v>46</v>
      </c>
      <c r="S1159" s="1" t="s">
        <v>227</v>
      </c>
      <c r="T1159" s="15" t="s">
        <v>35</v>
      </c>
    </row>
    <row r="1160" spans="1:20" x14ac:dyDescent="0.3">
      <c r="A1160" s="14">
        <v>1159</v>
      </c>
      <c r="B1160" s="4">
        <v>44530</v>
      </c>
      <c r="C1160" s="1" t="s">
        <v>531</v>
      </c>
      <c r="D1160" s="1" t="s">
        <v>82</v>
      </c>
      <c r="E1160" s="1" t="s">
        <v>40</v>
      </c>
      <c r="F1160" s="2">
        <v>12</v>
      </c>
      <c r="G1160" s="5">
        <v>1670</v>
      </c>
      <c r="H1160" s="24">
        <f t="shared" si="90"/>
        <v>20040</v>
      </c>
      <c r="I1160" s="7">
        <v>0</v>
      </c>
      <c r="J1160" s="5">
        <f t="shared" si="91"/>
        <v>0</v>
      </c>
      <c r="K1160" s="5">
        <f t="shared" si="92"/>
        <v>20040</v>
      </c>
      <c r="L1160" s="5">
        <v>1180</v>
      </c>
      <c r="M1160" s="5">
        <f t="shared" si="93"/>
        <v>5880</v>
      </c>
      <c r="N1160" s="7">
        <f t="shared" si="94"/>
        <v>0.29341317365269459</v>
      </c>
      <c r="O1160" s="1" t="s">
        <v>30</v>
      </c>
      <c r="P1160" s="1" t="s">
        <v>31</v>
      </c>
      <c r="Q1160" s="1" t="s">
        <v>24</v>
      </c>
      <c r="R1160" s="1" t="s">
        <v>49</v>
      </c>
      <c r="S1160" s="1" t="s">
        <v>495</v>
      </c>
      <c r="T1160" s="15" t="s">
        <v>61</v>
      </c>
    </row>
    <row r="1161" spans="1:20" x14ac:dyDescent="0.3">
      <c r="A1161" s="14">
        <v>1160</v>
      </c>
      <c r="B1161" s="4">
        <v>44287</v>
      </c>
      <c r="C1161" s="1" t="s">
        <v>530</v>
      </c>
      <c r="D1161" s="1" t="s">
        <v>82</v>
      </c>
      <c r="E1161" s="1" t="s">
        <v>43</v>
      </c>
      <c r="F1161" s="2">
        <v>3</v>
      </c>
      <c r="G1161" s="5">
        <v>310</v>
      </c>
      <c r="H1161" s="24">
        <f t="shared" si="90"/>
        <v>930</v>
      </c>
      <c r="I1161" s="7">
        <v>0.15</v>
      </c>
      <c r="J1161" s="5">
        <f t="shared" si="91"/>
        <v>139.5</v>
      </c>
      <c r="K1161" s="5">
        <f t="shared" si="92"/>
        <v>790.5</v>
      </c>
      <c r="L1161" s="5">
        <v>200</v>
      </c>
      <c r="M1161" s="5">
        <f t="shared" si="93"/>
        <v>190.5</v>
      </c>
      <c r="N1161" s="7">
        <f t="shared" si="94"/>
        <v>0.24098671726755219</v>
      </c>
      <c r="O1161" s="1" t="s">
        <v>22</v>
      </c>
      <c r="P1161" s="1" t="s">
        <v>31</v>
      </c>
      <c r="Q1161" s="1" t="s">
        <v>37</v>
      </c>
      <c r="R1161" s="1" t="s">
        <v>66</v>
      </c>
      <c r="S1161" s="1" t="s">
        <v>322</v>
      </c>
      <c r="T1161" s="15" t="s">
        <v>53</v>
      </c>
    </row>
    <row r="1162" spans="1:20" x14ac:dyDescent="0.3">
      <c r="A1162" s="14">
        <v>1161</v>
      </c>
      <c r="B1162" s="4">
        <v>44241</v>
      </c>
      <c r="C1162" s="1" t="s">
        <v>529</v>
      </c>
      <c r="D1162" s="1" t="s">
        <v>20</v>
      </c>
      <c r="E1162" s="1" t="s">
        <v>40</v>
      </c>
      <c r="F1162" s="2">
        <v>8</v>
      </c>
      <c r="G1162" s="5">
        <v>1410</v>
      </c>
      <c r="H1162" s="24">
        <f t="shared" si="90"/>
        <v>11280</v>
      </c>
      <c r="I1162" s="7">
        <v>0.05</v>
      </c>
      <c r="J1162" s="5">
        <f t="shared" si="91"/>
        <v>564</v>
      </c>
      <c r="K1162" s="5">
        <f t="shared" si="92"/>
        <v>10716</v>
      </c>
      <c r="L1162" s="5">
        <v>920</v>
      </c>
      <c r="M1162" s="5">
        <f t="shared" si="93"/>
        <v>3356</v>
      </c>
      <c r="N1162" s="7">
        <f t="shared" si="94"/>
        <v>0.31317655841731989</v>
      </c>
      <c r="O1162" s="1" t="s">
        <v>22</v>
      </c>
      <c r="P1162" s="1" t="s">
        <v>31</v>
      </c>
      <c r="Q1162" s="1" t="s">
        <v>48</v>
      </c>
      <c r="R1162" s="1" t="s">
        <v>33</v>
      </c>
      <c r="S1162" s="1" t="s">
        <v>432</v>
      </c>
      <c r="T1162" s="15" t="s">
        <v>35</v>
      </c>
    </row>
    <row r="1163" spans="1:20" x14ac:dyDescent="0.3">
      <c r="A1163" s="14">
        <v>1162</v>
      </c>
      <c r="B1163" s="4">
        <v>44456</v>
      </c>
      <c r="C1163" s="1" t="s">
        <v>529</v>
      </c>
      <c r="D1163" s="1" t="s">
        <v>20</v>
      </c>
      <c r="E1163" s="1" t="s">
        <v>45</v>
      </c>
      <c r="F1163" s="2">
        <v>2</v>
      </c>
      <c r="G1163" s="5">
        <v>200</v>
      </c>
      <c r="H1163" s="24">
        <f t="shared" si="90"/>
        <v>400</v>
      </c>
      <c r="I1163" s="7">
        <v>0.1</v>
      </c>
      <c r="J1163" s="5">
        <f t="shared" si="91"/>
        <v>40</v>
      </c>
      <c r="K1163" s="5">
        <f t="shared" si="92"/>
        <v>360</v>
      </c>
      <c r="L1163" s="5">
        <v>140</v>
      </c>
      <c r="M1163" s="5">
        <f t="shared" si="93"/>
        <v>80</v>
      </c>
      <c r="N1163" s="7">
        <f t="shared" si="94"/>
        <v>0.22222222222222221</v>
      </c>
      <c r="O1163" s="1" t="s">
        <v>41</v>
      </c>
      <c r="P1163" s="1" t="s">
        <v>31</v>
      </c>
      <c r="Q1163" s="1" t="s">
        <v>48</v>
      </c>
      <c r="R1163" s="1" t="s">
        <v>49</v>
      </c>
      <c r="S1163" s="1" t="s">
        <v>69</v>
      </c>
      <c r="T1163" s="15" t="s">
        <v>35</v>
      </c>
    </row>
    <row r="1164" spans="1:20" x14ac:dyDescent="0.3">
      <c r="A1164" s="14">
        <v>1163</v>
      </c>
      <c r="B1164" s="4">
        <v>44467</v>
      </c>
      <c r="C1164" s="1" t="s">
        <v>529</v>
      </c>
      <c r="D1164" s="1" t="s">
        <v>80</v>
      </c>
      <c r="E1164" s="1" t="s">
        <v>45</v>
      </c>
      <c r="F1164" s="2">
        <v>10</v>
      </c>
      <c r="G1164" s="5">
        <v>220</v>
      </c>
      <c r="H1164" s="24">
        <f t="shared" si="90"/>
        <v>2200</v>
      </c>
      <c r="I1164" s="7">
        <v>0</v>
      </c>
      <c r="J1164" s="5">
        <f t="shared" si="91"/>
        <v>0</v>
      </c>
      <c r="K1164" s="5">
        <f t="shared" si="92"/>
        <v>2200</v>
      </c>
      <c r="L1164" s="5">
        <v>160</v>
      </c>
      <c r="M1164" s="5">
        <f t="shared" si="93"/>
        <v>600</v>
      </c>
      <c r="N1164" s="7">
        <f t="shared" si="94"/>
        <v>0.27272727272727271</v>
      </c>
      <c r="O1164" s="1" t="s">
        <v>22</v>
      </c>
      <c r="P1164" s="1" t="s">
        <v>31</v>
      </c>
      <c r="Q1164" s="1" t="s">
        <v>32</v>
      </c>
      <c r="R1164" s="1" t="s">
        <v>33</v>
      </c>
      <c r="S1164" s="1" t="s">
        <v>457</v>
      </c>
      <c r="T1164" s="15" t="s">
        <v>27</v>
      </c>
    </row>
    <row r="1165" spans="1:20" x14ac:dyDescent="0.3">
      <c r="A1165" s="14">
        <v>1164</v>
      </c>
      <c r="B1165" s="4">
        <v>44456</v>
      </c>
      <c r="C1165" s="1" t="s">
        <v>529</v>
      </c>
      <c r="D1165" s="1" t="s">
        <v>20</v>
      </c>
      <c r="E1165" s="1" t="s">
        <v>45</v>
      </c>
      <c r="F1165" s="2">
        <v>8</v>
      </c>
      <c r="G1165" s="5">
        <v>220</v>
      </c>
      <c r="H1165" s="24">
        <f t="shared" si="90"/>
        <v>1760</v>
      </c>
      <c r="I1165" s="7">
        <v>0.1</v>
      </c>
      <c r="J1165" s="5">
        <f t="shared" si="91"/>
        <v>176</v>
      </c>
      <c r="K1165" s="5">
        <f t="shared" si="92"/>
        <v>1584</v>
      </c>
      <c r="L1165" s="5">
        <v>140</v>
      </c>
      <c r="M1165" s="5">
        <f t="shared" si="93"/>
        <v>464</v>
      </c>
      <c r="N1165" s="7">
        <f t="shared" si="94"/>
        <v>0.29292929292929293</v>
      </c>
      <c r="O1165" s="1" t="s">
        <v>54</v>
      </c>
      <c r="P1165" s="1" t="s">
        <v>31</v>
      </c>
      <c r="Q1165" s="1" t="s">
        <v>37</v>
      </c>
      <c r="R1165" s="1" t="s">
        <v>50</v>
      </c>
      <c r="S1165" s="1" t="s">
        <v>409</v>
      </c>
      <c r="T1165" s="15" t="s">
        <v>35</v>
      </c>
    </row>
    <row r="1166" spans="1:20" x14ac:dyDescent="0.3">
      <c r="A1166" s="14">
        <v>1165</v>
      </c>
      <c r="B1166" s="4">
        <v>44470</v>
      </c>
      <c r="C1166" s="1" t="s">
        <v>531</v>
      </c>
      <c r="D1166" s="1" t="s">
        <v>20</v>
      </c>
      <c r="E1166" s="1" t="s">
        <v>36</v>
      </c>
      <c r="F1166" s="2">
        <v>9</v>
      </c>
      <c r="G1166" s="5">
        <v>1220</v>
      </c>
      <c r="H1166" s="24">
        <f t="shared" si="90"/>
        <v>10980</v>
      </c>
      <c r="I1166" s="7">
        <v>0.05</v>
      </c>
      <c r="J1166" s="5">
        <f t="shared" si="91"/>
        <v>549</v>
      </c>
      <c r="K1166" s="5">
        <f t="shared" si="92"/>
        <v>10431</v>
      </c>
      <c r="L1166" s="5">
        <v>810</v>
      </c>
      <c r="M1166" s="5">
        <f t="shared" si="93"/>
        <v>3141</v>
      </c>
      <c r="N1166" s="7">
        <f t="shared" si="94"/>
        <v>0.30112165660051771</v>
      </c>
      <c r="O1166" s="1" t="s">
        <v>54</v>
      </c>
      <c r="P1166" s="1" t="s">
        <v>31</v>
      </c>
      <c r="Q1166" s="1" t="s">
        <v>24</v>
      </c>
      <c r="R1166" s="1" t="s">
        <v>33</v>
      </c>
      <c r="S1166" s="1" t="s">
        <v>496</v>
      </c>
      <c r="T1166" s="15" t="s">
        <v>35</v>
      </c>
    </row>
    <row r="1167" spans="1:20" x14ac:dyDescent="0.3">
      <c r="A1167" s="14">
        <v>1166</v>
      </c>
      <c r="B1167" s="4">
        <v>44502</v>
      </c>
      <c r="C1167" s="1" t="s">
        <v>534</v>
      </c>
      <c r="D1167" s="1" t="s">
        <v>28</v>
      </c>
      <c r="E1167" s="1" t="s">
        <v>40</v>
      </c>
      <c r="F1167" s="2">
        <v>1</v>
      </c>
      <c r="G1167" s="5">
        <v>1630</v>
      </c>
      <c r="H1167" s="24">
        <f t="shared" si="90"/>
        <v>1630</v>
      </c>
      <c r="I1167" s="7">
        <v>0</v>
      </c>
      <c r="J1167" s="5">
        <f t="shared" si="91"/>
        <v>0</v>
      </c>
      <c r="K1167" s="5">
        <f t="shared" si="92"/>
        <v>1630</v>
      </c>
      <c r="L1167" s="5">
        <v>1060</v>
      </c>
      <c r="M1167" s="5">
        <f t="shared" si="93"/>
        <v>570</v>
      </c>
      <c r="N1167" s="7">
        <f t="shared" si="94"/>
        <v>0.34969325153374231</v>
      </c>
      <c r="O1167" s="1" t="s">
        <v>54</v>
      </c>
      <c r="P1167" s="1" t="s">
        <v>31</v>
      </c>
      <c r="Q1167" s="1" t="s">
        <v>48</v>
      </c>
      <c r="R1167" s="1" t="s">
        <v>63</v>
      </c>
      <c r="S1167" s="1" t="s">
        <v>402</v>
      </c>
      <c r="T1167" s="15" t="s">
        <v>61</v>
      </c>
    </row>
    <row r="1168" spans="1:20" x14ac:dyDescent="0.3">
      <c r="A1168" s="14">
        <v>1167</v>
      </c>
      <c r="B1168" s="4">
        <v>44499</v>
      </c>
      <c r="C1168" s="1" t="s">
        <v>533</v>
      </c>
      <c r="D1168" s="1" t="s">
        <v>80</v>
      </c>
      <c r="E1168" s="1" t="s">
        <v>36</v>
      </c>
      <c r="F1168" s="2">
        <v>10</v>
      </c>
      <c r="G1168" s="5">
        <v>1350</v>
      </c>
      <c r="H1168" s="24">
        <f t="shared" si="90"/>
        <v>13500</v>
      </c>
      <c r="I1168" s="7">
        <v>0.05</v>
      </c>
      <c r="J1168" s="5">
        <f t="shared" si="91"/>
        <v>675</v>
      </c>
      <c r="K1168" s="5">
        <f t="shared" si="92"/>
        <v>12825</v>
      </c>
      <c r="L1168" s="5">
        <v>1100</v>
      </c>
      <c r="M1168" s="5">
        <f t="shared" si="93"/>
        <v>1825</v>
      </c>
      <c r="N1168" s="7">
        <f t="shared" si="94"/>
        <v>0.14230019493177387</v>
      </c>
      <c r="O1168" s="1" t="s">
        <v>54</v>
      </c>
      <c r="P1168" s="1" t="s">
        <v>76</v>
      </c>
      <c r="Q1168" s="1" t="s">
        <v>48</v>
      </c>
      <c r="R1168" s="1" t="s">
        <v>46</v>
      </c>
      <c r="S1168" s="1" t="s">
        <v>179</v>
      </c>
      <c r="T1168" s="15" t="s">
        <v>35</v>
      </c>
    </row>
    <row r="1169" spans="1:20" x14ac:dyDescent="0.3">
      <c r="A1169" s="14">
        <v>1168</v>
      </c>
      <c r="B1169" s="4">
        <v>44238</v>
      </c>
      <c r="C1169" s="1" t="s">
        <v>534</v>
      </c>
      <c r="D1169" s="1" t="s">
        <v>20</v>
      </c>
      <c r="E1169" s="1" t="s">
        <v>21</v>
      </c>
      <c r="F1169" s="2">
        <v>3</v>
      </c>
      <c r="G1169" s="5">
        <v>200</v>
      </c>
      <c r="H1169" s="24">
        <f t="shared" si="90"/>
        <v>600</v>
      </c>
      <c r="I1169" s="7">
        <v>0.1</v>
      </c>
      <c r="J1169" s="5">
        <f t="shared" si="91"/>
        <v>60</v>
      </c>
      <c r="K1169" s="5">
        <f t="shared" si="92"/>
        <v>540</v>
      </c>
      <c r="L1169" s="5">
        <v>160</v>
      </c>
      <c r="M1169" s="5">
        <f t="shared" si="93"/>
        <v>60</v>
      </c>
      <c r="N1169" s="7">
        <f t="shared" si="94"/>
        <v>0.1111111111111111</v>
      </c>
      <c r="O1169" s="1" t="s">
        <v>59</v>
      </c>
      <c r="P1169" s="1" t="s">
        <v>31</v>
      </c>
      <c r="Q1169" s="1" t="s">
        <v>48</v>
      </c>
      <c r="R1169" s="1" t="s">
        <v>56</v>
      </c>
      <c r="S1169" s="1" t="s">
        <v>293</v>
      </c>
      <c r="T1169" s="15" t="s">
        <v>53</v>
      </c>
    </row>
    <row r="1170" spans="1:20" x14ac:dyDescent="0.3">
      <c r="A1170" s="14">
        <v>1169</v>
      </c>
      <c r="B1170" s="4">
        <v>44440</v>
      </c>
      <c r="C1170" s="1" t="s">
        <v>530</v>
      </c>
      <c r="D1170" s="1" t="s">
        <v>28</v>
      </c>
      <c r="E1170" s="1" t="s">
        <v>40</v>
      </c>
      <c r="F1170" s="2">
        <v>1</v>
      </c>
      <c r="G1170" s="5">
        <v>1660</v>
      </c>
      <c r="H1170" s="24">
        <f t="shared" si="90"/>
        <v>1660</v>
      </c>
      <c r="I1170" s="7">
        <v>0.05</v>
      </c>
      <c r="J1170" s="5">
        <f t="shared" si="91"/>
        <v>83</v>
      </c>
      <c r="K1170" s="5">
        <f t="shared" si="92"/>
        <v>1577</v>
      </c>
      <c r="L1170" s="5">
        <v>1150</v>
      </c>
      <c r="M1170" s="5">
        <f t="shared" si="93"/>
        <v>427</v>
      </c>
      <c r="N1170" s="7">
        <f t="shared" si="94"/>
        <v>0.27076727964489539</v>
      </c>
      <c r="O1170" s="1" t="s">
        <v>41</v>
      </c>
      <c r="P1170" s="1" t="s">
        <v>31</v>
      </c>
      <c r="Q1170" s="1" t="s">
        <v>48</v>
      </c>
      <c r="R1170" s="1" t="s">
        <v>38</v>
      </c>
      <c r="S1170" s="1" t="s">
        <v>421</v>
      </c>
      <c r="T1170" s="15" t="s">
        <v>53</v>
      </c>
    </row>
    <row r="1171" spans="1:20" x14ac:dyDescent="0.3">
      <c r="A1171" s="14">
        <v>1170</v>
      </c>
      <c r="B1171" s="4">
        <v>44278</v>
      </c>
      <c r="C1171" s="1" t="s">
        <v>529</v>
      </c>
      <c r="D1171" s="1" t="s">
        <v>20</v>
      </c>
      <c r="E1171" s="1" t="s">
        <v>43</v>
      </c>
      <c r="F1171" s="2">
        <v>5</v>
      </c>
      <c r="G1171" s="5">
        <v>320</v>
      </c>
      <c r="H1171" s="24">
        <f t="shared" si="90"/>
        <v>1600</v>
      </c>
      <c r="I1171" s="7">
        <v>0</v>
      </c>
      <c r="J1171" s="5">
        <f t="shared" si="91"/>
        <v>0</v>
      </c>
      <c r="K1171" s="5">
        <f t="shared" si="92"/>
        <v>1600</v>
      </c>
      <c r="L1171" s="5">
        <v>220</v>
      </c>
      <c r="M1171" s="5">
        <f t="shared" si="93"/>
        <v>500</v>
      </c>
      <c r="N1171" s="7">
        <f t="shared" si="94"/>
        <v>0.3125</v>
      </c>
      <c r="O1171" s="1" t="s">
        <v>41</v>
      </c>
      <c r="P1171" s="1" t="s">
        <v>31</v>
      </c>
      <c r="Q1171" s="1" t="s">
        <v>37</v>
      </c>
      <c r="R1171" s="1" t="s">
        <v>33</v>
      </c>
      <c r="S1171" s="1" t="s">
        <v>319</v>
      </c>
      <c r="T1171" s="15" t="s">
        <v>61</v>
      </c>
    </row>
    <row r="1172" spans="1:20" x14ac:dyDescent="0.3">
      <c r="A1172" s="14">
        <v>1171</v>
      </c>
      <c r="B1172" s="4">
        <v>44469</v>
      </c>
      <c r="C1172" s="1" t="s">
        <v>530</v>
      </c>
      <c r="D1172" s="1" t="s">
        <v>28</v>
      </c>
      <c r="E1172" s="1" t="s">
        <v>43</v>
      </c>
      <c r="F1172" s="2">
        <v>9</v>
      </c>
      <c r="G1172" s="5">
        <v>340</v>
      </c>
      <c r="H1172" s="24">
        <f t="shared" si="90"/>
        <v>3060</v>
      </c>
      <c r="I1172" s="7">
        <v>0</v>
      </c>
      <c r="J1172" s="5">
        <f t="shared" si="91"/>
        <v>0</v>
      </c>
      <c r="K1172" s="5">
        <f t="shared" si="92"/>
        <v>3060</v>
      </c>
      <c r="L1172" s="5">
        <v>270</v>
      </c>
      <c r="M1172" s="5">
        <f t="shared" si="93"/>
        <v>630</v>
      </c>
      <c r="N1172" s="7">
        <f t="shared" si="94"/>
        <v>0.20588235294117646</v>
      </c>
      <c r="O1172" s="1" t="s">
        <v>30</v>
      </c>
      <c r="P1172" s="1" t="s">
        <v>31</v>
      </c>
      <c r="Q1172" s="1" t="s">
        <v>32</v>
      </c>
      <c r="R1172" s="1" t="s">
        <v>46</v>
      </c>
      <c r="S1172" s="1" t="s">
        <v>289</v>
      </c>
      <c r="T1172" s="15" t="s">
        <v>27</v>
      </c>
    </row>
    <row r="1173" spans="1:20" x14ac:dyDescent="0.3">
      <c r="A1173" s="14">
        <v>1172</v>
      </c>
      <c r="B1173" s="4">
        <v>44454</v>
      </c>
      <c r="C1173" s="1" t="s">
        <v>530</v>
      </c>
      <c r="D1173" s="1" t="s">
        <v>20</v>
      </c>
      <c r="E1173" s="1" t="s">
        <v>45</v>
      </c>
      <c r="F1173" s="2">
        <v>9</v>
      </c>
      <c r="G1173" s="5">
        <v>210</v>
      </c>
      <c r="H1173" s="24">
        <f t="shared" si="90"/>
        <v>1890</v>
      </c>
      <c r="I1173" s="7">
        <v>0.1</v>
      </c>
      <c r="J1173" s="5">
        <f t="shared" si="91"/>
        <v>189</v>
      </c>
      <c r="K1173" s="5">
        <f t="shared" si="92"/>
        <v>1701</v>
      </c>
      <c r="L1173" s="5">
        <v>150</v>
      </c>
      <c r="M1173" s="5">
        <f t="shared" si="93"/>
        <v>351</v>
      </c>
      <c r="N1173" s="7">
        <f t="shared" si="94"/>
        <v>0.20634920634920634</v>
      </c>
      <c r="O1173" s="1" t="s">
        <v>59</v>
      </c>
      <c r="P1173" s="1" t="s">
        <v>31</v>
      </c>
      <c r="Q1173" s="1" t="s">
        <v>37</v>
      </c>
      <c r="R1173" s="1" t="s">
        <v>38</v>
      </c>
      <c r="S1173" s="1" t="s">
        <v>273</v>
      </c>
      <c r="T1173" s="15" t="s">
        <v>61</v>
      </c>
    </row>
    <row r="1174" spans="1:20" x14ac:dyDescent="0.3">
      <c r="A1174" s="14">
        <v>1173</v>
      </c>
      <c r="B1174" s="4">
        <v>44300</v>
      </c>
      <c r="C1174" s="1" t="s">
        <v>530</v>
      </c>
      <c r="D1174" s="1" t="s">
        <v>20</v>
      </c>
      <c r="E1174" s="1" t="s">
        <v>40</v>
      </c>
      <c r="F1174" s="2">
        <v>9</v>
      </c>
      <c r="G1174" s="5">
        <v>1610</v>
      </c>
      <c r="H1174" s="24">
        <f t="shared" si="90"/>
        <v>14490</v>
      </c>
      <c r="I1174" s="7">
        <v>0.1</v>
      </c>
      <c r="J1174" s="5">
        <f t="shared" si="91"/>
        <v>1449</v>
      </c>
      <c r="K1174" s="5">
        <f t="shared" si="92"/>
        <v>13041</v>
      </c>
      <c r="L1174" s="5">
        <v>1000</v>
      </c>
      <c r="M1174" s="5">
        <f t="shared" si="93"/>
        <v>4041</v>
      </c>
      <c r="N1174" s="7">
        <f t="shared" si="94"/>
        <v>0.30986887508626637</v>
      </c>
      <c r="O1174" s="1" t="s">
        <v>22</v>
      </c>
      <c r="P1174" s="1" t="s">
        <v>31</v>
      </c>
      <c r="Q1174" s="1" t="s">
        <v>48</v>
      </c>
      <c r="R1174" s="1" t="s">
        <v>25</v>
      </c>
      <c r="S1174" s="1" t="s">
        <v>314</v>
      </c>
      <c r="T1174" s="15" t="s">
        <v>53</v>
      </c>
    </row>
    <row r="1175" spans="1:20" x14ac:dyDescent="0.3">
      <c r="A1175" s="14">
        <v>1174</v>
      </c>
      <c r="B1175" s="4">
        <v>44282</v>
      </c>
      <c r="C1175" s="1" t="s">
        <v>529</v>
      </c>
      <c r="D1175" s="1" t="s">
        <v>20</v>
      </c>
      <c r="E1175" s="1" t="s">
        <v>29</v>
      </c>
      <c r="F1175" s="2">
        <v>8</v>
      </c>
      <c r="G1175" s="5">
        <v>2340</v>
      </c>
      <c r="H1175" s="24">
        <f t="shared" si="90"/>
        <v>18720</v>
      </c>
      <c r="I1175" s="7">
        <v>0.02</v>
      </c>
      <c r="J1175" s="5">
        <f t="shared" si="91"/>
        <v>374.40000000000003</v>
      </c>
      <c r="K1175" s="5">
        <f t="shared" si="92"/>
        <v>18345.599999999999</v>
      </c>
      <c r="L1175" s="5">
        <v>1530</v>
      </c>
      <c r="M1175" s="5">
        <f t="shared" si="93"/>
        <v>6105.5999999999985</v>
      </c>
      <c r="N1175" s="7">
        <f t="shared" si="94"/>
        <v>0.33281004709576134</v>
      </c>
      <c r="O1175" s="1" t="s">
        <v>41</v>
      </c>
      <c r="P1175" s="1" t="s">
        <v>31</v>
      </c>
      <c r="Q1175" s="1" t="s">
        <v>48</v>
      </c>
      <c r="R1175" s="1" t="s">
        <v>49</v>
      </c>
      <c r="S1175" s="1" t="s">
        <v>384</v>
      </c>
      <c r="T1175" s="15" t="s">
        <v>61</v>
      </c>
    </row>
    <row r="1176" spans="1:20" x14ac:dyDescent="0.3">
      <c r="A1176" s="14">
        <v>1175</v>
      </c>
      <c r="B1176" s="4">
        <v>44303</v>
      </c>
      <c r="C1176" s="1" t="s">
        <v>530</v>
      </c>
      <c r="D1176" s="1" t="s">
        <v>82</v>
      </c>
      <c r="E1176" s="1" t="s">
        <v>21</v>
      </c>
      <c r="F1176" s="2">
        <v>12</v>
      </c>
      <c r="G1176" s="5">
        <v>200</v>
      </c>
      <c r="H1176" s="24">
        <f t="shared" si="90"/>
        <v>2400</v>
      </c>
      <c r="I1176" s="7">
        <v>0</v>
      </c>
      <c r="J1176" s="5">
        <f t="shared" si="91"/>
        <v>0</v>
      </c>
      <c r="K1176" s="5">
        <f t="shared" si="92"/>
        <v>2400</v>
      </c>
      <c r="L1176" s="5">
        <v>140</v>
      </c>
      <c r="M1176" s="5">
        <f t="shared" si="93"/>
        <v>720</v>
      </c>
      <c r="N1176" s="7">
        <f t="shared" si="94"/>
        <v>0.3</v>
      </c>
      <c r="O1176" s="1" t="s">
        <v>22</v>
      </c>
      <c r="P1176" s="1" t="s">
        <v>31</v>
      </c>
      <c r="Q1176" s="1" t="s">
        <v>48</v>
      </c>
      <c r="R1176" s="1" t="s">
        <v>88</v>
      </c>
      <c r="S1176" s="1" t="s">
        <v>212</v>
      </c>
      <c r="T1176" s="15" t="s">
        <v>53</v>
      </c>
    </row>
    <row r="1177" spans="1:20" x14ac:dyDescent="0.3">
      <c r="A1177" s="14">
        <v>1176</v>
      </c>
      <c r="B1177" s="4">
        <v>44560</v>
      </c>
      <c r="C1177" s="1" t="s">
        <v>533</v>
      </c>
      <c r="D1177" s="1" t="s">
        <v>20</v>
      </c>
      <c r="E1177" s="1" t="s">
        <v>29</v>
      </c>
      <c r="F1177" s="2">
        <v>4</v>
      </c>
      <c r="G1177" s="5">
        <v>2410</v>
      </c>
      <c r="H1177" s="24">
        <f t="shared" si="90"/>
        <v>9640</v>
      </c>
      <c r="I1177" s="7">
        <v>0.1</v>
      </c>
      <c r="J1177" s="5">
        <f t="shared" si="91"/>
        <v>964</v>
      </c>
      <c r="K1177" s="5">
        <f t="shared" si="92"/>
        <v>8676</v>
      </c>
      <c r="L1177" s="5">
        <v>1640</v>
      </c>
      <c r="M1177" s="5">
        <f t="shared" si="93"/>
        <v>2116</v>
      </c>
      <c r="N1177" s="7">
        <f t="shared" si="94"/>
        <v>0.24389119409866297</v>
      </c>
      <c r="O1177" s="1" t="s">
        <v>54</v>
      </c>
      <c r="P1177" s="1" t="s">
        <v>31</v>
      </c>
      <c r="Q1177" s="1" t="s">
        <v>32</v>
      </c>
      <c r="R1177" s="1" t="s">
        <v>88</v>
      </c>
      <c r="S1177" s="1" t="s">
        <v>300</v>
      </c>
      <c r="T1177" s="15" t="s">
        <v>35</v>
      </c>
    </row>
    <row r="1178" spans="1:20" x14ac:dyDescent="0.3">
      <c r="A1178" s="14">
        <v>1177</v>
      </c>
      <c r="B1178" s="4">
        <v>44503</v>
      </c>
      <c r="C1178" s="1" t="s">
        <v>530</v>
      </c>
      <c r="D1178" s="1" t="s">
        <v>28</v>
      </c>
      <c r="E1178" s="1" t="s">
        <v>36</v>
      </c>
      <c r="F1178" s="2">
        <v>3</v>
      </c>
      <c r="G1178" s="5">
        <v>1200</v>
      </c>
      <c r="H1178" s="24">
        <f t="shared" si="90"/>
        <v>3600</v>
      </c>
      <c r="I1178" s="7">
        <v>0.02</v>
      </c>
      <c r="J1178" s="5">
        <f t="shared" si="91"/>
        <v>72</v>
      </c>
      <c r="K1178" s="5">
        <f t="shared" si="92"/>
        <v>3528</v>
      </c>
      <c r="L1178" s="5">
        <v>840</v>
      </c>
      <c r="M1178" s="5">
        <f t="shared" si="93"/>
        <v>1008</v>
      </c>
      <c r="N1178" s="7">
        <f t="shared" si="94"/>
        <v>0.2857142857142857</v>
      </c>
      <c r="O1178" s="1" t="s">
        <v>30</v>
      </c>
      <c r="P1178" s="1" t="s">
        <v>31</v>
      </c>
      <c r="Q1178" s="1" t="s">
        <v>32</v>
      </c>
      <c r="R1178" s="1" t="s">
        <v>50</v>
      </c>
      <c r="S1178" s="1" t="s">
        <v>497</v>
      </c>
      <c r="T1178" s="15" t="s">
        <v>61</v>
      </c>
    </row>
    <row r="1179" spans="1:20" x14ac:dyDescent="0.3">
      <c r="A1179" s="14">
        <v>1178</v>
      </c>
      <c r="B1179" s="4">
        <v>44417</v>
      </c>
      <c r="C1179" s="1" t="s">
        <v>530</v>
      </c>
      <c r="D1179" s="1" t="s">
        <v>20</v>
      </c>
      <c r="E1179" s="1" t="s">
        <v>43</v>
      </c>
      <c r="F1179" s="2">
        <v>9</v>
      </c>
      <c r="G1179" s="5">
        <v>300</v>
      </c>
      <c r="H1179" s="24">
        <f t="shared" si="90"/>
        <v>2700</v>
      </c>
      <c r="I1179" s="7">
        <v>0.05</v>
      </c>
      <c r="J1179" s="5">
        <f t="shared" si="91"/>
        <v>135</v>
      </c>
      <c r="K1179" s="5">
        <f t="shared" si="92"/>
        <v>2565</v>
      </c>
      <c r="L1179" s="5">
        <v>240</v>
      </c>
      <c r="M1179" s="5">
        <f t="shared" si="93"/>
        <v>405</v>
      </c>
      <c r="N1179" s="7">
        <f t="shared" si="94"/>
        <v>0.15789473684210525</v>
      </c>
      <c r="O1179" s="1" t="s">
        <v>22</v>
      </c>
      <c r="P1179" s="1" t="s">
        <v>23</v>
      </c>
      <c r="Q1179" s="1" t="s">
        <v>48</v>
      </c>
      <c r="R1179" s="1" t="s">
        <v>50</v>
      </c>
      <c r="S1179" s="1" t="s">
        <v>286</v>
      </c>
      <c r="T1179" s="15" t="s">
        <v>35</v>
      </c>
    </row>
    <row r="1180" spans="1:20" x14ac:dyDescent="0.3">
      <c r="A1180" s="14">
        <v>1179</v>
      </c>
      <c r="B1180" s="4">
        <v>44329</v>
      </c>
      <c r="C1180" s="1" t="s">
        <v>530</v>
      </c>
      <c r="D1180" s="1" t="s">
        <v>28</v>
      </c>
      <c r="E1180" s="1" t="s">
        <v>43</v>
      </c>
      <c r="F1180" s="2">
        <v>5</v>
      </c>
      <c r="G1180" s="5">
        <v>330</v>
      </c>
      <c r="H1180" s="24">
        <f t="shared" si="90"/>
        <v>1650</v>
      </c>
      <c r="I1180" s="7">
        <v>0.05</v>
      </c>
      <c r="J1180" s="5">
        <f t="shared" si="91"/>
        <v>82.5</v>
      </c>
      <c r="K1180" s="5">
        <f t="shared" si="92"/>
        <v>1567.5</v>
      </c>
      <c r="L1180" s="5">
        <v>210</v>
      </c>
      <c r="M1180" s="5">
        <f t="shared" si="93"/>
        <v>517.5</v>
      </c>
      <c r="N1180" s="7">
        <f t="shared" si="94"/>
        <v>0.33014354066985646</v>
      </c>
      <c r="O1180" s="1" t="s">
        <v>41</v>
      </c>
      <c r="P1180" s="1" t="s">
        <v>31</v>
      </c>
      <c r="Q1180" s="1" t="s">
        <v>37</v>
      </c>
      <c r="R1180" s="1" t="s">
        <v>88</v>
      </c>
      <c r="S1180" s="1" t="s">
        <v>498</v>
      </c>
      <c r="T1180" s="15" t="s">
        <v>53</v>
      </c>
    </row>
    <row r="1181" spans="1:20" x14ac:dyDescent="0.3">
      <c r="A1181" s="14">
        <v>1180</v>
      </c>
      <c r="B1181" s="4">
        <v>44198</v>
      </c>
      <c r="C1181" s="1" t="s">
        <v>530</v>
      </c>
      <c r="D1181" s="1" t="s">
        <v>28</v>
      </c>
      <c r="E1181" s="1" t="s">
        <v>29</v>
      </c>
      <c r="F1181" s="2">
        <v>5</v>
      </c>
      <c r="G1181" s="5">
        <v>2010</v>
      </c>
      <c r="H1181" s="24">
        <f t="shared" si="90"/>
        <v>10050</v>
      </c>
      <c r="I1181" s="7">
        <v>0</v>
      </c>
      <c r="J1181" s="5">
        <f t="shared" si="91"/>
        <v>0</v>
      </c>
      <c r="K1181" s="5">
        <f t="shared" si="92"/>
        <v>10050</v>
      </c>
      <c r="L1181" s="5">
        <v>1550</v>
      </c>
      <c r="M1181" s="5">
        <f t="shared" si="93"/>
        <v>2300</v>
      </c>
      <c r="N1181" s="7">
        <f t="shared" si="94"/>
        <v>0.22885572139303484</v>
      </c>
      <c r="O1181" s="1" t="s">
        <v>54</v>
      </c>
      <c r="P1181" s="1" t="s">
        <v>31</v>
      </c>
      <c r="Q1181" s="1" t="s">
        <v>24</v>
      </c>
      <c r="R1181" s="1" t="s">
        <v>46</v>
      </c>
      <c r="S1181" s="1" t="s">
        <v>170</v>
      </c>
      <c r="T1181" s="15" t="s">
        <v>61</v>
      </c>
    </row>
    <row r="1182" spans="1:20" x14ac:dyDescent="0.3">
      <c r="A1182" s="14">
        <v>1181</v>
      </c>
      <c r="B1182" s="4">
        <v>44407</v>
      </c>
      <c r="C1182" s="1" t="s">
        <v>530</v>
      </c>
      <c r="D1182" s="1" t="s">
        <v>82</v>
      </c>
      <c r="E1182" s="1" t="s">
        <v>21</v>
      </c>
      <c r="F1182" s="2">
        <v>9</v>
      </c>
      <c r="G1182" s="5">
        <v>220</v>
      </c>
      <c r="H1182" s="24">
        <f t="shared" si="90"/>
        <v>1980</v>
      </c>
      <c r="I1182" s="7">
        <v>0</v>
      </c>
      <c r="J1182" s="5">
        <f t="shared" si="91"/>
        <v>0</v>
      </c>
      <c r="K1182" s="5">
        <f t="shared" si="92"/>
        <v>1980</v>
      </c>
      <c r="L1182" s="5">
        <v>170</v>
      </c>
      <c r="M1182" s="5">
        <f t="shared" si="93"/>
        <v>450</v>
      </c>
      <c r="N1182" s="7">
        <f t="shared" si="94"/>
        <v>0.22727272727272727</v>
      </c>
      <c r="O1182" s="1" t="s">
        <v>41</v>
      </c>
      <c r="P1182" s="1" t="s">
        <v>31</v>
      </c>
      <c r="Q1182" s="1" t="s">
        <v>24</v>
      </c>
      <c r="R1182" s="1" t="s">
        <v>46</v>
      </c>
      <c r="S1182" s="1" t="s">
        <v>134</v>
      </c>
      <c r="T1182" s="15" t="s">
        <v>53</v>
      </c>
    </row>
    <row r="1183" spans="1:20" x14ac:dyDescent="0.3">
      <c r="A1183" s="14">
        <v>1182</v>
      </c>
      <c r="B1183" s="4">
        <v>44556</v>
      </c>
      <c r="C1183" s="1" t="s">
        <v>533</v>
      </c>
      <c r="D1183" s="1" t="s">
        <v>20</v>
      </c>
      <c r="E1183" s="1" t="s">
        <v>40</v>
      </c>
      <c r="F1183" s="2">
        <v>11</v>
      </c>
      <c r="G1183" s="5">
        <v>1470</v>
      </c>
      <c r="H1183" s="24">
        <f t="shared" si="90"/>
        <v>16170</v>
      </c>
      <c r="I1183" s="7">
        <v>0.05</v>
      </c>
      <c r="J1183" s="5">
        <f t="shared" si="91"/>
        <v>808.5</v>
      </c>
      <c r="K1183" s="5">
        <f t="shared" si="92"/>
        <v>15361.5</v>
      </c>
      <c r="L1183" s="5">
        <v>940</v>
      </c>
      <c r="M1183" s="5">
        <f t="shared" si="93"/>
        <v>5021.5</v>
      </c>
      <c r="N1183" s="7">
        <f t="shared" si="94"/>
        <v>0.32688865019692087</v>
      </c>
      <c r="O1183" s="1" t="s">
        <v>41</v>
      </c>
      <c r="P1183" s="1" t="s">
        <v>31</v>
      </c>
      <c r="Q1183" s="1" t="s">
        <v>48</v>
      </c>
      <c r="R1183" s="1" t="s">
        <v>56</v>
      </c>
      <c r="S1183" s="1" t="s">
        <v>499</v>
      </c>
      <c r="T1183" s="15" t="s">
        <v>35</v>
      </c>
    </row>
    <row r="1184" spans="1:20" x14ac:dyDescent="0.3">
      <c r="A1184" s="14">
        <v>1183</v>
      </c>
      <c r="B1184" s="4">
        <v>44239</v>
      </c>
      <c r="C1184" s="1" t="s">
        <v>534</v>
      </c>
      <c r="D1184" s="1" t="s">
        <v>28</v>
      </c>
      <c r="E1184" s="1" t="s">
        <v>21</v>
      </c>
      <c r="F1184" s="2">
        <v>12</v>
      </c>
      <c r="G1184" s="5">
        <v>210</v>
      </c>
      <c r="H1184" s="24">
        <f t="shared" si="90"/>
        <v>2520</v>
      </c>
      <c r="I1184" s="7">
        <v>0.02</v>
      </c>
      <c r="J1184" s="5">
        <f t="shared" si="91"/>
        <v>50.4</v>
      </c>
      <c r="K1184" s="5">
        <f t="shared" si="92"/>
        <v>2469.6</v>
      </c>
      <c r="L1184" s="5">
        <v>160</v>
      </c>
      <c r="M1184" s="5">
        <f t="shared" si="93"/>
        <v>549.59999999999991</v>
      </c>
      <c r="N1184" s="7">
        <f t="shared" si="94"/>
        <v>0.22254616132167149</v>
      </c>
      <c r="O1184" s="1" t="s">
        <v>41</v>
      </c>
      <c r="P1184" s="1" t="s">
        <v>31</v>
      </c>
      <c r="Q1184" s="1" t="s">
        <v>24</v>
      </c>
      <c r="R1184" s="1" t="s">
        <v>88</v>
      </c>
      <c r="S1184" s="1" t="s">
        <v>458</v>
      </c>
      <c r="T1184" s="15" t="s">
        <v>35</v>
      </c>
    </row>
    <row r="1185" spans="1:20" x14ac:dyDescent="0.3">
      <c r="A1185" s="14">
        <v>1184</v>
      </c>
      <c r="B1185" s="4">
        <v>44226</v>
      </c>
      <c r="C1185" s="1" t="s">
        <v>529</v>
      </c>
      <c r="D1185" s="1" t="s">
        <v>82</v>
      </c>
      <c r="E1185" s="1" t="s">
        <v>29</v>
      </c>
      <c r="F1185" s="2">
        <v>4</v>
      </c>
      <c r="G1185" s="5">
        <v>2310</v>
      </c>
      <c r="H1185" s="24">
        <f t="shared" si="90"/>
        <v>9240</v>
      </c>
      <c r="I1185" s="7">
        <v>0.02</v>
      </c>
      <c r="J1185" s="5">
        <f t="shared" si="91"/>
        <v>184.8</v>
      </c>
      <c r="K1185" s="5">
        <f t="shared" si="92"/>
        <v>9055.2000000000007</v>
      </c>
      <c r="L1185" s="5">
        <v>1380</v>
      </c>
      <c r="M1185" s="5">
        <f t="shared" si="93"/>
        <v>3535.2000000000007</v>
      </c>
      <c r="N1185" s="7">
        <f t="shared" si="94"/>
        <v>0.39040551285449249</v>
      </c>
      <c r="O1185" s="1" t="s">
        <v>22</v>
      </c>
      <c r="P1185" s="1" t="s">
        <v>31</v>
      </c>
      <c r="Q1185" s="1" t="s">
        <v>24</v>
      </c>
      <c r="R1185" s="1" t="s">
        <v>25</v>
      </c>
      <c r="S1185" s="1" t="s">
        <v>500</v>
      </c>
      <c r="T1185" s="15" t="s">
        <v>61</v>
      </c>
    </row>
    <row r="1186" spans="1:20" x14ac:dyDescent="0.3">
      <c r="A1186" s="14">
        <v>1185</v>
      </c>
      <c r="B1186" s="4">
        <v>44459</v>
      </c>
      <c r="C1186" s="1" t="s">
        <v>532</v>
      </c>
      <c r="D1186" s="1" t="s">
        <v>80</v>
      </c>
      <c r="E1186" s="1" t="s">
        <v>40</v>
      </c>
      <c r="F1186" s="2">
        <v>10</v>
      </c>
      <c r="G1186" s="5">
        <v>1630</v>
      </c>
      <c r="H1186" s="24">
        <f t="shared" si="90"/>
        <v>16300</v>
      </c>
      <c r="I1186" s="7">
        <v>0.02</v>
      </c>
      <c r="J1186" s="5">
        <f t="shared" si="91"/>
        <v>326</v>
      </c>
      <c r="K1186" s="5">
        <f t="shared" si="92"/>
        <v>15974</v>
      </c>
      <c r="L1186" s="5">
        <v>960</v>
      </c>
      <c r="M1186" s="5">
        <f t="shared" si="93"/>
        <v>6374</v>
      </c>
      <c r="N1186" s="7">
        <f t="shared" si="94"/>
        <v>0.39902341304620009</v>
      </c>
      <c r="O1186" s="1" t="s">
        <v>59</v>
      </c>
      <c r="P1186" s="1" t="s">
        <v>31</v>
      </c>
      <c r="Q1186" s="1" t="s">
        <v>37</v>
      </c>
      <c r="R1186" s="1" t="s">
        <v>25</v>
      </c>
      <c r="S1186" s="1" t="s">
        <v>218</v>
      </c>
      <c r="T1186" s="15" t="s">
        <v>61</v>
      </c>
    </row>
    <row r="1187" spans="1:20" x14ac:dyDescent="0.3">
      <c r="A1187" s="14">
        <v>1186</v>
      </c>
      <c r="B1187" s="4">
        <v>44237</v>
      </c>
      <c r="C1187" s="1" t="s">
        <v>531</v>
      </c>
      <c r="D1187" s="1" t="s">
        <v>82</v>
      </c>
      <c r="E1187" s="1" t="s">
        <v>21</v>
      </c>
      <c r="F1187" s="2">
        <v>1</v>
      </c>
      <c r="G1187" s="5">
        <v>210</v>
      </c>
      <c r="H1187" s="24">
        <f t="shared" si="90"/>
        <v>210</v>
      </c>
      <c r="I1187" s="7">
        <v>0.05</v>
      </c>
      <c r="J1187" s="5">
        <f t="shared" si="91"/>
        <v>10.5</v>
      </c>
      <c r="K1187" s="5">
        <f t="shared" si="92"/>
        <v>199.5</v>
      </c>
      <c r="L1187" s="5">
        <v>130</v>
      </c>
      <c r="M1187" s="5">
        <f t="shared" si="93"/>
        <v>69.5</v>
      </c>
      <c r="N1187" s="7">
        <f t="shared" si="94"/>
        <v>0.34837092731829572</v>
      </c>
      <c r="O1187" s="1" t="s">
        <v>41</v>
      </c>
      <c r="P1187" s="1" t="s">
        <v>31</v>
      </c>
      <c r="Q1187" s="1" t="s">
        <v>37</v>
      </c>
      <c r="R1187" s="1" t="s">
        <v>63</v>
      </c>
      <c r="S1187" s="1" t="s">
        <v>222</v>
      </c>
      <c r="T1187" s="15" t="s">
        <v>53</v>
      </c>
    </row>
    <row r="1188" spans="1:20" x14ac:dyDescent="0.3">
      <c r="A1188" s="14">
        <v>1187</v>
      </c>
      <c r="B1188" s="4">
        <v>44555</v>
      </c>
      <c r="C1188" s="1" t="s">
        <v>529</v>
      </c>
      <c r="D1188" s="1" t="s">
        <v>82</v>
      </c>
      <c r="E1188" s="1" t="s">
        <v>43</v>
      </c>
      <c r="F1188" s="2">
        <v>10</v>
      </c>
      <c r="G1188" s="5">
        <v>340</v>
      </c>
      <c r="H1188" s="24">
        <f t="shared" si="90"/>
        <v>3400</v>
      </c>
      <c r="I1188" s="7">
        <v>0.05</v>
      </c>
      <c r="J1188" s="5">
        <f t="shared" si="91"/>
        <v>170</v>
      </c>
      <c r="K1188" s="5">
        <f t="shared" si="92"/>
        <v>3230</v>
      </c>
      <c r="L1188" s="5">
        <v>220</v>
      </c>
      <c r="M1188" s="5">
        <f t="shared" si="93"/>
        <v>1030</v>
      </c>
      <c r="N1188" s="7">
        <f t="shared" si="94"/>
        <v>0.31888544891640869</v>
      </c>
      <c r="O1188" s="1" t="s">
        <v>30</v>
      </c>
      <c r="P1188" s="1" t="s">
        <v>31</v>
      </c>
      <c r="Q1188" s="1" t="s">
        <v>37</v>
      </c>
      <c r="R1188" s="1" t="s">
        <v>88</v>
      </c>
      <c r="S1188" s="1" t="s">
        <v>106</v>
      </c>
      <c r="T1188" s="15" t="s">
        <v>35</v>
      </c>
    </row>
    <row r="1189" spans="1:20" x14ac:dyDescent="0.3">
      <c r="A1189" s="14">
        <v>1188</v>
      </c>
      <c r="B1189" s="4">
        <v>44492</v>
      </c>
      <c r="C1189" s="1" t="s">
        <v>533</v>
      </c>
      <c r="D1189" s="1" t="s">
        <v>28</v>
      </c>
      <c r="E1189" s="1" t="s">
        <v>43</v>
      </c>
      <c r="F1189" s="2">
        <v>8</v>
      </c>
      <c r="G1189" s="5">
        <v>300</v>
      </c>
      <c r="H1189" s="24">
        <f t="shared" si="90"/>
        <v>2400</v>
      </c>
      <c r="I1189" s="7">
        <v>0.05</v>
      </c>
      <c r="J1189" s="5">
        <f t="shared" si="91"/>
        <v>120</v>
      </c>
      <c r="K1189" s="5">
        <f t="shared" si="92"/>
        <v>2280</v>
      </c>
      <c r="L1189" s="5">
        <v>240</v>
      </c>
      <c r="M1189" s="5">
        <f t="shared" si="93"/>
        <v>360</v>
      </c>
      <c r="N1189" s="7">
        <f t="shared" si="94"/>
        <v>0.15789473684210525</v>
      </c>
      <c r="O1189" s="1" t="s">
        <v>22</v>
      </c>
      <c r="P1189" s="1" t="s">
        <v>31</v>
      </c>
      <c r="Q1189" s="1" t="s">
        <v>24</v>
      </c>
      <c r="R1189" s="1" t="s">
        <v>46</v>
      </c>
      <c r="S1189" s="1" t="s">
        <v>372</v>
      </c>
      <c r="T1189" s="15" t="s">
        <v>61</v>
      </c>
    </row>
    <row r="1190" spans="1:20" x14ac:dyDescent="0.3">
      <c r="A1190" s="14">
        <v>1189</v>
      </c>
      <c r="B1190" s="4">
        <v>44422</v>
      </c>
      <c r="C1190" s="1" t="s">
        <v>533</v>
      </c>
      <c r="D1190" s="1" t="s">
        <v>20</v>
      </c>
      <c r="E1190" s="1" t="s">
        <v>29</v>
      </c>
      <c r="F1190" s="2">
        <v>12</v>
      </c>
      <c r="G1190" s="5">
        <v>2040</v>
      </c>
      <c r="H1190" s="24">
        <f t="shared" si="90"/>
        <v>24480</v>
      </c>
      <c r="I1190" s="7">
        <v>0.02</v>
      </c>
      <c r="J1190" s="5">
        <f t="shared" si="91"/>
        <v>489.6</v>
      </c>
      <c r="K1190" s="5">
        <f t="shared" si="92"/>
        <v>23990.400000000001</v>
      </c>
      <c r="L1190" s="5">
        <v>1640</v>
      </c>
      <c r="M1190" s="5">
        <f t="shared" si="93"/>
        <v>4310.4000000000015</v>
      </c>
      <c r="N1190" s="7">
        <f t="shared" si="94"/>
        <v>0.17967186874749905</v>
      </c>
      <c r="O1190" s="1" t="s">
        <v>30</v>
      </c>
      <c r="P1190" s="1" t="s">
        <v>31</v>
      </c>
      <c r="Q1190" s="1" t="s">
        <v>37</v>
      </c>
      <c r="R1190" s="1" t="s">
        <v>66</v>
      </c>
      <c r="S1190" s="1" t="s">
        <v>237</v>
      </c>
      <c r="T1190" s="15" t="s">
        <v>27</v>
      </c>
    </row>
    <row r="1191" spans="1:20" x14ac:dyDescent="0.3">
      <c r="A1191" s="14">
        <v>1190</v>
      </c>
      <c r="B1191" s="4">
        <v>44351</v>
      </c>
      <c r="C1191" s="1" t="s">
        <v>533</v>
      </c>
      <c r="D1191" s="1" t="s">
        <v>20</v>
      </c>
      <c r="E1191" s="1" t="s">
        <v>45</v>
      </c>
      <c r="F1191" s="2">
        <v>2</v>
      </c>
      <c r="G1191" s="5">
        <v>200</v>
      </c>
      <c r="H1191" s="24">
        <f t="shared" si="90"/>
        <v>400</v>
      </c>
      <c r="I1191" s="7">
        <v>0.15</v>
      </c>
      <c r="J1191" s="5">
        <f t="shared" si="91"/>
        <v>60</v>
      </c>
      <c r="K1191" s="5">
        <f t="shared" si="92"/>
        <v>340</v>
      </c>
      <c r="L1191" s="5">
        <v>150</v>
      </c>
      <c r="M1191" s="5">
        <f t="shared" si="93"/>
        <v>40</v>
      </c>
      <c r="N1191" s="7">
        <f t="shared" si="94"/>
        <v>0.11764705882352941</v>
      </c>
      <c r="O1191" s="1" t="s">
        <v>41</v>
      </c>
      <c r="P1191" s="1" t="s">
        <v>31</v>
      </c>
      <c r="Q1191" s="1" t="s">
        <v>48</v>
      </c>
      <c r="R1191" s="1" t="s">
        <v>46</v>
      </c>
      <c r="S1191" s="1" t="s">
        <v>501</v>
      </c>
      <c r="T1191" s="15" t="s">
        <v>35</v>
      </c>
    </row>
    <row r="1192" spans="1:20" x14ac:dyDescent="0.3">
      <c r="A1192" s="14">
        <v>1191</v>
      </c>
      <c r="B1192" s="4">
        <v>44419</v>
      </c>
      <c r="C1192" s="1" t="s">
        <v>533</v>
      </c>
      <c r="D1192" s="1" t="s">
        <v>28</v>
      </c>
      <c r="E1192" s="1" t="s">
        <v>21</v>
      </c>
      <c r="F1192" s="2">
        <v>6</v>
      </c>
      <c r="G1192" s="5">
        <v>210</v>
      </c>
      <c r="H1192" s="24">
        <f t="shared" si="90"/>
        <v>1260</v>
      </c>
      <c r="I1192" s="7">
        <v>0.02</v>
      </c>
      <c r="J1192" s="5">
        <f t="shared" si="91"/>
        <v>25.2</v>
      </c>
      <c r="K1192" s="5">
        <f t="shared" si="92"/>
        <v>1234.8</v>
      </c>
      <c r="L1192" s="5">
        <v>170</v>
      </c>
      <c r="M1192" s="5">
        <f t="shared" si="93"/>
        <v>214.79999999999995</v>
      </c>
      <c r="N1192" s="7">
        <f t="shared" si="94"/>
        <v>0.17395529640427596</v>
      </c>
      <c r="O1192" s="1" t="s">
        <v>59</v>
      </c>
      <c r="P1192" s="1" t="s">
        <v>31</v>
      </c>
      <c r="Q1192" s="1" t="s">
        <v>37</v>
      </c>
      <c r="R1192" s="1" t="s">
        <v>38</v>
      </c>
      <c r="S1192" s="1" t="s">
        <v>422</v>
      </c>
      <c r="T1192" s="15" t="s">
        <v>35</v>
      </c>
    </row>
    <row r="1193" spans="1:20" x14ac:dyDescent="0.3">
      <c r="A1193" s="14">
        <v>1192</v>
      </c>
      <c r="B1193" s="4">
        <v>44336</v>
      </c>
      <c r="C1193" s="1" t="s">
        <v>534</v>
      </c>
      <c r="D1193" s="1" t="s">
        <v>20</v>
      </c>
      <c r="E1193" s="1" t="s">
        <v>29</v>
      </c>
      <c r="F1193" s="2">
        <v>5</v>
      </c>
      <c r="G1193" s="5">
        <v>2410</v>
      </c>
      <c r="H1193" s="24">
        <f t="shared" si="90"/>
        <v>12050</v>
      </c>
      <c r="I1193" s="7">
        <v>0.02</v>
      </c>
      <c r="J1193" s="5">
        <f t="shared" si="91"/>
        <v>241</v>
      </c>
      <c r="K1193" s="5">
        <f t="shared" si="92"/>
        <v>11809</v>
      </c>
      <c r="L1193" s="5">
        <v>1930</v>
      </c>
      <c r="M1193" s="5">
        <f t="shared" si="93"/>
        <v>2159</v>
      </c>
      <c r="N1193" s="7">
        <f t="shared" si="94"/>
        <v>0.18282665763400796</v>
      </c>
      <c r="O1193" s="1" t="s">
        <v>22</v>
      </c>
      <c r="P1193" s="1" t="s">
        <v>31</v>
      </c>
      <c r="Q1193" s="1" t="s">
        <v>48</v>
      </c>
      <c r="R1193" s="1" t="s">
        <v>63</v>
      </c>
      <c r="S1193" s="1" t="s">
        <v>502</v>
      </c>
      <c r="T1193" s="15" t="s">
        <v>61</v>
      </c>
    </row>
    <row r="1194" spans="1:20" x14ac:dyDescent="0.3">
      <c r="A1194" s="14">
        <v>1193</v>
      </c>
      <c r="B1194" s="4">
        <v>44489</v>
      </c>
      <c r="C1194" s="1" t="s">
        <v>530</v>
      </c>
      <c r="D1194" s="1" t="s">
        <v>80</v>
      </c>
      <c r="E1194" s="1" t="s">
        <v>45</v>
      </c>
      <c r="F1194" s="2">
        <v>11</v>
      </c>
      <c r="G1194" s="5">
        <v>200</v>
      </c>
      <c r="H1194" s="24">
        <f t="shared" si="90"/>
        <v>2200</v>
      </c>
      <c r="I1194" s="7">
        <v>0.05</v>
      </c>
      <c r="J1194" s="5">
        <f t="shared" si="91"/>
        <v>110</v>
      </c>
      <c r="K1194" s="5">
        <f t="shared" si="92"/>
        <v>2090</v>
      </c>
      <c r="L1194" s="5">
        <v>130</v>
      </c>
      <c r="M1194" s="5">
        <f t="shared" si="93"/>
        <v>660</v>
      </c>
      <c r="N1194" s="7">
        <f t="shared" si="94"/>
        <v>0.31578947368421051</v>
      </c>
      <c r="O1194" s="1" t="s">
        <v>22</v>
      </c>
      <c r="P1194" s="1" t="s">
        <v>31</v>
      </c>
      <c r="Q1194" s="1" t="s">
        <v>24</v>
      </c>
      <c r="R1194" s="1" t="s">
        <v>49</v>
      </c>
      <c r="S1194" s="1" t="s">
        <v>193</v>
      </c>
      <c r="T1194" s="15" t="s">
        <v>35</v>
      </c>
    </row>
    <row r="1195" spans="1:20" x14ac:dyDescent="0.3">
      <c r="A1195" s="14">
        <v>1194</v>
      </c>
      <c r="B1195" s="4">
        <v>44470</v>
      </c>
      <c r="C1195" s="1" t="s">
        <v>529</v>
      </c>
      <c r="D1195" s="1" t="s">
        <v>20</v>
      </c>
      <c r="E1195" s="1" t="s">
        <v>43</v>
      </c>
      <c r="F1195" s="2">
        <v>7</v>
      </c>
      <c r="G1195" s="5">
        <v>280</v>
      </c>
      <c r="H1195" s="24">
        <f t="shared" si="90"/>
        <v>1960</v>
      </c>
      <c r="I1195" s="7">
        <v>0</v>
      </c>
      <c r="J1195" s="5">
        <f t="shared" si="91"/>
        <v>0</v>
      </c>
      <c r="K1195" s="5">
        <f t="shared" si="92"/>
        <v>1960</v>
      </c>
      <c r="L1195" s="5">
        <v>230</v>
      </c>
      <c r="M1195" s="5">
        <f t="shared" si="93"/>
        <v>350</v>
      </c>
      <c r="N1195" s="7">
        <f t="shared" si="94"/>
        <v>0.17857142857142858</v>
      </c>
      <c r="O1195" s="1" t="s">
        <v>22</v>
      </c>
      <c r="P1195" s="1" t="s">
        <v>31</v>
      </c>
      <c r="Q1195" s="1" t="s">
        <v>32</v>
      </c>
      <c r="R1195" s="1" t="s">
        <v>25</v>
      </c>
      <c r="S1195" s="1" t="s">
        <v>283</v>
      </c>
      <c r="T1195" s="15" t="s">
        <v>35</v>
      </c>
    </row>
    <row r="1196" spans="1:20" x14ac:dyDescent="0.3">
      <c r="A1196" s="14">
        <v>1195</v>
      </c>
      <c r="B1196" s="4">
        <v>44326</v>
      </c>
      <c r="C1196" s="1" t="s">
        <v>533</v>
      </c>
      <c r="D1196" s="1" t="s">
        <v>20</v>
      </c>
      <c r="E1196" s="1" t="s">
        <v>21</v>
      </c>
      <c r="F1196" s="2">
        <v>2</v>
      </c>
      <c r="G1196" s="5">
        <v>220</v>
      </c>
      <c r="H1196" s="24">
        <f t="shared" si="90"/>
        <v>440</v>
      </c>
      <c r="I1196" s="7">
        <v>0</v>
      </c>
      <c r="J1196" s="5">
        <f t="shared" si="91"/>
        <v>0</v>
      </c>
      <c r="K1196" s="5">
        <f t="shared" si="92"/>
        <v>440</v>
      </c>
      <c r="L1196" s="5">
        <v>140</v>
      </c>
      <c r="M1196" s="5">
        <f t="shared" si="93"/>
        <v>160</v>
      </c>
      <c r="N1196" s="7">
        <f t="shared" si="94"/>
        <v>0.36363636363636365</v>
      </c>
      <c r="O1196" s="1" t="s">
        <v>41</v>
      </c>
      <c r="P1196" s="1" t="s">
        <v>31</v>
      </c>
      <c r="Q1196" s="1" t="s">
        <v>48</v>
      </c>
      <c r="R1196" s="1" t="s">
        <v>63</v>
      </c>
      <c r="S1196" s="1" t="s">
        <v>196</v>
      </c>
      <c r="T1196" s="15" t="s">
        <v>61</v>
      </c>
    </row>
    <row r="1197" spans="1:20" x14ac:dyDescent="0.3">
      <c r="A1197" s="14">
        <v>1196</v>
      </c>
      <c r="B1197" s="4">
        <v>44470</v>
      </c>
      <c r="C1197" s="1" t="s">
        <v>532</v>
      </c>
      <c r="D1197" s="1" t="s">
        <v>20</v>
      </c>
      <c r="E1197" s="1" t="s">
        <v>40</v>
      </c>
      <c r="F1197" s="2">
        <v>8</v>
      </c>
      <c r="G1197" s="5">
        <v>1690</v>
      </c>
      <c r="H1197" s="24">
        <f t="shared" si="90"/>
        <v>13520</v>
      </c>
      <c r="I1197" s="7">
        <v>0.1</v>
      </c>
      <c r="J1197" s="5">
        <f t="shared" si="91"/>
        <v>1352</v>
      </c>
      <c r="K1197" s="5">
        <f t="shared" si="92"/>
        <v>12168</v>
      </c>
      <c r="L1197" s="5">
        <v>1040</v>
      </c>
      <c r="M1197" s="5">
        <f t="shared" si="93"/>
        <v>3848</v>
      </c>
      <c r="N1197" s="7">
        <f t="shared" si="94"/>
        <v>0.31623931623931623</v>
      </c>
      <c r="O1197" s="1" t="s">
        <v>22</v>
      </c>
      <c r="P1197" s="1" t="s">
        <v>31</v>
      </c>
      <c r="Q1197" s="1" t="s">
        <v>24</v>
      </c>
      <c r="R1197" s="1" t="s">
        <v>46</v>
      </c>
      <c r="S1197" s="1" t="s">
        <v>117</v>
      </c>
      <c r="T1197" s="15" t="s">
        <v>53</v>
      </c>
    </row>
    <row r="1198" spans="1:20" x14ac:dyDescent="0.3">
      <c r="A1198" s="14">
        <v>1197</v>
      </c>
      <c r="B1198" s="4">
        <v>44274</v>
      </c>
      <c r="C1198" s="1" t="s">
        <v>529</v>
      </c>
      <c r="D1198" s="1" t="s">
        <v>28</v>
      </c>
      <c r="E1198" s="1" t="s">
        <v>29</v>
      </c>
      <c r="F1198" s="2">
        <v>9</v>
      </c>
      <c r="G1198" s="5">
        <v>2390</v>
      </c>
      <c r="H1198" s="24">
        <f t="shared" si="90"/>
        <v>21510</v>
      </c>
      <c r="I1198" s="7">
        <v>0.05</v>
      </c>
      <c r="J1198" s="5">
        <f t="shared" si="91"/>
        <v>1075.5</v>
      </c>
      <c r="K1198" s="5">
        <f t="shared" si="92"/>
        <v>20434.5</v>
      </c>
      <c r="L1198" s="5">
        <v>1900</v>
      </c>
      <c r="M1198" s="5">
        <f t="shared" si="93"/>
        <v>3334.5</v>
      </c>
      <c r="N1198" s="7">
        <f t="shared" si="94"/>
        <v>0.16317991631799164</v>
      </c>
      <c r="O1198" s="1" t="s">
        <v>41</v>
      </c>
      <c r="P1198" s="1" t="s">
        <v>31</v>
      </c>
      <c r="Q1198" s="1" t="s">
        <v>48</v>
      </c>
      <c r="R1198" s="1" t="s">
        <v>50</v>
      </c>
      <c r="S1198" s="1" t="s">
        <v>192</v>
      </c>
      <c r="T1198" s="15" t="s">
        <v>61</v>
      </c>
    </row>
    <row r="1199" spans="1:20" x14ac:dyDescent="0.3">
      <c r="A1199" s="14">
        <v>1198</v>
      </c>
      <c r="B1199" s="4">
        <v>44275</v>
      </c>
      <c r="C1199" s="1" t="s">
        <v>533</v>
      </c>
      <c r="D1199" s="1" t="s">
        <v>20</v>
      </c>
      <c r="E1199" s="1" t="s">
        <v>43</v>
      </c>
      <c r="F1199" s="2">
        <v>6</v>
      </c>
      <c r="G1199" s="5">
        <v>280</v>
      </c>
      <c r="H1199" s="24">
        <f t="shared" si="90"/>
        <v>1680</v>
      </c>
      <c r="I1199" s="7">
        <v>0</v>
      </c>
      <c r="J1199" s="5">
        <f t="shared" si="91"/>
        <v>0</v>
      </c>
      <c r="K1199" s="5">
        <f t="shared" si="92"/>
        <v>1680</v>
      </c>
      <c r="L1199" s="5">
        <v>200</v>
      </c>
      <c r="M1199" s="5">
        <f t="shared" si="93"/>
        <v>480</v>
      </c>
      <c r="N1199" s="7">
        <f t="shared" si="94"/>
        <v>0.2857142857142857</v>
      </c>
      <c r="O1199" s="1" t="s">
        <v>30</v>
      </c>
      <c r="P1199" s="1" t="s">
        <v>62</v>
      </c>
      <c r="Q1199" s="1" t="s">
        <v>32</v>
      </c>
      <c r="R1199" s="1" t="s">
        <v>46</v>
      </c>
      <c r="S1199" s="1" t="s">
        <v>201</v>
      </c>
      <c r="T1199" s="15" t="s">
        <v>61</v>
      </c>
    </row>
    <row r="1200" spans="1:20" x14ac:dyDescent="0.3">
      <c r="A1200" s="14">
        <v>1199</v>
      </c>
      <c r="B1200" s="4">
        <v>44390</v>
      </c>
      <c r="C1200" s="1" t="s">
        <v>532</v>
      </c>
      <c r="D1200" s="1" t="s">
        <v>20</v>
      </c>
      <c r="E1200" s="1" t="s">
        <v>45</v>
      </c>
      <c r="F1200" s="2">
        <v>1</v>
      </c>
      <c r="G1200" s="5">
        <v>190</v>
      </c>
      <c r="H1200" s="24">
        <f t="shared" si="90"/>
        <v>190</v>
      </c>
      <c r="I1200" s="7">
        <v>0.05</v>
      </c>
      <c r="J1200" s="5">
        <f t="shared" si="91"/>
        <v>9.5</v>
      </c>
      <c r="K1200" s="5">
        <f t="shared" si="92"/>
        <v>180.5</v>
      </c>
      <c r="L1200" s="5">
        <v>140</v>
      </c>
      <c r="M1200" s="5">
        <f t="shared" si="93"/>
        <v>40.5</v>
      </c>
      <c r="N1200" s="7">
        <f t="shared" si="94"/>
        <v>0.22437673130193905</v>
      </c>
      <c r="O1200" s="1" t="s">
        <v>30</v>
      </c>
      <c r="P1200" s="1" t="s">
        <v>31</v>
      </c>
      <c r="Q1200" s="1" t="s">
        <v>48</v>
      </c>
      <c r="R1200" s="1" t="s">
        <v>33</v>
      </c>
      <c r="S1200" s="1" t="s">
        <v>92</v>
      </c>
      <c r="T1200" s="15" t="s">
        <v>35</v>
      </c>
    </row>
    <row r="1201" spans="1:20" x14ac:dyDescent="0.3">
      <c r="A1201" s="14">
        <v>1200</v>
      </c>
      <c r="B1201" s="4">
        <v>44284</v>
      </c>
      <c r="C1201" s="1" t="s">
        <v>530</v>
      </c>
      <c r="D1201" s="1" t="s">
        <v>28</v>
      </c>
      <c r="E1201" s="1" t="s">
        <v>40</v>
      </c>
      <c r="F1201" s="2">
        <v>8</v>
      </c>
      <c r="G1201" s="5">
        <v>1720</v>
      </c>
      <c r="H1201" s="24">
        <f t="shared" si="90"/>
        <v>13760</v>
      </c>
      <c r="I1201" s="7">
        <v>0.02</v>
      </c>
      <c r="J1201" s="5">
        <f t="shared" si="91"/>
        <v>275.2</v>
      </c>
      <c r="K1201" s="5">
        <f t="shared" si="92"/>
        <v>13484.8</v>
      </c>
      <c r="L1201" s="5">
        <v>1310</v>
      </c>
      <c r="M1201" s="5">
        <f t="shared" si="93"/>
        <v>3004.7999999999993</v>
      </c>
      <c r="N1201" s="7">
        <f t="shared" si="94"/>
        <v>0.222828666350261</v>
      </c>
      <c r="O1201" s="1" t="s">
        <v>59</v>
      </c>
      <c r="P1201" s="1" t="s">
        <v>31</v>
      </c>
      <c r="Q1201" s="1" t="s">
        <v>48</v>
      </c>
      <c r="R1201" s="1" t="s">
        <v>25</v>
      </c>
      <c r="S1201" s="1" t="s">
        <v>503</v>
      </c>
      <c r="T1201" s="15" t="s">
        <v>61</v>
      </c>
    </row>
    <row r="1202" spans="1:20" x14ac:dyDescent="0.3">
      <c r="A1202" s="14">
        <v>1201</v>
      </c>
      <c r="B1202" s="4">
        <v>44543</v>
      </c>
      <c r="C1202" s="1" t="s">
        <v>533</v>
      </c>
      <c r="D1202" s="1" t="s">
        <v>20</v>
      </c>
      <c r="E1202" s="1" t="s">
        <v>29</v>
      </c>
      <c r="F1202" s="2">
        <v>12</v>
      </c>
      <c r="G1202" s="5">
        <v>1970</v>
      </c>
      <c r="H1202" s="24">
        <f t="shared" si="90"/>
        <v>23640</v>
      </c>
      <c r="I1202" s="7">
        <v>0.05</v>
      </c>
      <c r="J1202" s="5">
        <f t="shared" si="91"/>
        <v>1182</v>
      </c>
      <c r="K1202" s="5">
        <f t="shared" si="92"/>
        <v>22458</v>
      </c>
      <c r="L1202" s="5">
        <v>1490</v>
      </c>
      <c r="M1202" s="5">
        <f t="shared" si="93"/>
        <v>4578</v>
      </c>
      <c r="N1202" s="7">
        <f t="shared" si="94"/>
        <v>0.20384718140528987</v>
      </c>
      <c r="O1202" s="1" t="s">
        <v>41</v>
      </c>
      <c r="P1202" s="1" t="s">
        <v>31</v>
      </c>
      <c r="Q1202" s="1" t="s">
        <v>24</v>
      </c>
      <c r="R1202" s="1" t="s">
        <v>38</v>
      </c>
      <c r="S1202" s="1" t="s">
        <v>469</v>
      </c>
      <c r="T1202" s="15" t="s">
        <v>61</v>
      </c>
    </row>
    <row r="1203" spans="1:20" x14ac:dyDescent="0.3">
      <c r="A1203" s="14">
        <v>1202</v>
      </c>
      <c r="B1203" s="4">
        <v>44203</v>
      </c>
      <c r="C1203" s="1" t="s">
        <v>533</v>
      </c>
      <c r="D1203" s="1" t="s">
        <v>20</v>
      </c>
      <c r="E1203" s="1" t="s">
        <v>21</v>
      </c>
      <c r="F1203" s="2">
        <v>4</v>
      </c>
      <c r="G1203" s="5">
        <v>230</v>
      </c>
      <c r="H1203" s="24">
        <f t="shared" si="90"/>
        <v>920</v>
      </c>
      <c r="I1203" s="7">
        <v>0.02</v>
      </c>
      <c r="J1203" s="5">
        <f t="shared" si="91"/>
        <v>18.400000000000002</v>
      </c>
      <c r="K1203" s="5">
        <f t="shared" si="92"/>
        <v>901.6</v>
      </c>
      <c r="L1203" s="5">
        <v>190</v>
      </c>
      <c r="M1203" s="5">
        <f t="shared" si="93"/>
        <v>141.60000000000002</v>
      </c>
      <c r="N1203" s="7">
        <f t="shared" si="94"/>
        <v>0.15705412599822541</v>
      </c>
      <c r="O1203" s="1" t="s">
        <v>22</v>
      </c>
      <c r="P1203" s="1" t="s">
        <v>31</v>
      </c>
      <c r="Q1203" s="1" t="s">
        <v>24</v>
      </c>
      <c r="R1203" s="1" t="s">
        <v>25</v>
      </c>
      <c r="S1203" s="1" t="s">
        <v>186</v>
      </c>
      <c r="T1203" s="15" t="s">
        <v>35</v>
      </c>
    </row>
    <row r="1204" spans="1:20" x14ac:dyDescent="0.3">
      <c r="A1204" s="14">
        <v>1203</v>
      </c>
      <c r="B1204" s="4">
        <v>44519</v>
      </c>
      <c r="C1204" s="1" t="s">
        <v>529</v>
      </c>
      <c r="D1204" s="1" t="s">
        <v>20</v>
      </c>
      <c r="E1204" s="1" t="s">
        <v>21</v>
      </c>
      <c r="F1204" s="2">
        <v>12</v>
      </c>
      <c r="G1204" s="5">
        <v>210</v>
      </c>
      <c r="H1204" s="24">
        <f t="shared" si="90"/>
        <v>2520</v>
      </c>
      <c r="I1204" s="7">
        <v>0.05</v>
      </c>
      <c r="J1204" s="5">
        <f t="shared" si="91"/>
        <v>126</v>
      </c>
      <c r="K1204" s="5">
        <f t="shared" si="92"/>
        <v>2394</v>
      </c>
      <c r="L1204" s="5">
        <v>160</v>
      </c>
      <c r="M1204" s="5">
        <f t="shared" si="93"/>
        <v>474</v>
      </c>
      <c r="N1204" s="7">
        <f t="shared" si="94"/>
        <v>0.19799498746867167</v>
      </c>
      <c r="O1204" s="1" t="s">
        <v>22</v>
      </c>
      <c r="P1204" s="1" t="s">
        <v>31</v>
      </c>
      <c r="Q1204" s="1" t="s">
        <v>24</v>
      </c>
      <c r="R1204" s="1" t="s">
        <v>46</v>
      </c>
      <c r="S1204" s="1" t="s">
        <v>305</v>
      </c>
      <c r="T1204" s="15" t="s">
        <v>35</v>
      </c>
    </row>
    <row r="1205" spans="1:20" x14ac:dyDescent="0.3">
      <c r="A1205" s="14">
        <v>1204</v>
      </c>
      <c r="B1205" s="4">
        <v>44509</v>
      </c>
      <c r="C1205" s="1" t="s">
        <v>529</v>
      </c>
      <c r="D1205" s="1" t="s">
        <v>80</v>
      </c>
      <c r="E1205" s="1" t="s">
        <v>21</v>
      </c>
      <c r="F1205" s="2">
        <v>7</v>
      </c>
      <c r="G1205" s="5">
        <v>190</v>
      </c>
      <c r="H1205" s="24">
        <f t="shared" si="90"/>
        <v>1330</v>
      </c>
      <c r="I1205" s="7">
        <v>0</v>
      </c>
      <c r="J1205" s="5">
        <f t="shared" si="91"/>
        <v>0</v>
      </c>
      <c r="K1205" s="5">
        <f t="shared" si="92"/>
        <v>1330</v>
      </c>
      <c r="L1205" s="5">
        <v>120</v>
      </c>
      <c r="M1205" s="5">
        <f t="shared" si="93"/>
        <v>490</v>
      </c>
      <c r="N1205" s="7">
        <f t="shared" si="94"/>
        <v>0.36842105263157893</v>
      </c>
      <c r="O1205" s="1" t="s">
        <v>41</v>
      </c>
      <c r="P1205" s="1" t="s">
        <v>31</v>
      </c>
      <c r="Q1205" s="1" t="s">
        <v>37</v>
      </c>
      <c r="R1205" s="1" t="s">
        <v>46</v>
      </c>
      <c r="S1205" s="1" t="s">
        <v>504</v>
      </c>
      <c r="T1205" s="15" t="s">
        <v>61</v>
      </c>
    </row>
    <row r="1206" spans="1:20" x14ac:dyDescent="0.3">
      <c r="A1206" s="14">
        <v>1205</v>
      </c>
      <c r="B1206" s="4">
        <v>44328</v>
      </c>
      <c r="C1206" s="1" t="s">
        <v>530</v>
      </c>
      <c r="D1206" s="1" t="s">
        <v>20</v>
      </c>
      <c r="E1206" s="1" t="s">
        <v>21</v>
      </c>
      <c r="F1206" s="2">
        <v>5</v>
      </c>
      <c r="G1206" s="5">
        <v>200</v>
      </c>
      <c r="H1206" s="24">
        <f t="shared" si="90"/>
        <v>1000</v>
      </c>
      <c r="I1206" s="7">
        <v>0</v>
      </c>
      <c r="J1206" s="5">
        <f t="shared" si="91"/>
        <v>0</v>
      </c>
      <c r="K1206" s="5">
        <f t="shared" si="92"/>
        <v>1000</v>
      </c>
      <c r="L1206" s="5">
        <v>120</v>
      </c>
      <c r="M1206" s="5">
        <f t="shared" si="93"/>
        <v>400</v>
      </c>
      <c r="N1206" s="7">
        <f t="shared" si="94"/>
        <v>0.4</v>
      </c>
      <c r="O1206" s="1" t="s">
        <v>59</v>
      </c>
      <c r="P1206" s="1" t="s">
        <v>31</v>
      </c>
      <c r="Q1206" s="1" t="s">
        <v>24</v>
      </c>
      <c r="R1206" s="1" t="s">
        <v>56</v>
      </c>
      <c r="S1206" s="1" t="s">
        <v>203</v>
      </c>
      <c r="T1206" s="15" t="s">
        <v>61</v>
      </c>
    </row>
    <row r="1207" spans="1:20" x14ac:dyDescent="0.3">
      <c r="A1207" s="14">
        <v>1206</v>
      </c>
      <c r="B1207" s="4">
        <v>44432</v>
      </c>
      <c r="C1207" s="1" t="s">
        <v>534</v>
      </c>
      <c r="D1207" s="1" t="s">
        <v>28</v>
      </c>
      <c r="E1207" s="1" t="s">
        <v>21</v>
      </c>
      <c r="F1207" s="2">
        <v>12</v>
      </c>
      <c r="G1207" s="5">
        <v>210</v>
      </c>
      <c r="H1207" s="24">
        <f t="shared" si="90"/>
        <v>2520</v>
      </c>
      <c r="I1207" s="7">
        <v>0.05</v>
      </c>
      <c r="J1207" s="5">
        <f t="shared" si="91"/>
        <v>126</v>
      </c>
      <c r="K1207" s="5">
        <f t="shared" si="92"/>
        <v>2394</v>
      </c>
      <c r="L1207" s="5">
        <v>140</v>
      </c>
      <c r="M1207" s="5">
        <f t="shared" si="93"/>
        <v>714</v>
      </c>
      <c r="N1207" s="7">
        <f t="shared" si="94"/>
        <v>0.2982456140350877</v>
      </c>
      <c r="O1207" s="1" t="s">
        <v>59</v>
      </c>
      <c r="P1207" s="1" t="s">
        <v>31</v>
      </c>
      <c r="Q1207" s="1" t="s">
        <v>24</v>
      </c>
      <c r="R1207" s="1" t="s">
        <v>25</v>
      </c>
      <c r="S1207" s="1" t="s">
        <v>467</v>
      </c>
      <c r="T1207" s="15" t="s">
        <v>61</v>
      </c>
    </row>
    <row r="1208" spans="1:20" x14ac:dyDescent="0.3">
      <c r="A1208" s="14">
        <v>1207</v>
      </c>
      <c r="B1208" s="4">
        <v>44269</v>
      </c>
      <c r="C1208" s="1" t="s">
        <v>529</v>
      </c>
      <c r="D1208" s="1" t="s">
        <v>82</v>
      </c>
      <c r="E1208" s="1" t="s">
        <v>21</v>
      </c>
      <c r="F1208" s="2">
        <v>8</v>
      </c>
      <c r="G1208" s="5">
        <v>200</v>
      </c>
      <c r="H1208" s="24">
        <f t="shared" si="90"/>
        <v>1600</v>
      </c>
      <c r="I1208" s="7">
        <v>0</v>
      </c>
      <c r="J1208" s="5">
        <f t="shared" si="91"/>
        <v>0</v>
      </c>
      <c r="K1208" s="5">
        <f t="shared" si="92"/>
        <v>1600</v>
      </c>
      <c r="L1208" s="5">
        <v>140</v>
      </c>
      <c r="M1208" s="5">
        <f t="shared" si="93"/>
        <v>480</v>
      </c>
      <c r="N1208" s="7">
        <f t="shared" si="94"/>
        <v>0.3</v>
      </c>
      <c r="O1208" s="1" t="s">
        <v>41</v>
      </c>
      <c r="P1208" s="1" t="s">
        <v>31</v>
      </c>
      <c r="Q1208" s="1" t="s">
        <v>32</v>
      </c>
      <c r="R1208" s="1" t="s">
        <v>63</v>
      </c>
      <c r="S1208" s="1" t="s">
        <v>120</v>
      </c>
      <c r="T1208" s="15" t="s">
        <v>35</v>
      </c>
    </row>
    <row r="1209" spans="1:20" x14ac:dyDescent="0.3">
      <c r="A1209" s="14">
        <v>1208</v>
      </c>
      <c r="B1209" s="4">
        <v>44308</v>
      </c>
      <c r="C1209" s="1" t="s">
        <v>530</v>
      </c>
      <c r="D1209" s="1" t="s">
        <v>28</v>
      </c>
      <c r="E1209" s="1" t="s">
        <v>40</v>
      </c>
      <c r="F1209" s="2">
        <v>9</v>
      </c>
      <c r="G1209" s="5">
        <v>1320</v>
      </c>
      <c r="H1209" s="24">
        <f t="shared" si="90"/>
        <v>11880</v>
      </c>
      <c r="I1209" s="7">
        <v>0</v>
      </c>
      <c r="J1209" s="5">
        <f t="shared" si="91"/>
        <v>0</v>
      </c>
      <c r="K1209" s="5">
        <f t="shared" si="92"/>
        <v>11880</v>
      </c>
      <c r="L1209" s="5">
        <v>880</v>
      </c>
      <c r="M1209" s="5">
        <f t="shared" si="93"/>
        <v>3960</v>
      </c>
      <c r="N1209" s="7">
        <f t="shared" si="94"/>
        <v>0.33333333333333331</v>
      </c>
      <c r="O1209" s="1" t="s">
        <v>41</v>
      </c>
      <c r="P1209" s="1" t="s">
        <v>31</v>
      </c>
      <c r="Q1209" s="1" t="s">
        <v>32</v>
      </c>
      <c r="R1209" s="1" t="s">
        <v>33</v>
      </c>
      <c r="S1209" s="1" t="s">
        <v>345</v>
      </c>
      <c r="T1209" s="15" t="s">
        <v>27</v>
      </c>
    </row>
    <row r="1210" spans="1:20" x14ac:dyDescent="0.3">
      <c r="A1210" s="14">
        <v>1209</v>
      </c>
      <c r="B1210" s="4">
        <v>44503</v>
      </c>
      <c r="C1210" s="1" t="s">
        <v>530</v>
      </c>
      <c r="D1210" s="1" t="s">
        <v>28</v>
      </c>
      <c r="E1210" s="1" t="s">
        <v>21</v>
      </c>
      <c r="F1210" s="2">
        <v>6</v>
      </c>
      <c r="G1210" s="5">
        <v>210</v>
      </c>
      <c r="H1210" s="24">
        <f t="shared" si="90"/>
        <v>1260</v>
      </c>
      <c r="I1210" s="7">
        <v>0</v>
      </c>
      <c r="J1210" s="5">
        <f t="shared" si="91"/>
        <v>0</v>
      </c>
      <c r="K1210" s="5">
        <f t="shared" si="92"/>
        <v>1260</v>
      </c>
      <c r="L1210" s="5">
        <v>170</v>
      </c>
      <c r="M1210" s="5">
        <f t="shared" si="93"/>
        <v>240</v>
      </c>
      <c r="N1210" s="7">
        <f t="shared" si="94"/>
        <v>0.19047619047619047</v>
      </c>
      <c r="O1210" s="1" t="s">
        <v>41</v>
      </c>
      <c r="P1210" s="1" t="s">
        <v>62</v>
      </c>
      <c r="Q1210" s="1" t="s">
        <v>48</v>
      </c>
      <c r="R1210" s="1" t="s">
        <v>33</v>
      </c>
      <c r="S1210" s="1" t="s">
        <v>201</v>
      </c>
      <c r="T1210" s="15" t="s">
        <v>53</v>
      </c>
    </row>
    <row r="1211" spans="1:20" x14ac:dyDescent="0.3">
      <c r="A1211" s="14">
        <v>1210</v>
      </c>
      <c r="B1211" s="4">
        <v>44275</v>
      </c>
      <c r="C1211" s="1" t="s">
        <v>529</v>
      </c>
      <c r="D1211" s="1" t="s">
        <v>82</v>
      </c>
      <c r="E1211" s="1" t="s">
        <v>21</v>
      </c>
      <c r="F1211" s="2">
        <v>2</v>
      </c>
      <c r="G1211" s="5">
        <v>220</v>
      </c>
      <c r="H1211" s="24">
        <f t="shared" si="90"/>
        <v>440</v>
      </c>
      <c r="I1211" s="7">
        <v>0.05</v>
      </c>
      <c r="J1211" s="5">
        <f t="shared" si="91"/>
        <v>22</v>
      </c>
      <c r="K1211" s="5">
        <f t="shared" si="92"/>
        <v>418</v>
      </c>
      <c r="L1211" s="5">
        <v>130</v>
      </c>
      <c r="M1211" s="5">
        <f t="shared" si="93"/>
        <v>158</v>
      </c>
      <c r="N1211" s="7">
        <f t="shared" si="94"/>
        <v>0.37799043062200954</v>
      </c>
      <c r="O1211" s="1" t="s">
        <v>30</v>
      </c>
      <c r="P1211" s="1" t="s">
        <v>31</v>
      </c>
      <c r="Q1211" s="1" t="s">
        <v>37</v>
      </c>
      <c r="R1211" s="1" t="s">
        <v>56</v>
      </c>
      <c r="S1211" s="1" t="s">
        <v>129</v>
      </c>
      <c r="T1211" s="15" t="s">
        <v>53</v>
      </c>
    </row>
    <row r="1212" spans="1:20" x14ac:dyDescent="0.3">
      <c r="A1212" s="14">
        <v>1211</v>
      </c>
      <c r="B1212" s="4">
        <v>44300</v>
      </c>
      <c r="C1212" s="1" t="s">
        <v>529</v>
      </c>
      <c r="D1212" s="1" t="s">
        <v>28</v>
      </c>
      <c r="E1212" s="1" t="s">
        <v>21</v>
      </c>
      <c r="F1212" s="2">
        <v>9</v>
      </c>
      <c r="G1212" s="5">
        <v>200</v>
      </c>
      <c r="H1212" s="24">
        <f t="shared" si="90"/>
        <v>1800</v>
      </c>
      <c r="I1212" s="7">
        <v>0.15</v>
      </c>
      <c r="J1212" s="5">
        <f t="shared" si="91"/>
        <v>270</v>
      </c>
      <c r="K1212" s="5">
        <f t="shared" si="92"/>
        <v>1530</v>
      </c>
      <c r="L1212" s="5">
        <v>150</v>
      </c>
      <c r="M1212" s="5">
        <f t="shared" si="93"/>
        <v>180</v>
      </c>
      <c r="N1212" s="7">
        <f t="shared" si="94"/>
        <v>0.11764705882352941</v>
      </c>
      <c r="O1212" s="1" t="s">
        <v>30</v>
      </c>
      <c r="P1212" s="1" t="s">
        <v>31</v>
      </c>
      <c r="Q1212" s="1" t="s">
        <v>48</v>
      </c>
      <c r="R1212" s="1" t="s">
        <v>25</v>
      </c>
      <c r="S1212" s="1" t="s">
        <v>349</v>
      </c>
      <c r="T1212" s="15" t="s">
        <v>53</v>
      </c>
    </row>
    <row r="1213" spans="1:20" x14ac:dyDescent="0.3">
      <c r="A1213" s="14">
        <v>1212</v>
      </c>
      <c r="B1213" s="4">
        <v>44400</v>
      </c>
      <c r="C1213" s="1" t="s">
        <v>530</v>
      </c>
      <c r="D1213" s="1" t="s">
        <v>20</v>
      </c>
      <c r="E1213" s="1" t="s">
        <v>43</v>
      </c>
      <c r="F1213" s="2">
        <v>9</v>
      </c>
      <c r="G1213" s="5">
        <v>290</v>
      </c>
      <c r="H1213" s="24">
        <f t="shared" si="90"/>
        <v>2610</v>
      </c>
      <c r="I1213" s="7">
        <v>0.02</v>
      </c>
      <c r="J1213" s="5">
        <f t="shared" si="91"/>
        <v>52.2</v>
      </c>
      <c r="K1213" s="5">
        <f t="shared" si="92"/>
        <v>2557.8000000000002</v>
      </c>
      <c r="L1213" s="5">
        <v>180</v>
      </c>
      <c r="M1213" s="5">
        <f t="shared" si="93"/>
        <v>937.80000000000018</v>
      </c>
      <c r="N1213" s="7">
        <f t="shared" si="94"/>
        <v>0.36664320900774106</v>
      </c>
      <c r="O1213" s="1" t="s">
        <v>30</v>
      </c>
      <c r="P1213" s="1" t="s">
        <v>31</v>
      </c>
      <c r="Q1213" s="1" t="s">
        <v>37</v>
      </c>
      <c r="R1213" s="1" t="s">
        <v>56</v>
      </c>
      <c r="S1213" s="1" t="s">
        <v>503</v>
      </c>
      <c r="T1213" s="15" t="s">
        <v>61</v>
      </c>
    </row>
    <row r="1214" spans="1:20" x14ac:dyDescent="0.3">
      <c r="A1214" s="14">
        <v>1213</v>
      </c>
      <c r="B1214" s="4">
        <v>44232</v>
      </c>
      <c r="C1214" s="1" t="s">
        <v>529</v>
      </c>
      <c r="D1214" s="1" t="s">
        <v>82</v>
      </c>
      <c r="E1214" s="1" t="s">
        <v>43</v>
      </c>
      <c r="F1214" s="2">
        <v>11</v>
      </c>
      <c r="G1214" s="5">
        <v>290</v>
      </c>
      <c r="H1214" s="24">
        <f t="shared" si="90"/>
        <v>3190</v>
      </c>
      <c r="I1214" s="7">
        <v>0.15</v>
      </c>
      <c r="J1214" s="5">
        <f t="shared" si="91"/>
        <v>478.5</v>
      </c>
      <c r="K1214" s="5">
        <f t="shared" si="92"/>
        <v>2711.5</v>
      </c>
      <c r="L1214" s="5">
        <v>180</v>
      </c>
      <c r="M1214" s="5">
        <f t="shared" si="93"/>
        <v>731.5</v>
      </c>
      <c r="N1214" s="7">
        <f t="shared" si="94"/>
        <v>0.26977687626774849</v>
      </c>
      <c r="O1214" s="1" t="s">
        <v>22</v>
      </c>
      <c r="P1214" s="1" t="s">
        <v>31</v>
      </c>
      <c r="Q1214" s="1" t="s">
        <v>24</v>
      </c>
      <c r="R1214" s="1" t="s">
        <v>46</v>
      </c>
      <c r="S1214" s="1" t="s">
        <v>162</v>
      </c>
      <c r="T1214" s="15" t="s">
        <v>53</v>
      </c>
    </row>
    <row r="1215" spans="1:20" x14ac:dyDescent="0.3">
      <c r="A1215" s="14">
        <v>1214</v>
      </c>
      <c r="B1215" s="4">
        <v>44199</v>
      </c>
      <c r="C1215" s="1" t="s">
        <v>529</v>
      </c>
      <c r="D1215" s="1" t="s">
        <v>28</v>
      </c>
      <c r="E1215" s="1" t="s">
        <v>21</v>
      </c>
      <c r="F1215" s="2">
        <v>7</v>
      </c>
      <c r="G1215" s="5">
        <v>190</v>
      </c>
      <c r="H1215" s="24">
        <f t="shared" si="90"/>
        <v>1330</v>
      </c>
      <c r="I1215" s="7">
        <v>0</v>
      </c>
      <c r="J1215" s="5">
        <f t="shared" si="91"/>
        <v>0</v>
      </c>
      <c r="K1215" s="5">
        <f t="shared" si="92"/>
        <v>1330</v>
      </c>
      <c r="L1215" s="5">
        <v>110</v>
      </c>
      <c r="M1215" s="5">
        <f t="shared" si="93"/>
        <v>560</v>
      </c>
      <c r="N1215" s="7">
        <f t="shared" si="94"/>
        <v>0.42105263157894735</v>
      </c>
      <c r="O1215" s="1" t="s">
        <v>54</v>
      </c>
      <c r="P1215" s="1" t="s">
        <v>31</v>
      </c>
      <c r="Q1215" s="1" t="s">
        <v>24</v>
      </c>
      <c r="R1215" s="1" t="s">
        <v>25</v>
      </c>
      <c r="S1215" s="1" t="s">
        <v>416</v>
      </c>
      <c r="T1215" s="15" t="s">
        <v>35</v>
      </c>
    </row>
    <row r="1216" spans="1:20" x14ac:dyDescent="0.3">
      <c r="A1216" s="14">
        <v>1215</v>
      </c>
      <c r="B1216" s="4">
        <v>44390</v>
      </c>
      <c r="C1216" s="1" t="s">
        <v>531</v>
      </c>
      <c r="D1216" s="1" t="s">
        <v>82</v>
      </c>
      <c r="E1216" s="1" t="s">
        <v>40</v>
      </c>
      <c r="F1216" s="2">
        <v>1</v>
      </c>
      <c r="G1216" s="5">
        <v>1690</v>
      </c>
      <c r="H1216" s="24">
        <f t="shared" si="90"/>
        <v>1690</v>
      </c>
      <c r="I1216" s="7">
        <v>0.15</v>
      </c>
      <c r="J1216" s="5">
        <f t="shared" si="91"/>
        <v>253.5</v>
      </c>
      <c r="K1216" s="5">
        <f t="shared" si="92"/>
        <v>1436.5</v>
      </c>
      <c r="L1216" s="5">
        <v>1250</v>
      </c>
      <c r="M1216" s="5">
        <f t="shared" si="93"/>
        <v>186.5</v>
      </c>
      <c r="N1216" s="7">
        <f t="shared" si="94"/>
        <v>0.12982944657152801</v>
      </c>
      <c r="O1216" s="1" t="s">
        <v>54</v>
      </c>
      <c r="P1216" s="1" t="s">
        <v>31</v>
      </c>
      <c r="Q1216" s="1" t="s">
        <v>32</v>
      </c>
      <c r="R1216" s="1" t="s">
        <v>66</v>
      </c>
      <c r="S1216" s="1" t="s">
        <v>505</v>
      </c>
      <c r="T1216" s="15" t="s">
        <v>61</v>
      </c>
    </row>
    <row r="1217" spans="1:20" x14ac:dyDescent="0.3">
      <c r="A1217" s="14">
        <v>1216</v>
      </c>
      <c r="B1217" s="4">
        <v>44560</v>
      </c>
      <c r="C1217" s="1" t="s">
        <v>531</v>
      </c>
      <c r="D1217" s="1" t="s">
        <v>20</v>
      </c>
      <c r="E1217" s="1" t="s">
        <v>45</v>
      </c>
      <c r="F1217" s="2">
        <v>10</v>
      </c>
      <c r="G1217" s="5">
        <v>210</v>
      </c>
      <c r="H1217" s="24">
        <f t="shared" si="90"/>
        <v>2100</v>
      </c>
      <c r="I1217" s="7">
        <v>0</v>
      </c>
      <c r="J1217" s="5">
        <f t="shared" si="91"/>
        <v>0</v>
      </c>
      <c r="K1217" s="5">
        <f t="shared" si="92"/>
        <v>2100</v>
      </c>
      <c r="L1217" s="5">
        <v>150</v>
      </c>
      <c r="M1217" s="5">
        <f t="shared" si="93"/>
        <v>600</v>
      </c>
      <c r="N1217" s="7">
        <f t="shared" si="94"/>
        <v>0.2857142857142857</v>
      </c>
      <c r="O1217" s="1" t="s">
        <v>59</v>
      </c>
      <c r="P1217" s="1" t="s">
        <v>31</v>
      </c>
      <c r="Q1217" s="1" t="s">
        <v>32</v>
      </c>
      <c r="R1217" s="1" t="s">
        <v>49</v>
      </c>
      <c r="S1217" s="1" t="s">
        <v>114</v>
      </c>
      <c r="T1217" s="15" t="s">
        <v>61</v>
      </c>
    </row>
    <row r="1218" spans="1:20" x14ac:dyDescent="0.3">
      <c r="A1218" s="14">
        <v>1217</v>
      </c>
      <c r="B1218" s="4">
        <v>44386</v>
      </c>
      <c r="C1218" s="1" t="s">
        <v>533</v>
      </c>
      <c r="D1218" s="1" t="s">
        <v>20</v>
      </c>
      <c r="E1218" s="1" t="s">
        <v>29</v>
      </c>
      <c r="F1218" s="2">
        <v>5</v>
      </c>
      <c r="G1218" s="5">
        <v>2230</v>
      </c>
      <c r="H1218" s="24">
        <f t="shared" ref="H1218:H1281" si="95">F1218*G1218</f>
        <v>11150</v>
      </c>
      <c r="I1218" s="7">
        <v>0.02</v>
      </c>
      <c r="J1218" s="5">
        <f t="shared" ref="J1218:J1281" si="96">H1218*I1218</f>
        <v>223</v>
      </c>
      <c r="K1218" s="5">
        <f t="shared" ref="K1218:K1281" si="97">H1218-J1218</f>
        <v>10927</v>
      </c>
      <c r="L1218" s="5">
        <v>1520</v>
      </c>
      <c r="M1218" s="5">
        <f t="shared" ref="M1218:M1281" si="98">K1218-(F1218*L1218)</f>
        <v>3327</v>
      </c>
      <c r="N1218" s="7">
        <f t="shared" ref="N1218:N1281" si="99">IFERROR(M1218/K1218,0)</f>
        <v>0.30447515329001557</v>
      </c>
      <c r="O1218" s="1" t="s">
        <v>41</v>
      </c>
      <c r="P1218" s="1" t="s">
        <v>31</v>
      </c>
      <c r="Q1218" s="1" t="s">
        <v>37</v>
      </c>
      <c r="R1218" s="1" t="s">
        <v>66</v>
      </c>
      <c r="S1218" s="1" t="s">
        <v>390</v>
      </c>
      <c r="T1218" s="15" t="s">
        <v>61</v>
      </c>
    </row>
    <row r="1219" spans="1:20" x14ac:dyDescent="0.3">
      <c r="A1219" s="14">
        <v>1218</v>
      </c>
      <c r="B1219" s="4">
        <v>44460</v>
      </c>
      <c r="C1219" s="1" t="s">
        <v>530</v>
      </c>
      <c r="D1219" s="1" t="s">
        <v>82</v>
      </c>
      <c r="E1219" s="1" t="s">
        <v>21</v>
      </c>
      <c r="F1219" s="2">
        <v>11</v>
      </c>
      <c r="G1219" s="5">
        <v>220</v>
      </c>
      <c r="H1219" s="24">
        <f t="shared" si="95"/>
        <v>2420</v>
      </c>
      <c r="I1219" s="7">
        <v>0</v>
      </c>
      <c r="J1219" s="5">
        <f t="shared" si="96"/>
        <v>0</v>
      </c>
      <c r="K1219" s="5">
        <f t="shared" si="97"/>
        <v>2420</v>
      </c>
      <c r="L1219" s="5">
        <v>160</v>
      </c>
      <c r="M1219" s="5">
        <f t="shared" si="98"/>
        <v>660</v>
      </c>
      <c r="N1219" s="7">
        <f t="shared" si="99"/>
        <v>0.27272727272727271</v>
      </c>
      <c r="O1219" s="1" t="s">
        <v>30</v>
      </c>
      <c r="P1219" s="1" t="s">
        <v>31</v>
      </c>
      <c r="Q1219" s="1" t="s">
        <v>24</v>
      </c>
      <c r="R1219" s="1" t="s">
        <v>66</v>
      </c>
      <c r="S1219" s="1" t="s">
        <v>312</v>
      </c>
      <c r="T1219" s="15" t="s">
        <v>27</v>
      </c>
    </row>
    <row r="1220" spans="1:20" x14ac:dyDescent="0.3">
      <c r="A1220" s="14">
        <v>1219</v>
      </c>
      <c r="B1220" s="4">
        <v>44547</v>
      </c>
      <c r="C1220" s="1" t="s">
        <v>529</v>
      </c>
      <c r="D1220" s="1" t="s">
        <v>28</v>
      </c>
      <c r="E1220" s="1" t="s">
        <v>29</v>
      </c>
      <c r="F1220" s="2">
        <v>12</v>
      </c>
      <c r="G1220" s="5">
        <v>1890</v>
      </c>
      <c r="H1220" s="24">
        <f t="shared" si="95"/>
        <v>22680</v>
      </c>
      <c r="I1220" s="7">
        <v>0.05</v>
      </c>
      <c r="J1220" s="5">
        <f t="shared" si="96"/>
        <v>1134</v>
      </c>
      <c r="K1220" s="5">
        <f t="shared" si="97"/>
        <v>21546</v>
      </c>
      <c r="L1220" s="5">
        <v>1170</v>
      </c>
      <c r="M1220" s="5">
        <f t="shared" si="98"/>
        <v>7506</v>
      </c>
      <c r="N1220" s="7">
        <f t="shared" si="99"/>
        <v>0.34837092731829572</v>
      </c>
      <c r="O1220" s="1" t="s">
        <v>41</v>
      </c>
      <c r="P1220" s="1" t="s">
        <v>31</v>
      </c>
      <c r="Q1220" s="1" t="s">
        <v>37</v>
      </c>
      <c r="R1220" s="1" t="s">
        <v>38</v>
      </c>
      <c r="S1220" s="1" t="s">
        <v>69</v>
      </c>
      <c r="T1220" s="15" t="s">
        <v>53</v>
      </c>
    </row>
    <row r="1221" spans="1:20" x14ac:dyDescent="0.3">
      <c r="A1221" s="14">
        <v>1220</v>
      </c>
      <c r="B1221" s="4">
        <v>44405</v>
      </c>
      <c r="C1221" s="1" t="s">
        <v>530</v>
      </c>
      <c r="D1221" s="1" t="s">
        <v>28</v>
      </c>
      <c r="E1221" s="1" t="s">
        <v>21</v>
      </c>
      <c r="F1221" s="2">
        <v>11</v>
      </c>
      <c r="G1221" s="5">
        <v>220</v>
      </c>
      <c r="H1221" s="24">
        <f t="shared" si="95"/>
        <v>2420</v>
      </c>
      <c r="I1221" s="7">
        <v>0.02</v>
      </c>
      <c r="J1221" s="5">
        <f t="shared" si="96"/>
        <v>48.4</v>
      </c>
      <c r="K1221" s="5">
        <f t="shared" si="97"/>
        <v>2371.6</v>
      </c>
      <c r="L1221" s="5">
        <v>150</v>
      </c>
      <c r="M1221" s="5">
        <f t="shared" si="98"/>
        <v>721.59999999999991</v>
      </c>
      <c r="N1221" s="7">
        <f t="shared" si="99"/>
        <v>0.30426716141001853</v>
      </c>
      <c r="O1221" s="1" t="s">
        <v>54</v>
      </c>
      <c r="P1221" s="1" t="s">
        <v>23</v>
      </c>
      <c r="Q1221" s="1" t="s">
        <v>37</v>
      </c>
      <c r="R1221" s="1" t="s">
        <v>63</v>
      </c>
      <c r="S1221" s="1" t="s">
        <v>436</v>
      </c>
      <c r="T1221" s="15" t="s">
        <v>53</v>
      </c>
    </row>
    <row r="1222" spans="1:20" x14ac:dyDescent="0.3">
      <c r="A1222" s="14">
        <v>1221</v>
      </c>
      <c r="B1222" s="4">
        <v>44313</v>
      </c>
      <c r="C1222" s="1" t="s">
        <v>534</v>
      </c>
      <c r="D1222" s="1" t="s">
        <v>28</v>
      </c>
      <c r="E1222" s="1" t="s">
        <v>36</v>
      </c>
      <c r="F1222" s="2">
        <v>2</v>
      </c>
      <c r="G1222" s="5">
        <v>1090</v>
      </c>
      <c r="H1222" s="24">
        <f t="shared" si="95"/>
        <v>2180</v>
      </c>
      <c r="I1222" s="7">
        <v>0</v>
      </c>
      <c r="J1222" s="5">
        <f t="shared" si="96"/>
        <v>0</v>
      </c>
      <c r="K1222" s="5">
        <f t="shared" si="97"/>
        <v>2180</v>
      </c>
      <c r="L1222" s="5">
        <v>720</v>
      </c>
      <c r="M1222" s="5">
        <f t="shared" si="98"/>
        <v>740</v>
      </c>
      <c r="N1222" s="7">
        <f t="shared" si="99"/>
        <v>0.33944954128440369</v>
      </c>
      <c r="O1222" s="1" t="s">
        <v>30</v>
      </c>
      <c r="P1222" s="1" t="s">
        <v>31</v>
      </c>
      <c r="Q1222" s="1" t="s">
        <v>37</v>
      </c>
      <c r="R1222" s="1" t="s">
        <v>33</v>
      </c>
      <c r="S1222" s="1" t="s">
        <v>313</v>
      </c>
      <c r="T1222" s="15" t="s">
        <v>35</v>
      </c>
    </row>
    <row r="1223" spans="1:20" x14ac:dyDescent="0.3">
      <c r="A1223" s="14">
        <v>1222</v>
      </c>
      <c r="B1223" s="4">
        <v>44316</v>
      </c>
      <c r="C1223" s="1" t="s">
        <v>529</v>
      </c>
      <c r="D1223" s="1" t="s">
        <v>20</v>
      </c>
      <c r="E1223" s="1" t="s">
        <v>29</v>
      </c>
      <c r="F1223" s="2">
        <v>12</v>
      </c>
      <c r="G1223" s="5">
        <v>2320</v>
      </c>
      <c r="H1223" s="24">
        <f t="shared" si="95"/>
        <v>27840</v>
      </c>
      <c r="I1223" s="7">
        <v>0.15</v>
      </c>
      <c r="J1223" s="5">
        <f t="shared" si="96"/>
        <v>4176</v>
      </c>
      <c r="K1223" s="5">
        <f t="shared" si="97"/>
        <v>23664</v>
      </c>
      <c r="L1223" s="5">
        <v>1820</v>
      </c>
      <c r="M1223" s="5">
        <f t="shared" si="98"/>
        <v>1824</v>
      </c>
      <c r="N1223" s="7">
        <f t="shared" si="99"/>
        <v>7.7079107505070993E-2</v>
      </c>
      <c r="O1223" s="1" t="s">
        <v>22</v>
      </c>
      <c r="P1223" s="1" t="s">
        <v>31</v>
      </c>
      <c r="Q1223" s="1" t="s">
        <v>37</v>
      </c>
      <c r="R1223" s="1" t="s">
        <v>38</v>
      </c>
      <c r="S1223" s="1" t="s">
        <v>449</v>
      </c>
      <c r="T1223" s="15" t="s">
        <v>35</v>
      </c>
    </row>
    <row r="1224" spans="1:20" x14ac:dyDescent="0.3">
      <c r="A1224" s="14">
        <v>1223</v>
      </c>
      <c r="B1224" s="4">
        <v>44300</v>
      </c>
      <c r="C1224" s="1" t="s">
        <v>529</v>
      </c>
      <c r="D1224" s="1" t="s">
        <v>28</v>
      </c>
      <c r="E1224" s="1" t="s">
        <v>45</v>
      </c>
      <c r="F1224" s="2">
        <v>3</v>
      </c>
      <c r="G1224" s="5">
        <v>190</v>
      </c>
      <c r="H1224" s="24">
        <f t="shared" si="95"/>
        <v>570</v>
      </c>
      <c r="I1224" s="7">
        <v>0</v>
      </c>
      <c r="J1224" s="5">
        <f t="shared" si="96"/>
        <v>0</v>
      </c>
      <c r="K1224" s="5">
        <f t="shared" si="97"/>
        <v>570</v>
      </c>
      <c r="L1224" s="5">
        <v>150</v>
      </c>
      <c r="M1224" s="5">
        <f t="shared" si="98"/>
        <v>120</v>
      </c>
      <c r="N1224" s="7">
        <f t="shared" si="99"/>
        <v>0.21052631578947367</v>
      </c>
      <c r="O1224" s="1" t="s">
        <v>59</v>
      </c>
      <c r="P1224" s="1" t="s">
        <v>31</v>
      </c>
      <c r="Q1224" s="1" t="s">
        <v>37</v>
      </c>
      <c r="R1224" s="1" t="s">
        <v>38</v>
      </c>
      <c r="S1224" s="1" t="s">
        <v>506</v>
      </c>
      <c r="T1224" s="15" t="s">
        <v>35</v>
      </c>
    </row>
    <row r="1225" spans="1:20" x14ac:dyDescent="0.3">
      <c r="A1225" s="14">
        <v>1224</v>
      </c>
      <c r="B1225" s="4">
        <v>44504</v>
      </c>
      <c r="C1225" s="1" t="s">
        <v>531</v>
      </c>
      <c r="D1225" s="1" t="s">
        <v>20</v>
      </c>
      <c r="E1225" s="1" t="s">
        <v>21</v>
      </c>
      <c r="F1225" s="2">
        <v>9</v>
      </c>
      <c r="G1225" s="5">
        <v>220</v>
      </c>
      <c r="H1225" s="24">
        <f t="shared" si="95"/>
        <v>1980</v>
      </c>
      <c r="I1225" s="7">
        <v>0.15</v>
      </c>
      <c r="J1225" s="5">
        <f t="shared" si="96"/>
        <v>297</v>
      </c>
      <c r="K1225" s="5">
        <f t="shared" si="97"/>
        <v>1683</v>
      </c>
      <c r="L1225" s="5">
        <v>140</v>
      </c>
      <c r="M1225" s="5">
        <f t="shared" si="98"/>
        <v>423</v>
      </c>
      <c r="N1225" s="7">
        <f t="shared" si="99"/>
        <v>0.25133689839572193</v>
      </c>
      <c r="O1225" s="1" t="s">
        <v>22</v>
      </c>
      <c r="P1225" s="1" t="s">
        <v>31</v>
      </c>
      <c r="Q1225" s="1" t="s">
        <v>24</v>
      </c>
      <c r="R1225" s="1" t="s">
        <v>63</v>
      </c>
      <c r="S1225" s="1" t="s">
        <v>446</v>
      </c>
      <c r="T1225" s="15" t="s">
        <v>53</v>
      </c>
    </row>
    <row r="1226" spans="1:20" x14ac:dyDescent="0.3">
      <c r="A1226" s="14">
        <v>1225</v>
      </c>
      <c r="B1226" s="4">
        <v>44307</v>
      </c>
      <c r="C1226" s="1" t="s">
        <v>532</v>
      </c>
      <c r="D1226" s="1" t="s">
        <v>20</v>
      </c>
      <c r="E1226" s="1" t="s">
        <v>36</v>
      </c>
      <c r="F1226" s="2">
        <v>9</v>
      </c>
      <c r="G1226" s="5">
        <v>1180</v>
      </c>
      <c r="H1226" s="24">
        <f t="shared" si="95"/>
        <v>10620</v>
      </c>
      <c r="I1226" s="7">
        <v>0.1</v>
      </c>
      <c r="J1226" s="5">
        <f t="shared" si="96"/>
        <v>1062</v>
      </c>
      <c r="K1226" s="5">
        <f t="shared" si="97"/>
        <v>9558</v>
      </c>
      <c r="L1226" s="5">
        <v>820</v>
      </c>
      <c r="M1226" s="5">
        <f t="shared" si="98"/>
        <v>2178</v>
      </c>
      <c r="N1226" s="7">
        <f t="shared" si="99"/>
        <v>0.22787193973634651</v>
      </c>
      <c r="O1226" s="1" t="s">
        <v>41</v>
      </c>
      <c r="P1226" s="1" t="s">
        <v>76</v>
      </c>
      <c r="Q1226" s="1" t="s">
        <v>24</v>
      </c>
      <c r="R1226" s="1" t="s">
        <v>46</v>
      </c>
      <c r="S1226" s="1" t="s">
        <v>341</v>
      </c>
      <c r="T1226" s="15" t="s">
        <v>35</v>
      </c>
    </row>
    <row r="1227" spans="1:20" x14ac:dyDescent="0.3">
      <c r="A1227" s="14">
        <v>1226</v>
      </c>
      <c r="B1227" s="4">
        <v>44363</v>
      </c>
      <c r="C1227" s="1" t="s">
        <v>533</v>
      </c>
      <c r="D1227" s="1" t="s">
        <v>28</v>
      </c>
      <c r="E1227" s="1" t="s">
        <v>43</v>
      </c>
      <c r="F1227" s="2">
        <v>11</v>
      </c>
      <c r="G1227" s="5">
        <v>330</v>
      </c>
      <c r="H1227" s="24">
        <f t="shared" si="95"/>
        <v>3630</v>
      </c>
      <c r="I1227" s="7">
        <v>0.05</v>
      </c>
      <c r="J1227" s="5">
        <f t="shared" si="96"/>
        <v>181.5</v>
      </c>
      <c r="K1227" s="5">
        <f t="shared" si="97"/>
        <v>3448.5</v>
      </c>
      <c r="L1227" s="5">
        <v>270</v>
      </c>
      <c r="M1227" s="5">
        <f t="shared" si="98"/>
        <v>478.5</v>
      </c>
      <c r="N1227" s="7">
        <f t="shared" si="99"/>
        <v>0.13875598086124402</v>
      </c>
      <c r="O1227" s="1" t="s">
        <v>54</v>
      </c>
      <c r="P1227" s="1" t="s">
        <v>31</v>
      </c>
      <c r="Q1227" s="1" t="s">
        <v>48</v>
      </c>
      <c r="R1227" s="1" t="s">
        <v>38</v>
      </c>
      <c r="S1227" s="1" t="s">
        <v>445</v>
      </c>
      <c r="T1227" s="15" t="s">
        <v>61</v>
      </c>
    </row>
    <row r="1228" spans="1:20" x14ac:dyDescent="0.3">
      <c r="A1228" s="14">
        <v>1227</v>
      </c>
      <c r="B1228" s="4">
        <v>44487</v>
      </c>
      <c r="C1228" s="1" t="s">
        <v>532</v>
      </c>
      <c r="D1228" s="1" t="s">
        <v>82</v>
      </c>
      <c r="E1228" s="1" t="s">
        <v>40</v>
      </c>
      <c r="F1228" s="2">
        <v>11</v>
      </c>
      <c r="G1228" s="5">
        <v>1480</v>
      </c>
      <c r="H1228" s="24">
        <f t="shared" si="95"/>
        <v>16280</v>
      </c>
      <c r="I1228" s="7">
        <v>0</v>
      </c>
      <c r="J1228" s="5">
        <f t="shared" si="96"/>
        <v>0</v>
      </c>
      <c r="K1228" s="5">
        <f t="shared" si="97"/>
        <v>16280</v>
      </c>
      <c r="L1228" s="5">
        <v>900</v>
      </c>
      <c r="M1228" s="5">
        <f t="shared" si="98"/>
        <v>6380</v>
      </c>
      <c r="N1228" s="7">
        <f t="shared" si="99"/>
        <v>0.39189189189189189</v>
      </c>
      <c r="O1228" s="1" t="s">
        <v>54</v>
      </c>
      <c r="P1228" s="1" t="s">
        <v>31</v>
      </c>
      <c r="Q1228" s="1" t="s">
        <v>24</v>
      </c>
      <c r="R1228" s="1" t="s">
        <v>25</v>
      </c>
      <c r="S1228" s="1" t="s">
        <v>400</v>
      </c>
      <c r="T1228" s="15" t="s">
        <v>35</v>
      </c>
    </row>
    <row r="1229" spans="1:20" x14ac:dyDescent="0.3">
      <c r="A1229" s="14">
        <v>1228</v>
      </c>
      <c r="B1229" s="4">
        <v>44227</v>
      </c>
      <c r="C1229" s="1" t="s">
        <v>529</v>
      </c>
      <c r="D1229" s="1" t="s">
        <v>28</v>
      </c>
      <c r="E1229" s="1" t="s">
        <v>21</v>
      </c>
      <c r="F1229" s="2">
        <v>7</v>
      </c>
      <c r="G1229" s="5">
        <v>180</v>
      </c>
      <c r="H1229" s="24">
        <f t="shared" si="95"/>
        <v>1260</v>
      </c>
      <c r="I1229" s="7">
        <v>0</v>
      </c>
      <c r="J1229" s="5">
        <f t="shared" si="96"/>
        <v>0</v>
      </c>
      <c r="K1229" s="5">
        <f t="shared" si="97"/>
        <v>1260</v>
      </c>
      <c r="L1229" s="5">
        <v>130</v>
      </c>
      <c r="M1229" s="5">
        <f t="shared" si="98"/>
        <v>350</v>
      </c>
      <c r="N1229" s="7">
        <f t="shared" si="99"/>
        <v>0.27777777777777779</v>
      </c>
      <c r="O1229" s="1" t="s">
        <v>54</v>
      </c>
      <c r="P1229" s="1" t="s">
        <v>31</v>
      </c>
      <c r="Q1229" s="1" t="s">
        <v>32</v>
      </c>
      <c r="R1229" s="1" t="s">
        <v>38</v>
      </c>
      <c r="S1229" s="1" t="s">
        <v>413</v>
      </c>
      <c r="T1229" s="15" t="s">
        <v>53</v>
      </c>
    </row>
    <row r="1230" spans="1:20" x14ac:dyDescent="0.3">
      <c r="A1230" s="14">
        <v>1229</v>
      </c>
      <c r="B1230" s="4">
        <v>44456</v>
      </c>
      <c r="C1230" s="1" t="s">
        <v>533</v>
      </c>
      <c r="D1230" s="1" t="s">
        <v>20</v>
      </c>
      <c r="E1230" s="1" t="s">
        <v>43</v>
      </c>
      <c r="F1230" s="2">
        <v>11</v>
      </c>
      <c r="G1230" s="5">
        <v>340</v>
      </c>
      <c r="H1230" s="24">
        <f t="shared" si="95"/>
        <v>3740</v>
      </c>
      <c r="I1230" s="7">
        <v>0.02</v>
      </c>
      <c r="J1230" s="5">
        <f t="shared" si="96"/>
        <v>74.8</v>
      </c>
      <c r="K1230" s="5">
        <f t="shared" si="97"/>
        <v>3665.2</v>
      </c>
      <c r="L1230" s="5">
        <v>270</v>
      </c>
      <c r="M1230" s="5">
        <f t="shared" si="98"/>
        <v>695.19999999999982</v>
      </c>
      <c r="N1230" s="7">
        <f t="shared" si="99"/>
        <v>0.18967587034813921</v>
      </c>
      <c r="O1230" s="1" t="s">
        <v>22</v>
      </c>
      <c r="P1230" s="1" t="s">
        <v>31</v>
      </c>
      <c r="Q1230" s="1" t="s">
        <v>24</v>
      </c>
      <c r="R1230" s="1" t="s">
        <v>63</v>
      </c>
      <c r="S1230" s="1" t="s">
        <v>164</v>
      </c>
      <c r="T1230" s="15" t="s">
        <v>61</v>
      </c>
    </row>
    <row r="1231" spans="1:20" x14ac:dyDescent="0.3">
      <c r="A1231" s="14">
        <v>1230</v>
      </c>
      <c r="B1231" s="4">
        <v>44325</v>
      </c>
      <c r="C1231" s="1" t="s">
        <v>533</v>
      </c>
      <c r="D1231" s="1" t="s">
        <v>28</v>
      </c>
      <c r="E1231" s="1" t="s">
        <v>43</v>
      </c>
      <c r="F1231" s="2">
        <v>5</v>
      </c>
      <c r="G1231" s="5">
        <v>320</v>
      </c>
      <c r="H1231" s="24">
        <f t="shared" si="95"/>
        <v>1600</v>
      </c>
      <c r="I1231" s="7">
        <v>0.02</v>
      </c>
      <c r="J1231" s="5">
        <f t="shared" si="96"/>
        <v>32</v>
      </c>
      <c r="K1231" s="5">
        <f t="shared" si="97"/>
        <v>1568</v>
      </c>
      <c r="L1231" s="5">
        <v>230</v>
      </c>
      <c r="M1231" s="5">
        <f t="shared" si="98"/>
        <v>418</v>
      </c>
      <c r="N1231" s="7">
        <f t="shared" si="99"/>
        <v>0.26658163265306123</v>
      </c>
      <c r="O1231" s="1" t="s">
        <v>41</v>
      </c>
      <c r="P1231" s="1" t="s">
        <v>31</v>
      </c>
      <c r="Q1231" s="1" t="s">
        <v>24</v>
      </c>
      <c r="R1231" s="1" t="s">
        <v>66</v>
      </c>
      <c r="S1231" s="1" t="s">
        <v>95</v>
      </c>
      <c r="T1231" s="15" t="s">
        <v>27</v>
      </c>
    </row>
    <row r="1232" spans="1:20" x14ac:dyDescent="0.3">
      <c r="A1232" s="14">
        <v>1231</v>
      </c>
      <c r="B1232" s="4">
        <v>44515</v>
      </c>
      <c r="C1232" s="1" t="s">
        <v>533</v>
      </c>
      <c r="D1232" s="1" t="s">
        <v>20</v>
      </c>
      <c r="E1232" s="1" t="s">
        <v>43</v>
      </c>
      <c r="F1232" s="2">
        <v>4</v>
      </c>
      <c r="G1232" s="5">
        <v>310</v>
      </c>
      <c r="H1232" s="24">
        <f t="shared" si="95"/>
        <v>1240</v>
      </c>
      <c r="I1232" s="7">
        <v>0.05</v>
      </c>
      <c r="J1232" s="5">
        <f t="shared" si="96"/>
        <v>62</v>
      </c>
      <c r="K1232" s="5">
        <f t="shared" si="97"/>
        <v>1178</v>
      </c>
      <c r="L1232" s="5">
        <v>220</v>
      </c>
      <c r="M1232" s="5">
        <f t="shared" si="98"/>
        <v>298</v>
      </c>
      <c r="N1232" s="7">
        <f t="shared" si="99"/>
        <v>0.25297113752122241</v>
      </c>
      <c r="O1232" s="1" t="s">
        <v>59</v>
      </c>
      <c r="P1232" s="1" t="s">
        <v>31</v>
      </c>
      <c r="Q1232" s="1" t="s">
        <v>32</v>
      </c>
      <c r="R1232" s="1" t="s">
        <v>66</v>
      </c>
      <c r="S1232" s="1" t="s">
        <v>191</v>
      </c>
      <c r="T1232" s="15" t="s">
        <v>53</v>
      </c>
    </row>
    <row r="1233" spans="1:20" x14ac:dyDescent="0.3">
      <c r="A1233" s="14">
        <v>1232</v>
      </c>
      <c r="B1233" s="4">
        <v>44560</v>
      </c>
      <c r="C1233" s="1" t="s">
        <v>531</v>
      </c>
      <c r="D1233" s="1" t="s">
        <v>28</v>
      </c>
      <c r="E1233" s="1" t="s">
        <v>45</v>
      </c>
      <c r="F1233" s="2">
        <v>1</v>
      </c>
      <c r="G1233" s="5">
        <v>200</v>
      </c>
      <c r="H1233" s="24">
        <f t="shared" si="95"/>
        <v>200</v>
      </c>
      <c r="I1233" s="7">
        <v>0.02</v>
      </c>
      <c r="J1233" s="5">
        <f t="shared" si="96"/>
        <v>4</v>
      </c>
      <c r="K1233" s="5">
        <f t="shared" si="97"/>
        <v>196</v>
      </c>
      <c r="L1233" s="5">
        <v>120</v>
      </c>
      <c r="M1233" s="5">
        <f t="shared" si="98"/>
        <v>76</v>
      </c>
      <c r="N1233" s="7">
        <f t="shared" si="99"/>
        <v>0.38775510204081631</v>
      </c>
      <c r="O1233" s="1" t="s">
        <v>59</v>
      </c>
      <c r="P1233" s="1" t="s">
        <v>31</v>
      </c>
      <c r="Q1233" s="1" t="s">
        <v>32</v>
      </c>
      <c r="R1233" s="1" t="s">
        <v>63</v>
      </c>
      <c r="S1233" s="1" t="s">
        <v>422</v>
      </c>
      <c r="T1233" s="15" t="s">
        <v>61</v>
      </c>
    </row>
    <row r="1234" spans="1:20" x14ac:dyDescent="0.3">
      <c r="A1234" s="14">
        <v>1233</v>
      </c>
      <c r="B1234" s="4">
        <v>44298</v>
      </c>
      <c r="C1234" s="1" t="s">
        <v>530</v>
      </c>
      <c r="D1234" s="1" t="s">
        <v>20</v>
      </c>
      <c r="E1234" s="1" t="s">
        <v>45</v>
      </c>
      <c r="F1234" s="2">
        <v>10</v>
      </c>
      <c r="G1234" s="5">
        <v>220</v>
      </c>
      <c r="H1234" s="24">
        <f t="shared" si="95"/>
        <v>2200</v>
      </c>
      <c r="I1234" s="7">
        <v>0.1</v>
      </c>
      <c r="J1234" s="5">
        <f t="shared" si="96"/>
        <v>220</v>
      </c>
      <c r="K1234" s="5">
        <f t="shared" si="97"/>
        <v>1980</v>
      </c>
      <c r="L1234" s="5">
        <v>140</v>
      </c>
      <c r="M1234" s="5">
        <f t="shared" si="98"/>
        <v>580</v>
      </c>
      <c r="N1234" s="7">
        <f t="shared" si="99"/>
        <v>0.29292929292929293</v>
      </c>
      <c r="O1234" s="1" t="s">
        <v>22</v>
      </c>
      <c r="P1234" s="1" t="s">
        <v>31</v>
      </c>
      <c r="Q1234" s="1" t="s">
        <v>32</v>
      </c>
      <c r="R1234" s="1" t="s">
        <v>50</v>
      </c>
      <c r="S1234" s="1" t="s">
        <v>257</v>
      </c>
      <c r="T1234" s="15" t="s">
        <v>53</v>
      </c>
    </row>
    <row r="1235" spans="1:20" x14ac:dyDescent="0.3">
      <c r="A1235" s="14">
        <v>1234</v>
      </c>
      <c r="B1235" s="4">
        <v>44267</v>
      </c>
      <c r="C1235" s="1" t="s">
        <v>530</v>
      </c>
      <c r="D1235" s="1" t="s">
        <v>82</v>
      </c>
      <c r="E1235" s="1" t="s">
        <v>29</v>
      </c>
      <c r="F1235" s="2">
        <v>7</v>
      </c>
      <c r="G1235" s="5">
        <v>2290</v>
      </c>
      <c r="H1235" s="24">
        <f t="shared" si="95"/>
        <v>16030</v>
      </c>
      <c r="I1235" s="7">
        <v>0.15</v>
      </c>
      <c r="J1235" s="5">
        <f t="shared" si="96"/>
        <v>2404.5</v>
      </c>
      <c r="K1235" s="5">
        <f t="shared" si="97"/>
        <v>13625.5</v>
      </c>
      <c r="L1235" s="5">
        <v>1810</v>
      </c>
      <c r="M1235" s="5">
        <f t="shared" si="98"/>
        <v>955.5</v>
      </c>
      <c r="N1235" s="7">
        <f t="shared" si="99"/>
        <v>7.0125866940662723E-2</v>
      </c>
      <c r="O1235" s="1" t="s">
        <v>22</v>
      </c>
      <c r="P1235" s="1" t="s">
        <v>31</v>
      </c>
      <c r="Q1235" s="1" t="s">
        <v>24</v>
      </c>
      <c r="R1235" s="1" t="s">
        <v>46</v>
      </c>
      <c r="S1235" s="1" t="s">
        <v>364</v>
      </c>
      <c r="T1235" s="15" t="s">
        <v>35</v>
      </c>
    </row>
    <row r="1236" spans="1:20" x14ac:dyDescent="0.3">
      <c r="A1236" s="14">
        <v>1235</v>
      </c>
      <c r="B1236" s="4">
        <v>44548</v>
      </c>
      <c r="C1236" s="1" t="s">
        <v>531</v>
      </c>
      <c r="D1236" s="1" t="s">
        <v>20</v>
      </c>
      <c r="E1236" s="1" t="s">
        <v>43</v>
      </c>
      <c r="F1236" s="2">
        <v>10</v>
      </c>
      <c r="G1236" s="5">
        <v>320</v>
      </c>
      <c r="H1236" s="24">
        <f t="shared" si="95"/>
        <v>3200</v>
      </c>
      <c r="I1236" s="7">
        <v>0.05</v>
      </c>
      <c r="J1236" s="5">
        <f t="shared" si="96"/>
        <v>160</v>
      </c>
      <c r="K1236" s="5">
        <f t="shared" si="97"/>
        <v>3040</v>
      </c>
      <c r="L1236" s="5">
        <v>210</v>
      </c>
      <c r="M1236" s="5">
        <f t="shared" si="98"/>
        <v>940</v>
      </c>
      <c r="N1236" s="7">
        <f t="shared" si="99"/>
        <v>0.30921052631578949</v>
      </c>
      <c r="O1236" s="1" t="s">
        <v>41</v>
      </c>
      <c r="P1236" s="1" t="s">
        <v>31</v>
      </c>
      <c r="Q1236" s="1" t="s">
        <v>32</v>
      </c>
      <c r="R1236" s="1" t="s">
        <v>63</v>
      </c>
      <c r="S1236" s="1" t="s">
        <v>279</v>
      </c>
      <c r="T1236" s="15" t="s">
        <v>35</v>
      </c>
    </row>
    <row r="1237" spans="1:20" x14ac:dyDescent="0.3">
      <c r="A1237" s="14">
        <v>1236</v>
      </c>
      <c r="B1237" s="4">
        <v>44372</v>
      </c>
      <c r="C1237" s="1" t="s">
        <v>533</v>
      </c>
      <c r="D1237" s="1" t="s">
        <v>20</v>
      </c>
      <c r="E1237" s="1" t="s">
        <v>36</v>
      </c>
      <c r="F1237" s="2">
        <v>9</v>
      </c>
      <c r="G1237" s="5">
        <v>1250</v>
      </c>
      <c r="H1237" s="24">
        <f t="shared" si="95"/>
        <v>11250</v>
      </c>
      <c r="I1237" s="7">
        <v>0</v>
      </c>
      <c r="J1237" s="5">
        <f t="shared" si="96"/>
        <v>0</v>
      </c>
      <c r="K1237" s="5">
        <f t="shared" si="97"/>
        <v>11250</v>
      </c>
      <c r="L1237" s="5">
        <v>1010</v>
      </c>
      <c r="M1237" s="5">
        <f t="shared" si="98"/>
        <v>2160</v>
      </c>
      <c r="N1237" s="7">
        <f t="shared" si="99"/>
        <v>0.192</v>
      </c>
      <c r="O1237" s="1" t="s">
        <v>59</v>
      </c>
      <c r="P1237" s="1" t="s">
        <v>31</v>
      </c>
      <c r="Q1237" s="1" t="s">
        <v>24</v>
      </c>
      <c r="R1237" s="1" t="s">
        <v>63</v>
      </c>
      <c r="S1237" s="1" t="s">
        <v>336</v>
      </c>
      <c r="T1237" s="15" t="s">
        <v>61</v>
      </c>
    </row>
    <row r="1238" spans="1:20" x14ac:dyDescent="0.3">
      <c r="A1238" s="14">
        <v>1237</v>
      </c>
      <c r="B1238" s="4">
        <v>44403</v>
      </c>
      <c r="C1238" s="1" t="s">
        <v>529</v>
      </c>
      <c r="D1238" s="1" t="s">
        <v>82</v>
      </c>
      <c r="E1238" s="1" t="s">
        <v>21</v>
      </c>
      <c r="F1238" s="2">
        <v>11</v>
      </c>
      <c r="G1238" s="5">
        <v>190</v>
      </c>
      <c r="H1238" s="24">
        <f t="shared" si="95"/>
        <v>2090</v>
      </c>
      <c r="I1238" s="7">
        <v>0.05</v>
      </c>
      <c r="J1238" s="5">
        <f t="shared" si="96"/>
        <v>104.5</v>
      </c>
      <c r="K1238" s="5">
        <f t="shared" si="97"/>
        <v>1985.5</v>
      </c>
      <c r="L1238" s="5">
        <v>120</v>
      </c>
      <c r="M1238" s="5">
        <f t="shared" si="98"/>
        <v>665.5</v>
      </c>
      <c r="N1238" s="7">
        <f t="shared" si="99"/>
        <v>0.33518005540166207</v>
      </c>
      <c r="O1238" s="1" t="s">
        <v>54</v>
      </c>
      <c r="P1238" s="1" t="s">
        <v>76</v>
      </c>
      <c r="Q1238" s="1" t="s">
        <v>37</v>
      </c>
      <c r="R1238" s="1" t="s">
        <v>33</v>
      </c>
      <c r="S1238" s="1" t="s">
        <v>72</v>
      </c>
      <c r="T1238" s="15" t="s">
        <v>27</v>
      </c>
    </row>
    <row r="1239" spans="1:20" x14ac:dyDescent="0.3">
      <c r="A1239" s="14">
        <v>1238</v>
      </c>
      <c r="B1239" s="4">
        <v>44252</v>
      </c>
      <c r="C1239" s="1" t="s">
        <v>529</v>
      </c>
      <c r="D1239" s="1" t="s">
        <v>20</v>
      </c>
      <c r="E1239" s="1" t="s">
        <v>43</v>
      </c>
      <c r="F1239" s="2">
        <v>4</v>
      </c>
      <c r="G1239" s="5">
        <v>340</v>
      </c>
      <c r="H1239" s="24">
        <f t="shared" si="95"/>
        <v>1360</v>
      </c>
      <c r="I1239" s="7">
        <v>0.05</v>
      </c>
      <c r="J1239" s="5">
        <f t="shared" si="96"/>
        <v>68</v>
      </c>
      <c r="K1239" s="5">
        <f t="shared" si="97"/>
        <v>1292</v>
      </c>
      <c r="L1239" s="5">
        <v>220</v>
      </c>
      <c r="M1239" s="5">
        <f t="shared" si="98"/>
        <v>412</v>
      </c>
      <c r="N1239" s="7">
        <f t="shared" si="99"/>
        <v>0.31888544891640869</v>
      </c>
      <c r="O1239" s="1" t="s">
        <v>22</v>
      </c>
      <c r="P1239" s="1" t="s">
        <v>31</v>
      </c>
      <c r="Q1239" s="1" t="s">
        <v>32</v>
      </c>
      <c r="R1239" s="1" t="s">
        <v>63</v>
      </c>
      <c r="S1239" s="1" t="s">
        <v>429</v>
      </c>
      <c r="T1239" s="15" t="s">
        <v>27</v>
      </c>
    </row>
    <row r="1240" spans="1:20" x14ac:dyDescent="0.3">
      <c r="A1240" s="14">
        <v>1239</v>
      </c>
      <c r="B1240" s="4">
        <v>44289</v>
      </c>
      <c r="C1240" s="1" t="s">
        <v>533</v>
      </c>
      <c r="D1240" s="1" t="s">
        <v>20</v>
      </c>
      <c r="E1240" s="1" t="s">
        <v>43</v>
      </c>
      <c r="F1240" s="2">
        <v>12</v>
      </c>
      <c r="G1240" s="5">
        <v>340</v>
      </c>
      <c r="H1240" s="24">
        <f t="shared" si="95"/>
        <v>4080</v>
      </c>
      <c r="I1240" s="7">
        <v>0</v>
      </c>
      <c r="J1240" s="5">
        <f t="shared" si="96"/>
        <v>0</v>
      </c>
      <c r="K1240" s="5">
        <f t="shared" si="97"/>
        <v>4080</v>
      </c>
      <c r="L1240" s="5">
        <v>240</v>
      </c>
      <c r="M1240" s="5">
        <f t="shared" si="98"/>
        <v>1200</v>
      </c>
      <c r="N1240" s="7">
        <f t="shared" si="99"/>
        <v>0.29411764705882354</v>
      </c>
      <c r="O1240" s="1" t="s">
        <v>54</v>
      </c>
      <c r="P1240" s="1" t="s">
        <v>31</v>
      </c>
      <c r="Q1240" s="1" t="s">
        <v>48</v>
      </c>
      <c r="R1240" s="1" t="s">
        <v>38</v>
      </c>
      <c r="S1240" s="1" t="s">
        <v>436</v>
      </c>
      <c r="T1240" s="15" t="s">
        <v>35</v>
      </c>
    </row>
    <row r="1241" spans="1:20" x14ac:dyDescent="0.3">
      <c r="A1241" s="14">
        <v>1240</v>
      </c>
      <c r="B1241" s="4">
        <v>44457</v>
      </c>
      <c r="C1241" s="1" t="s">
        <v>530</v>
      </c>
      <c r="D1241" s="1" t="s">
        <v>82</v>
      </c>
      <c r="E1241" s="1" t="s">
        <v>36</v>
      </c>
      <c r="F1241" s="2">
        <v>8</v>
      </c>
      <c r="G1241" s="5">
        <v>1140</v>
      </c>
      <c r="H1241" s="24">
        <f t="shared" si="95"/>
        <v>9120</v>
      </c>
      <c r="I1241" s="7">
        <v>0</v>
      </c>
      <c r="J1241" s="5">
        <f t="shared" si="96"/>
        <v>0</v>
      </c>
      <c r="K1241" s="5">
        <f t="shared" si="97"/>
        <v>9120</v>
      </c>
      <c r="L1241" s="5">
        <v>890</v>
      </c>
      <c r="M1241" s="5">
        <f t="shared" si="98"/>
        <v>2000</v>
      </c>
      <c r="N1241" s="7">
        <f t="shared" si="99"/>
        <v>0.21929824561403508</v>
      </c>
      <c r="O1241" s="1" t="s">
        <v>30</v>
      </c>
      <c r="P1241" s="1" t="s">
        <v>76</v>
      </c>
      <c r="Q1241" s="1" t="s">
        <v>37</v>
      </c>
      <c r="R1241" s="1" t="s">
        <v>56</v>
      </c>
      <c r="S1241" s="1" t="s">
        <v>446</v>
      </c>
      <c r="T1241" s="15" t="s">
        <v>61</v>
      </c>
    </row>
    <row r="1242" spans="1:20" x14ac:dyDescent="0.3">
      <c r="A1242" s="14">
        <v>1241</v>
      </c>
      <c r="B1242" s="4">
        <v>44288</v>
      </c>
      <c r="C1242" s="1" t="s">
        <v>530</v>
      </c>
      <c r="D1242" s="1" t="s">
        <v>82</v>
      </c>
      <c r="E1242" s="1" t="s">
        <v>21</v>
      </c>
      <c r="F1242" s="2">
        <v>9</v>
      </c>
      <c r="G1242" s="5">
        <v>220</v>
      </c>
      <c r="H1242" s="24">
        <f t="shared" si="95"/>
        <v>1980</v>
      </c>
      <c r="I1242" s="7">
        <v>0</v>
      </c>
      <c r="J1242" s="5">
        <f t="shared" si="96"/>
        <v>0</v>
      </c>
      <c r="K1242" s="5">
        <f t="shared" si="97"/>
        <v>1980</v>
      </c>
      <c r="L1242" s="5">
        <v>160</v>
      </c>
      <c r="M1242" s="5">
        <f t="shared" si="98"/>
        <v>540</v>
      </c>
      <c r="N1242" s="7">
        <f t="shared" si="99"/>
        <v>0.27272727272727271</v>
      </c>
      <c r="O1242" s="1" t="s">
        <v>54</v>
      </c>
      <c r="P1242" s="1" t="s">
        <v>31</v>
      </c>
      <c r="Q1242" s="1" t="s">
        <v>24</v>
      </c>
      <c r="R1242" s="1" t="s">
        <v>63</v>
      </c>
      <c r="S1242" s="1" t="s">
        <v>351</v>
      </c>
      <c r="T1242" s="15" t="s">
        <v>61</v>
      </c>
    </row>
    <row r="1243" spans="1:20" x14ac:dyDescent="0.3">
      <c r="A1243" s="14">
        <v>1242</v>
      </c>
      <c r="B1243" s="4">
        <v>44376</v>
      </c>
      <c r="C1243" s="1" t="s">
        <v>529</v>
      </c>
      <c r="D1243" s="1" t="s">
        <v>20</v>
      </c>
      <c r="E1243" s="1" t="s">
        <v>45</v>
      </c>
      <c r="F1243" s="2">
        <v>5</v>
      </c>
      <c r="G1243" s="5">
        <v>200</v>
      </c>
      <c r="H1243" s="24">
        <f t="shared" si="95"/>
        <v>1000</v>
      </c>
      <c r="I1243" s="7">
        <v>0.15</v>
      </c>
      <c r="J1243" s="5">
        <f t="shared" si="96"/>
        <v>150</v>
      </c>
      <c r="K1243" s="5">
        <f t="shared" si="97"/>
        <v>850</v>
      </c>
      <c r="L1243" s="5">
        <v>160</v>
      </c>
      <c r="M1243" s="5">
        <f t="shared" si="98"/>
        <v>50</v>
      </c>
      <c r="N1243" s="7">
        <f t="shared" si="99"/>
        <v>5.8823529411764705E-2</v>
      </c>
      <c r="O1243" s="1" t="s">
        <v>41</v>
      </c>
      <c r="P1243" s="1" t="s">
        <v>31</v>
      </c>
      <c r="Q1243" s="1" t="s">
        <v>37</v>
      </c>
      <c r="R1243" s="1" t="s">
        <v>56</v>
      </c>
      <c r="S1243" s="1" t="s">
        <v>218</v>
      </c>
      <c r="T1243" s="15" t="s">
        <v>27</v>
      </c>
    </row>
    <row r="1244" spans="1:20" x14ac:dyDescent="0.3">
      <c r="A1244" s="14">
        <v>1243</v>
      </c>
      <c r="B1244" s="4">
        <v>44368</v>
      </c>
      <c r="C1244" s="1" t="s">
        <v>530</v>
      </c>
      <c r="D1244" s="1" t="s">
        <v>82</v>
      </c>
      <c r="E1244" s="1" t="s">
        <v>21</v>
      </c>
      <c r="F1244" s="2">
        <v>1</v>
      </c>
      <c r="G1244" s="5">
        <v>220</v>
      </c>
      <c r="H1244" s="24">
        <f t="shared" si="95"/>
        <v>220</v>
      </c>
      <c r="I1244" s="7">
        <v>0.15</v>
      </c>
      <c r="J1244" s="5">
        <f t="shared" si="96"/>
        <v>33</v>
      </c>
      <c r="K1244" s="5">
        <f t="shared" si="97"/>
        <v>187</v>
      </c>
      <c r="L1244" s="5">
        <v>130</v>
      </c>
      <c r="M1244" s="5">
        <f t="shared" si="98"/>
        <v>57</v>
      </c>
      <c r="N1244" s="7">
        <f t="shared" si="99"/>
        <v>0.30481283422459893</v>
      </c>
      <c r="O1244" s="1" t="s">
        <v>22</v>
      </c>
      <c r="P1244" s="1" t="s">
        <v>31</v>
      </c>
      <c r="Q1244" s="1" t="s">
        <v>37</v>
      </c>
      <c r="R1244" s="1" t="s">
        <v>50</v>
      </c>
      <c r="S1244" s="1" t="s">
        <v>141</v>
      </c>
      <c r="T1244" s="15" t="s">
        <v>35</v>
      </c>
    </row>
    <row r="1245" spans="1:20" x14ac:dyDescent="0.3">
      <c r="A1245" s="14">
        <v>1244</v>
      </c>
      <c r="B1245" s="4">
        <v>44420</v>
      </c>
      <c r="C1245" s="1" t="s">
        <v>530</v>
      </c>
      <c r="D1245" s="1" t="s">
        <v>20</v>
      </c>
      <c r="E1245" s="1" t="s">
        <v>40</v>
      </c>
      <c r="F1245" s="2">
        <v>6</v>
      </c>
      <c r="G1245" s="5">
        <v>1570</v>
      </c>
      <c r="H1245" s="24">
        <f t="shared" si="95"/>
        <v>9420</v>
      </c>
      <c r="I1245" s="7">
        <v>0.1</v>
      </c>
      <c r="J1245" s="5">
        <f t="shared" si="96"/>
        <v>942</v>
      </c>
      <c r="K1245" s="5">
        <f t="shared" si="97"/>
        <v>8478</v>
      </c>
      <c r="L1245" s="5">
        <v>1280</v>
      </c>
      <c r="M1245" s="5">
        <f t="shared" si="98"/>
        <v>798</v>
      </c>
      <c r="N1245" s="7">
        <f t="shared" si="99"/>
        <v>9.4125973106864824E-2</v>
      </c>
      <c r="O1245" s="1" t="s">
        <v>30</v>
      </c>
      <c r="P1245" s="1" t="s">
        <v>31</v>
      </c>
      <c r="Q1245" s="1" t="s">
        <v>48</v>
      </c>
      <c r="R1245" s="1" t="s">
        <v>38</v>
      </c>
      <c r="S1245" s="1" t="s">
        <v>495</v>
      </c>
      <c r="T1245" s="15" t="s">
        <v>27</v>
      </c>
    </row>
    <row r="1246" spans="1:20" x14ac:dyDescent="0.3">
      <c r="A1246" s="14">
        <v>1245</v>
      </c>
      <c r="B1246" s="4">
        <v>44313</v>
      </c>
      <c r="C1246" s="1" t="s">
        <v>533</v>
      </c>
      <c r="D1246" s="1" t="s">
        <v>28</v>
      </c>
      <c r="E1246" s="1" t="s">
        <v>36</v>
      </c>
      <c r="F1246" s="2">
        <v>2</v>
      </c>
      <c r="G1246" s="5">
        <v>1090</v>
      </c>
      <c r="H1246" s="24">
        <f t="shared" si="95"/>
        <v>2180</v>
      </c>
      <c r="I1246" s="7">
        <v>0</v>
      </c>
      <c r="J1246" s="5">
        <f t="shared" si="96"/>
        <v>0</v>
      </c>
      <c r="K1246" s="5">
        <f t="shared" si="97"/>
        <v>2180</v>
      </c>
      <c r="L1246" s="5">
        <v>700</v>
      </c>
      <c r="M1246" s="5">
        <f t="shared" si="98"/>
        <v>780</v>
      </c>
      <c r="N1246" s="7">
        <f t="shared" si="99"/>
        <v>0.3577981651376147</v>
      </c>
      <c r="O1246" s="1" t="s">
        <v>54</v>
      </c>
      <c r="P1246" s="1" t="s">
        <v>31</v>
      </c>
      <c r="Q1246" s="1" t="s">
        <v>24</v>
      </c>
      <c r="R1246" s="1" t="s">
        <v>49</v>
      </c>
      <c r="S1246" s="1" t="s">
        <v>101</v>
      </c>
      <c r="T1246" s="15" t="s">
        <v>35</v>
      </c>
    </row>
    <row r="1247" spans="1:20" x14ac:dyDescent="0.3">
      <c r="A1247" s="14">
        <v>1246</v>
      </c>
      <c r="B1247" s="4">
        <v>44478</v>
      </c>
      <c r="C1247" s="1" t="s">
        <v>529</v>
      </c>
      <c r="D1247" s="1" t="s">
        <v>28</v>
      </c>
      <c r="E1247" s="1" t="s">
        <v>36</v>
      </c>
      <c r="F1247" s="2">
        <v>8</v>
      </c>
      <c r="G1247" s="5">
        <v>1090</v>
      </c>
      <c r="H1247" s="24">
        <f t="shared" si="95"/>
        <v>8720</v>
      </c>
      <c r="I1247" s="7">
        <v>0.02</v>
      </c>
      <c r="J1247" s="5">
        <f t="shared" si="96"/>
        <v>174.4</v>
      </c>
      <c r="K1247" s="5">
        <f t="shared" si="97"/>
        <v>8545.6</v>
      </c>
      <c r="L1247" s="5">
        <v>740</v>
      </c>
      <c r="M1247" s="5">
        <f t="shared" si="98"/>
        <v>2625.6000000000004</v>
      </c>
      <c r="N1247" s="7">
        <f t="shared" si="99"/>
        <v>0.3072458341134619</v>
      </c>
      <c r="O1247" s="1" t="s">
        <v>59</v>
      </c>
      <c r="P1247" s="1" t="s">
        <v>31</v>
      </c>
      <c r="Q1247" s="1" t="s">
        <v>37</v>
      </c>
      <c r="R1247" s="1" t="s">
        <v>38</v>
      </c>
      <c r="S1247" s="1" t="s">
        <v>176</v>
      </c>
      <c r="T1247" s="15" t="s">
        <v>53</v>
      </c>
    </row>
    <row r="1248" spans="1:20" x14ac:dyDescent="0.3">
      <c r="A1248" s="14">
        <v>1247</v>
      </c>
      <c r="B1248" s="4">
        <v>44403</v>
      </c>
      <c r="C1248" s="1" t="s">
        <v>534</v>
      </c>
      <c r="D1248" s="1" t="s">
        <v>80</v>
      </c>
      <c r="E1248" s="1" t="s">
        <v>29</v>
      </c>
      <c r="F1248" s="2">
        <v>4</v>
      </c>
      <c r="G1248" s="5">
        <v>2020</v>
      </c>
      <c r="H1248" s="24">
        <f t="shared" si="95"/>
        <v>8080</v>
      </c>
      <c r="I1248" s="7">
        <v>0.05</v>
      </c>
      <c r="J1248" s="5">
        <f t="shared" si="96"/>
        <v>404</v>
      </c>
      <c r="K1248" s="5">
        <f t="shared" si="97"/>
        <v>7676</v>
      </c>
      <c r="L1248" s="5">
        <v>1500</v>
      </c>
      <c r="M1248" s="5">
        <f t="shared" si="98"/>
        <v>1676</v>
      </c>
      <c r="N1248" s="7">
        <f t="shared" si="99"/>
        <v>0.21834288692027098</v>
      </c>
      <c r="O1248" s="1" t="s">
        <v>54</v>
      </c>
      <c r="P1248" s="1" t="s">
        <v>31</v>
      </c>
      <c r="Q1248" s="1" t="s">
        <v>37</v>
      </c>
      <c r="R1248" s="1" t="s">
        <v>38</v>
      </c>
      <c r="S1248" s="1" t="s">
        <v>173</v>
      </c>
      <c r="T1248" s="15" t="s">
        <v>53</v>
      </c>
    </row>
    <row r="1249" spans="1:20" x14ac:dyDescent="0.3">
      <c r="A1249" s="14">
        <v>1248</v>
      </c>
      <c r="B1249" s="4">
        <v>44387</v>
      </c>
      <c r="C1249" s="1" t="s">
        <v>529</v>
      </c>
      <c r="D1249" s="1" t="s">
        <v>28</v>
      </c>
      <c r="E1249" s="1" t="s">
        <v>36</v>
      </c>
      <c r="F1249" s="2">
        <v>5</v>
      </c>
      <c r="G1249" s="5">
        <v>1240</v>
      </c>
      <c r="H1249" s="24">
        <f t="shared" si="95"/>
        <v>6200</v>
      </c>
      <c r="I1249" s="7">
        <v>0.05</v>
      </c>
      <c r="J1249" s="5">
        <f t="shared" si="96"/>
        <v>310</v>
      </c>
      <c r="K1249" s="5">
        <f t="shared" si="97"/>
        <v>5890</v>
      </c>
      <c r="L1249" s="5">
        <v>770</v>
      </c>
      <c r="M1249" s="5">
        <f t="shared" si="98"/>
        <v>2040</v>
      </c>
      <c r="N1249" s="7">
        <f t="shared" si="99"/>
        <v>0.3463497453310696</v>
      </c>
      <c r="O1249" s="1" t="s">
        <v>41</v>
      </c>
      <c r="P1249" s="1" t="s">
        <v>31</v>
      </c>
      <c r="Q1249" s="1" t="s">
        <v>37</v>
      </c>
      <c r="R1249" s="1" t="s">
        <v>63</v>
      </c>
      <c r="S1249" s="1" t="s">
        <v>151</v>
      </c>
      <c r="T1249" s="15" t="s">
        <v>53</v>
      </c>
    </row>
    <row r="1250" spans="1:20" x14ac:dyDescent="0.3">
      <c r="A1250" s="14">
        <v>1249</v>
      </c>
      <c r="B1250" s="4">
        <v>44277</v>
      </c>
      <c r="C1250" s="1" t="s">
        <v>533</v>
      </c>
      <c r="D1250" s="1" t="s">
        <v>20</v>
      </c>
      <c r="E1250" s="1" t="s">
        <v>45</v>
      </c>
      <c r="F1250" s="2">
        <v>8</v>
      </c>
      <c r="G1250" s="5">
        <v>190</v>
      </c>
      <c r="H1250" s="24">
        <f t="shared" si="95"/>
        <v>1520</v>
      </c>
      <c r="I1250" s="7">
        <v>0.05</v>
      </c>
      <c r="J1250" s="5">
        <f t="shared" si="96"/>
        <v>76</v>
      </c>
      <c r="K1250" s="5">
        <f t="shared" si="97"/>
        <v>1444</v>
      </c>
      <c r="L1250" s="5">
        <v>120</v>
      </c>
      <c r="M1250" s="5">
        <f t="shared" si="98"/>
        <v>484</v>
      </c>
      <c r="N1250" s="7">
        <f t="shared" si="99"/>
        <v>0.33518005540166207</v>
      </c>
      <c r="O1250" s="1" t="s">
        <v>59</v>
      </c>
      <c r="P1250" s="1" t="s">
        <v>76</v>
      </c>
      <c r="Q1250" s="1" t="s">
        <v>24</v>
      </c>
      <c r="R1250" s="1" t="s">
        <v>50</v>
      </c>
      <c r="S1250" s="1" t="s">
        <v>200</v>
      </c>
      <c r="T1250" s="15" t="s">
        <v>61</v>
      </c>
    </row>
    <row r="1251" spans="1:20" x14ac:dyDescent="0.3">
      <c r="A1251" s="14">
        <v>1250</v>
      </c>
      <c r="B1251" s="4">
        <v>44360</v>
      </c>
      <c r="C1251" s="1" t="s">
        <v>530</v>
      </c>
      <c r="D1251" s="1" t="s">
        <v>82</v>
      </c>
      <c r="E1251" s="1" t="s">
        <v>21</v>
      </c>
      <c r="F1251" s="2">
        <v>4</v>
      </c>
      <c r="G1251" s="5">
        <v>210</v>
      </c>
      <c r="H1251" s="24">
        <f t="shared" si="95"/>
        <v>840</v>
      </c>
      <c r="I1251" s="7">
        <v>0.05</v>
      </c>
      <c r="J1251" s="5">
        <f t="shared" si="96"/>
        <v>42</v>
      </c>
      <c r="K1251" s="5">
        <f t="shared" si="97"/>
        <v>798</v>
      </c>
      <c r="L1251" s="5">
        <v>170</v>
      </c>
      <c r="M1251" s="5">
        <f t="shared" si="98"/>
        <v>118</v>
      </c>
      <c r="N1251" s="7">
        <f t="shared" si="99"/>
        <v>0.14786967418546365</v>
      </c>
      <c r="O1251" s="1" t="s">
        <v>41</v>
      </c>
      <c r="P1251" s="1" t="s">
        <v>31</v>
      </c>
      <c r="Q1251" s="1" t="s">
        <v>24</v>
      </c>
      <c r="R1251" s="1" t="s">
        <v>88</v>
      </c>
      <c r="S1251" s="1" t="s">
        <v>341</v>
      </c>
      <c r="T1251" s="15" t="s">
        <v>53</v>
      </c>
    </row>
    <row r="1252" spans="1:20" x14ac:dyDescent="0.3">
      <c r="A1252" s="14">
        <v>1251</v>
      </c>
      <c r="B1252" s="4">
        <v>44483</v>
      </c>
      <c r="C1252" s="1" t="s">
        <v>530</v>
      </c>
      <c r="D1252" s="1" t="s">
        <v>20</v>
      </c>
      <c r="E1252" s="1" t="s">
        <v>29</v>
      </c>
      <c r="F1252" s="2">
        <v>12</v>
      </c>
      <c r="G1252" s="5">
        <v>2320</v>
      </c>
      <c r="H1252" s="24">
        <f t="shared" si="95"/>
        <v>27840</v>
      </c>
      <c r="I1252" s="7">
        <v>0.05</v>
      </c>
      <c r="J1252" s="5">
        <f t="shared" si="96"/>
        <v>1392</v>
      </c>
      <c r="K1252" s="5">
        <f t="shared" si="97"/>
        <v>26448</v>
      </c>
      <c r="L1252" s="5">
        <v>1770</v>
      </c>
      <c r="M1252" s="5">
        <f t="shared" si="98"/>
        <v>5208</v>
      </c>
      <c r="N1252" s="7">
        <f t="shared" si="99"/>
        <v>0.19691470054446461</v>
      </c>
      <c r="O1252" s="1" t="s">
        <v>22</v>
      </c>
      <c r="P1252" s="1" t="s">
        <v>31</v>
      </c>
      <c r="Q1252" s="1" t="s">
        <v>32</v>
      </c>
      <c r="R1252" s="1" t="s">
        <v>49</v>
      </c>
      <c r="S1252" s="1" t="s">
        <v>500</v>
      </c>
      <c r="T1252" s="15" t="s">
        <v>27</v>
      </c>
    </row>
    <row r="1253" spans="1:20" x14ac:dyDescent="0.3">
      <c r="A1253" s="14">
        <v>1252</v>
      </c>
      <c r="B1253" s="4">
        <v>44219</v>
      </c>
      <c r="C1253" s="1" t="s">
        <v>533</v>
      </c>
      <c r="D1253" s="1" t="s">
        <v>20</v>
      </c>
      <c r="E1253" s="1" t="s">
        <v>43</v>
      </c>
      <c r="F1253" s="2">
        <v>4</v>
      </c>
      <c r="G1253" s="5">
        <v>280</v>
      </c>
      <c r="H1253" s="24">
        <f t="shared" si="95"/>
        <v>1120</v>
      </c>
      <c r="I1253" s="7">
        <v>0.02</v>
      </c>
      <c r="J1253" s="5">
        <f t="shared" si="96"/>
        <v>22.400000000000002</v>
      </c>
      <c r="K1253" s="5">
        <f t="shared" si="97"/>
        <v>1097.5999999999999</v>
      </c>
      <c r="L1253" s="5">
        <v>170</v>
      </c>
      <c r="M1253" s="5">
        <f t="shared" si="98"/>
        <v>417.59999999999991</v>
      </c>
      <c r="N1253" s="7">
        <f t="shared" si="99"/>
        <v>0.38046647230320696</v>
      </c>
      <c r="O1253" s="1" t="s">
        <v>59</v>
      </c>
      <c r="P1253" s="1" t="s">
        <v>31</v>
      </c>
      <c r="Q1253" s="1" t="s">
        <v>48</v>
      </c>
      <c r="R1253" s="1" t="s">
        <v>63</v>
      </c>
      <c r="S1253" s="1" t="s">
        <v>463</v>
      </c>
      <c r="T1253" s="15" t="s">
        <v>53</v>
      </c>
    </row>
    <row r="1254" spans="1:20" x14ac:dyDescent="0.3">
      <c r="A1254" s="14">
        <v>1253</v>
      </c>
      <c r="B1254" s="4">
        <v>44489</v>
      </c>
      <c r="C1254" s="1" t="s">
        <v>529</v>
      </c>
      <c r="D1254" s="1" t="s">
        <v>82</v>
      </c>
      <c r="E1254" s="1" t="s">
        <v>29</v>
      </c>
      <c r="F1254" s="2">
        <v>5</v>
      </c>
      <c r="G1254" s="5">
        <v>2000</v>
      </c>
      <c r="H1254" s="24">
        <f t="shared" si="95"/>
        <v>10000</v>
      </c>
      <c r="I1254" s="7">
        <v>0.02</v>
      </c>
      <c r="J1254" s="5">
        <f t="shared" si="96"/>
        <v>200</v>
      </c>
      <c r="K1254" s="5">
        <f t="shared" si="97"/>
        <v>9800</v>
      </c>
      <c r="L1254" s="5">
        <v>1180</v>
      </c>
      <c r="M1254" s="5">
        <f t="shared" si="98"/>
        <v>3900</v>
      </c>
      <c r="N1254" s="7">
        <f t="shared" si="99"/>
        <v>0.39795918367346939</v>
      </c>
      <c r="O1254" s="1" t="s">
        <v>41</v>
      </c>
      <c r="P1254" s="1" t="s">
        <v>31</v>
      </c>
      <c r="Q1254" s="1" t="s">
        <v>32</v>
      </c>
      <c r="R1254" s="1" t="s">
        <v>46</v>
      </c>
      <c r="S1254" s="1" t="s">
        <v>274</v>
      </c>
      <c r="T1254" s="15" t="s">
        <v>27</v>
      </c>
    </row>
    <row r="1255" spans="1:20" x14ac:dyDescent="0.3">
      <c r="A1255" s="14">
        <v>1254</v>
      </c>
      <c r="B1255" s="4">
        <v>44397</v>
      </c>
      <c r="C1255" s="1" t="s">
        <v>534</v>
      </c>
      <c r="D1255" s="1" t="s">
        <v>20</v>
      </c>
      <c r="E1255" s="1" t="s">
        <v>21</v>
      </c>
      <c r="F1255" s="2">
        <v>10</v>
      </c>
      <c r="G1255" s="5">
        <v>210</v>
      </c>
      <c r="H1255" s="24">
        <f t="shared" si="95"/>
        <v>2100</v>
      </c>
      <c r="I1255" s="7">
        <v>0</v>
      </c>
      <c r="J1255" s="5">
        <f t="shared" si="96"/>
        <v>0</v>
      </c>
      <c r="K1255" s="5">
        <f t="shared" si="97"/>
        <v>2100</v>
      </c>
      <c r="L1255" s="5">
        <v>160</v>
      </c>
      <c r="M1255" s="5">
        <f t="shared" si="98"/>
        <v>500</v>
      </c>
      <c r="N1255" s="7">
        <f t="shared" si="99"/>
        <v>0.23809523809523808</v>
      </c>
      <c r="O1255" s="1" t="s">
        <v>59</v>
      </c>
      <c r="P1255" s="1" t="s">
        <v>31</v>
      </c>
      <c r="Q1255" s="1" t="s">
        <v>37</v>
      </c>
      <c r="R1255" s="1" t="s">
        <v>50</v>
      </c>
      <c r="S1255" s="1" t="s">
        <v>233</v>
      </c>
      <c r="T1255" s="15" t="s">
        <v>27</v>
      </c>
    </row>
    <row r="1256" spans="1:20" x14ac:dyDescent="0.3">
      <c r="A1256" s="14">
        <v>1255</v>
      </c>
      <c r="B1256" s="4">
        <v>44432</v>
      </c>
      <c r="C1256" s="1" t="s">
        <v>533</v>
      </c>
      <c r="D1256" s="1" t="s">
        <v>20</v>
      </c>
      <c r="E1256" s="1" t="s">
        <v>36</v>
      </c>
      <c r="F1256" s="2">
        <v>2</v>
      </c>
      <c r="G1256" s="5">
        <v>1190</v>
      </c>
      <c r="H1256" s="24">
        <f t="shared" si="95"/>
        <v>2380</v>
      </c>
      <c r="I1256" s="7">
        <v>0</v>
      </c>
      <c r="J1256" s="5">
        <f t="shared" si="96"/>
        <v>0</v>
      </c>
      <c r="K1256" s="5">
        <f t="shared" si="97"/>
        <v>2380</v>
      </c>
      <c r="L1256" s="5">
        <v>740</v>
      </c>
      <c r="M1256" s="5">
        <f t="shared" si="98"/>
        <v>900</v>
      </c>
      <c r="N1256" s="7">
        <f t="shared" si="99"/>
        <v>0.37815126050420167</v>
      </c>
      <c r="O1256" s="1" t="s">
        <v>30</v>
      </c>
      <c r="P1256" s="1" t="s">
        <v>31</v>
      </c>
      <c r="Q1256" s="1" t="s">
        <v>32</v>
      </c>
      <c r="R1256" s="1" t="s">
        <v>46</v>
      </c>
      <c r="S1256" s="1" t="s">
        <v>284</v>
      </c>
      <c r="T1256" s="15" t="s">
        <v>61</v>
      </c>
    </row>
    <row r="1257" spans="1:20" x14ac:dyDescent="0.3">
      <c r="A1257" s="14">
        <v>1256</v>
      </c>
      <c r="B1257" s="4">
        <v>44279</v>
      </c>
      <c r="C1257" s="1" t="s">
        <v>532</v>
      </c>
      <c r="D1257" s="1" t="s">
        <v>20</v>
      </c>
      <c r="E1257" s="1" t="s">
        <v>21</v>
      </c>
      <c r="F1257" s="2">
        <v>10</v>
      </c>
      <c r="G1257" s="5">
        <v>220</v>
      </c>
      <c r="H1257" s="24">
        <f t="shared" si="95"/>
        <v>2200</v>
      </c>
      <c r="I1257" s="7">
        <v>0</v>
      </c>
      <c r="J1257" s="5">
        <f t="shared" si="96"/>
        <v>0</v>
      </c>
      <c r="K1257" s="5">
        <f t="shared" si="97"/>
        <v>2200</v>
      </c>
      <c r="L1257" s="5">
        <v>140</v>
      </c>
      <c r="M1257" s="5">
        <f t="shared" si="98"/>
        <v>800</v>
      </c>
      <c r="N1257" s="7">
        <f t="shared" si="99"/>
        <v>0.36363636363636365</v>
      </c>
      <c r="O1257" s="1" t="s">
        <v>41</v>
      </c>
      <c r="P1257" s="1" t="s">
        <v>31</v>
      </c>
      <c r="Q1257" s="1" t="s">
        <v>37</v>
      </c>
      <c r="R1257" s="1" t="s">
        <v>88</v>
      </c>
      <c r="S1257" s="1" t="s">
        <v>164</v>
      </c>
      <c r="T1257" s="15" t="s">
        <v>53</v>
      </c>
    </row>
    <row r="1258" spans="1:20" x14ac:dyDescent="0.3">
      <c r="A1258" s="14">
        <v>1257</v>
      </c>
      <c r="B1258" s="4">
        <v>44362</v>
      </c>
      <c r="C1258" s="1" t="s">
        <v>530</v>
      </c>
      <c r="D1258" s="1" t="s">
        <v>82</v>
      </c>
      <c r="E1258" s="1" t="s">
        <v>21</v>
      </c>
      <c r="F1258" s="2">
        <v>11</v>
      </c>
      <c r="G1258" s="5">
        <v>210</v>
      </c>
      <c r="H1258" s="24">
        <f t="shared" si="95"/>
        <v>2310</v>
      </c>
      <c r="I1258" s="7">
        <v>0.05</v>
      </c>
      <c r="J1258" s="5">
        <f t="shared" si="96"/>
        <v>115.5</v>
      </c>
      <c r="K1258" s="5">
        <f t="shared" si="97"/>
        <v>2194.5</v>
      </c>
      <c r="L1258" s="5">
        <v>160</v>
      </c>
      <c r="M1258" s="5">
        <f t="shared" si="98"/>
        <v>434.5</v>
      </c>
      <c r="N1258" s="7">
        <f t="shared" si="99"/>
        <v>0.19799498746867167</v>
      </c>
      <c r="O1258" s="1" t="s">
        <v>59</v>
      </c>
      <c r="P1258" s="1" t="s">
        <v>31</v>
      </c>
      <c r="Q1258" s="1" t="s">
        <v>24</v>
      </c>
      <c r="R1258" s="1" t="s">
        <v>33</v>
      </c>
      <c r="S1258" s="1" t="s">
        <v>34</v>
      </c>
      <c r="T1258" s="15" t="s">
        <v>35</v>
      </c>
    </row>
    <row r="1259" spans="1:20" x14ac:dyDescent="0.3">
      <c r="A1259" s="14">
        <v>1258</v>
      </c>
      <c r="B1259" s="4">
        <v>44447</v>
      </c>
      <c r="C1259" s="1" t="s">
        <v>533</v>
      </c>
      <c r="D1259" s="1" t="s">
        <v>20</v>
      </c>
      <c r="E1259" s="1" t="s">
        <v>21</v>
      </c>
      <c r="F1259" s="2">
        <v>10</v>
      </c>
      <c r="G1259" s="5">
        <v>200</v>
      </c>
      <c r="H1259" s="24">
        <f t="shared" si="95"/>
        <v>2000</v>
      </c>
      <c r="I1259" s="7">
        <v>0</v>
      </c>
      <c r="J1259" s="5">
        <f t="shared" si="96"/>
        <v>0</v>
      </c>
      <c r="K1259" s="5">
        <f t="shared" si="97"/>
        <v>2000</v>
      </c>
      <c r="L1259" s="5">
        <v>130</v>
      </c>
      <c r="M1259" s="5">
        <f t="shared" si="98"/>
        <v>700</v>
      </c>
      <c r="N1259" s="7">
        <f t="shared" si="99"/>
        <v>0.35</v>
      </c>
      <c r="O1259" s="1" t="s">
        <v>30</v>
      </c>
      <c r="P1259" s="1" t="s">
        <v>31</v>
      </c>
      <c r="Q1259" s="1" t="s">
        <v>37</v>
      </c>
      <c r="R1259" s="1" t="s">
        <v>50</v>
      </c>
      <c r="S1259" s="1" t="s">
        <v>444</v>
      </c>
      <c r="T1259" s="15" t="s">
        <v>27</v>
      </c>
    </row>
    <row r="1260" spans="1:20" x14ac:dyDescent="0.3">
      <c r="A1260" s="14">
        <v>1259</v>
      </c>
      <c r="B1260" s="4">
        <v>44403</v>
      </c>
      <c r="C1260" s="1" t="s">
        <v>533</v>
      </c>
      <c r="D1260" s="1" t="s">
        <v>20</v>
      </c>
      <c r="E1260" s="1" t="s">
        <v>21</v>
      </c>
      <c r="F1260" s="2">
        <v>5</v>
      </c>
      <c r="G1260" s="5">
        <v>220</v>
      </c>
      <c r="H1260" s="24">
        <f t="shared" si="95"/>
        <v>1100</v>
      </c>
      <c r="I1260" s="7">
        <v>0.15</v>
      </c>
      <c r="J1260" s="5">
        <f t="shared" si="96"/>
        <v>165</v>
      </c>
      <c r="K1260" s="5">
        <f t="shared" si="97"/>
        <v>935</v>
      </c>
      <c r="L1260" s="5">
        <v>150</v>
      </c>
      <c r="M1260" s="5">
        <f t="shared" si="98"/>
        <v>185</v>
      </c>
      <c r="N1260" s="7">
        <f t="shared" si="99"/>
        <v>0.19786096256684493</v>
      </c>
      <c r="O1260" s="1" t="s">
        <v>30</v>
      </c>
      <c r="P1260" s="1" t="s">
        <v>31</v>
      </c>
      <c r="Q1260" s="1" t="s">
        <v>24</v>
      </c>
      <c r="R1260" s="1" t="s">
        <v>38</v>
      </c>
      <c r="S1260" s="1" t="s">
        <v>81</v>
      </c>
      <c r="T1260" s="15" t="s">
        <v>27</v>
      </c>
    </row>
    <row r="1261" spans="1:20" x14ac:dyDescent="0.3">
      <c r="A1261" s="14">
        <v>1260</v>
      </c>
      <c r="B1261" s="4">
        <v>44515</v>
      </c>
      <c r="C1261" s="1" t="s">
        <v>530</v>
      </c>
      <c r="D1261" s="1" t="s">
        <v>80</v>
      </c>
      <c r="E1261" s="1" t="s">
        <v>40</v>
      </c>
      <c r="F1261" s="2">
        <v>4</v>
      </c>
      <c r="G1261" s="5">
        <v>1640</v>
      </c>
      <c r="H1261" s="24">
        <f t="shared" si="95"/>
        <v>6560</v>
      </c>
      <c r="I1261" s="7">
        <v>0.05</v>
      </c>
      <c r="J1261" s="5">
        <f t="shared" si="96"/>
        <v>328</v>
      </c>
      <c r="K1261" s="5">
        <f t="shared" si="97"/>
        <v>6232</v>
      </c>
      <c r="L1261" s="5">
        <v>1290</v>
      </c>
      <c r="M1261" s="5">
        <f t="shared" si="98"/>
        <v>1072</v>
      </c>
      <c r="N1261" s="7">
        <f t="shared" si="99"/>
        <v>0.17201540436456997</v>
      </c>
      <c r="O1261" s="1" t="s">
        <v>54</v>
      </c>
      <c r="P1261" s="1" t="s">
        <v>31</v>
      </c>
      <c r="Q1261" s="1" t="s">
        <v>32</v>
      </c>
      <c r="R1261" s="1" t="s">
        <v>63</v>
      </c>
      <c r="S1261" s="1" t="s">
        <v>403</v>
      </c>
      <c r="T1261" s="15" t="s">
        <v>53</v>
      </c>
    </row>
    <row r="1262" spans="1:20" x14ac:dyDescent="0.3">
      <c r="A1262" s="14">
        <v>1261</v>
      </c>
      <c r="B1262" s="4">
        <v>44509</v>
      </c>
      <c r="C1262" s="1" t="s">
        <v>530</v>
      </c>
      <c r="D1262" s="1" t="s">
        <v>20</v>
      </c>
      <c r="E1262" s="1" t="s">
        <v>45</v>
      </c>
      <c r="F1262" s="2">
        <v>12</v>
      </c>
      <c r="G1262" s="5">
        <v>220</v>
      </c>
      <c r="H1262" s="24">
        <f t="shared" si="95"/>
        <v>2640</v>
      </c>
      <c r="I1262" s="7">
        <v>0</v>
      </c>
      <c r="J1262" s="5">
        <f t="shared" si="96"/>
        <v>0</v>
      </c>
      <c r="K1262" s="5">
        <f t="shared" si="97"/>
        <v>2640</v>
      </c>
      <c r="L1262" s="5">
        <v>160</v>
      </c>
      <c r="M1262" s="5">
        <f t="shared" si="98"/>
        <v>720</v>
      </c>
      <c r="N1262" s="7">
        <f t="shared" si="99"/>
        <v>0.27272727272727271</v>
      </c>
      <c r="O1262" s="1" t="s">
        <v>22</v>
      </c>
      <c r="P1262" s="1" t="s">
        <v>31</v>
      </c>
      <c r="Q1262" s="1" t="s">
        <v>48</v>
      </c>
      <c r="R1262" s="1" t="s">
        <v>46</v>
      </c>
      <c r="S1262" s="1" t="s">
        <v>250</v>
      </c>
      <c r="T1262" s="15" t="s">
        <v>53</v>
      </c>
    </row>
    <row r="1263" spans="1:20" x14ac:dyDescent="0.3">
      <c r="A1263" s="14">
        <v>1262</v>
      </c>
      <c r="B1263" s="4">
        <v>44300</v>
      </c>
      <c r="C1263" s="1" t="s">
        <v>532</v>
      </c>
      <c r="D1263" s="1" t="s">
        <v>82</v>
      </c>
      <c r="E1263" s="1" t="s">
        <v>43</v>
      </c>
      <c r="F1263" s="2">
        <v>6</v>
      </c>
      <c r="G1263" s="5">
        <v>330</v>
      </c>
      <c r="H1263" s="24">
        <f t="shared" si="95"/>
        <v>1980</v>
      </c>
      <c r="I1263" s="7">
        <v>0</v>
      </c>
      <c r="J1263" s="5">
        <f t="shared" si="96"/>
        <v>0</v>
      </c>
      <c r="K1263" s="5">
        <f t="shared" si="97"/>
        <v>1980</v>
      </c>
      <c r="L1263" s="5">
        <v>210</v>
      </c>
      <c r="M1263" s="5">
        <f t="shared" si="98"/>
        <v>720</v>
      </c>
      <c r="N1263" s="7">
        <f t="shared" si="99"/>
        <v>0.36363636363636365</v>
      </c>
      <c r="O1263" s="1" t="s">
        <v>30</v>
      </c>
      <c r="P1263" s="1" t="s">
        <v>31</v>
      </c>
      <c r="Q1263" s="1" t="s">
        <v>48</v>
      </c>
      <c r="R1263" s="1" t="s">
        <v>46</v>
      </c>
      <c r="S1263" s="1" t="s">
        <v>111</v>
      </c>
      <c r="T1263" s="15" t="s">
        <v>61</v>
      </c>
    </row>
    <row r="1264" spans="1:20" x14ac:dyDescent="0.3">
      <c r="A1264" s="14">
        <v>1263</v>
      </c>
      <c r="B1264" s="4">
        <v>44356</v>
      </c>
      <c r="C1264" s="1" t="s">
        <v>533</v>
      </c>
      <c r="D1264" s="1" t="s">
        <v>20</v>
      </c>
      <c r="E1264" s="1" t="s">
        <v>36</v>
      </c>
      <c r="F1264" s="2">
        <v>9</v>
      </c>
      <c r="G1264" s="5">
        <v>2320</v>
      </c>
      <c r="H1264" s="24">
        <f t="shared" si="95"/>
        <v>20880</v>
      </c>
      <c r="I1264" s="7">
        <v>0.05</v>
      </c>
      <c r="J1264" s="5">
        <f t="shared" si="96"/>
        <v>1044</v>
      </c>
      <c r="K1264" s="5">
        <f t="shared" si="97"/>
        <v>19836</v>
      </c>
      <c r="L1264" s="5">
        <v>1690</v>
      </c>
      <c r="M1264" s="5">
        <f t="shared" si="98"/>
        <v>4626</v>
      </c>
      <c r="N1264" s="7">
        <f t="shared" si="99"/>
        <v>0.23321234119782214</v>
      </c>
      <c r="O1264" s="1" t="s">
        <v>59</v>
      </c>
      <c r="P1264" s="1" t="s">
        <v>31</v>
      </c>
      <c r="Q1264" s="1" t="s">
        <v>32</v>
      </c>
      <c r="R1264" s="1" t="s">
        <v>46</v>
      </c>
      <c r="S1264" s="1" t="s">
        <v>303</v>
      </c>
      <c r="T1264" s="15" t="s">
        <v>35</v>
      </c>
    </row>
    <row r="1265" spans="1:20" x14ac:dyDescent="0.3">
      <c r="A1265" s="14">
        <v>1264</v>
      </c>
      <c r="B1265" s="4">
        <v>44345</v>
      </c>
      <c r="C1265" s="1" t="s">
        <v>533</v>
      </c>
      <c r="D1265" s="1" t="s">
        <v>80</v>
      </c>
      <c r="E1265" s="1" t="s">
        <v>45</v>
      </c>
      <c r="F1265" s="2">
        <v>1</v>
      </c>
      <c r="G1265" s="5">
        <v>200</v>
      </c>
      <c r="H1265" s="24">
        <f t="shared" si="95"/>
        <v>200</v>
      </c>
      <c r="I1265" s="7">
        <v>0</v>
      </c>
      <c r="J1265" s="5">
        <f t="shared" si="96"/>
        <v>0</v>
      </c>
      <c r="K1265" s="5">
        <f t="shared" si="97"/>
        <v>200</v>
      </c>
      <c r="L1265" s="5">
        <v>130</v>
      </c>
      <c r="M1265" s="5">
        <f t="shared" si="98"/>
        <v>70</v>
      </c>
      <c r="N1265" s="7">
        <f t="shared" si="99"/>
        <v>0.35</v>
      </c>
      <c r="O1265" s="1" t="s">
        <v>22</v>
      </c>
      <c r="P1265" s="1" t="s">
        <v>31</v>
      </c>
      <c r="Q1265" s="1" t="s">
        <v>24</v>
      </c>
      <c r="R1265" s="1" t="s">
        <v>25</v>
      </c>
      <c r="S1265" s="1" t="s">
        <v>299</v>
      </c>
      <c r="T1265" s="15" t="s">
        <v>53</v>
      </c>
    </row>
    <row r="1266" spans="1:20" x14ac:dyDescent="0.3">
      <c r="A1266" s="14">
        <v>1265</v>
      </c>
      <c r="B1266" s="4">
        <v>44476</v>
      </c>
      <c r="C1266" s="1" t="s">
        <v>529</v>
      </c>
      <c r="D1266" s="1" t="s">
        <v>80</v>
      </c>
      <c r="E1266" s="1" t="s">
        <v>45</v>
      </c>
      <c r="F1266" s="2">
        <v>12</v>
      </c>
      <c r="G1266" s="5">
        <v>200</v>
      </c>
      <c r="H1266" s="24">
        <f t="shared" si="95"/>
        <v>2400</v>
      </c>
      <c r="I1266" s="7">
        <v>0.02</v>
      </c>
      <c r="J1266" s="5">
        <f t="shared" si="96"/>
        <v>48</v>
      </c>
      <c r="K1266" s="5">
        <f t="shared" si="97"/>
        <v>2352</v>
      </c>
      <c r="L1266" s="5">
        <v>160</v>
      </c>
      <c r="M1266" s="5">
        <f t="shared" si="98"/>
        <v>432</v>
      </c>
      <c r="N1266" s="7">
        <f t="shared" si="99"/>
        <v>0.18367346938775511</v>
      </c>
      <c r="O1266" s="1" t="s">
        <v>54</v>
      </c>
      <c r="P1266" s="1" t="s">
        <v>31</v>
      </c>
      <c r="Q1266" s="1" t="s">
        <v>24</v>
      </c>
      <c r="R1266" s="1" t="s">
        <v>38</v>
      </c>
      <c r="S1266" s="1" t="s">
        <v>430</v>
      </c>
      <c r="T1266" s="15" t="s">
        <v>27</v>
      </c>
    </row>
    <row r="1267" spans="1:20" x14ac:dyDescent="0.3">
      <c r="A1267" s="14">
        <v>1266</v>
      </c>
      <c r="B1267" s="4">
        <v>44531</v>
      </c>
      <c r="C1267" s="1" t="s">
        <v>534</v>
      </c>
      <c r="D1267" s="1" t="s">
        <v>20</v>
      </c>
      <c r="E1267" s="1" t="s">
        <v>29</v>
      </c>
      <c r="F1267" s="2">
        <v>11</v>
      </c>
      <c r="G1267" s="5">
        <v>1960</v>
      </c>
      <c r="H1267" s="24">
        <f t="shared" si="95"/>
        <v>21560</v>
      </c>
      <c r="I1267" s="7">
        <v>0</v>
      </c>
      <c r="J1267" s="5">
        <f t="shared" si="96"/>
        <v>0</v>
      </c>
      <c r="K1267" s="5">
        <f t="shared" si="97"/>
        <v>21560</v>
      </c>
      <c r="L1267" s="5">
        <v>1490</v>
      </c>
      <c r="M1267" s="5">
        <f t="shared" si="98"/>
        <v>5170</v>
      </c>
      <c r="N1267" s="7">
        <f t="shared" si="99"/>
        <v>0.23979591836734693</v>
      </c>
      <c r="O1267" s="1" t="s">
        <v>59</v>
      </c>
      <c r="P1267" s="1" t="s">
        <v>31</v>
      </c>
      <c r="Q1267" s="1" t="s">
        <v>37</v>
      </c>
      <c r="R1267" s="1" t="s">
        <v>50</v>
      </c>
      <c r="S1267" s="1" t="s">
        <v>480</v>
      </c>
      <c r="T1267" s="15" t="s">
        <v>53</v>
      </c>
    </row>
    <row r="1268" spans="1:20" x14ac:dyDescent="0.3">
      <c r="A1268" s="14">
        <v>1267</v>
      </c>
      <c r="B1268" s="4">
        <v>44379</v>
      </c>
      <c r="C1268" s="1" t="s">
        <v>532</v>
      </c>
      <c r="D1268" s="1" t="s">
        <v>20</v>
      </c>
      <c r="E1268" s="1" t="s">
        <v>45</v>
      </c>
      <c r="F1268" s="2">
        <v>10</v>
      </c>
      <c r="G1268" s="5">
        <v>190</v>
      </c>
      <c r="H1268" s="24">
        <f t="shared" si="95"/>
        <v>1900</v>
      </c>
      <c r="I1268" s="7">
        <v>0</v>
      </c>
      <c r="J1268" s="5">
        <f t="shared" si="96"/>
        <v>0</v>
      </c>
      <c r="K1268" s="5">
        <f t="shared" si="97"/>
        <v>1900</v>
      </c>
      <c r="L1268" s="5">
        <v>140</v>
      </c>
      <c r="M1268" s="5">
        <f t="shared" si="98"/>
        <v>500</v>
      </c>
      <c r="N1268" s="7">
        <f t="shared" si="99"/>
        <v>0.26315789473684209</v>
      </c>
      <c r="O1268" s="1" t="s">
        <v>59</v>
      </c>
      <c r="P1268" s="1" t="s">
        <v>31</v>
      </c>
      <c r="Q1268" s="1" t="s">
        <v>32</v>
      </c>
      <c r="R1268" s="1" t="s">
        <v>25</v>
      </c>
      <c r="S1268" s="1" t="s">
        <v>336</v>
      </c>
      <c r="T1268" s="15" t="s">
        <v>27</v>
      </c>
    </row>
    <row r="1269" spans="1:20" x14ac:dyDescent="0.3">
      <c r="A1269" s="14">
        <v>1268</v>
      </c>
      <c r="B1269" s="4">
        <v>44502</v>
      </c>
      <c r="C1269" s="1" t="s">
        <v>529</v>
      </c>
      <c r="D1269" s="1" t="s">
        <v>20</v>
      </c>
      <c r="E1269" s="1" t="s">
        <v>43</v>
      </c>
      <c r="F1269" s="2">
        <v>7</v>
      </c>
      <c r="G1269" s="5">
        <v>330</v>
      </c>
      <c r="H1269" s="24">
        <f t="shared" si="95"/>
        <v>2310</v>
      </c>
      <c r="I1269" s="7">
        <v>0.02</v>
      </c>
      <c r="J1269" s="5">
        <f t="shared" si="96"/>
        <v>46.2</v>
      </c>
      <c r="K1269" s="5">
        <f t="shared" si="97"/>
        <v>2263.8000000000002</v>
      </c>
      <c r="L1269" s="5">
        <v>220</v>
      </c>
      <c r="M1269" s="5">
        <f t="shared" si="98"/>
        <v>723.80000000000018</v>
      </c>
      <c r="N1269" s="7">
        <f t="shared" si="99"/>
        <v>0.31972789115646266</v>
      </c>
      <c r="O1269" s="1" t="s">
        <v>54</v>
      </c>
      <c r="P1269" s="1" t="s">
        <v>31</v>
      </c>
      <c r="Q1269" s="1" t="s">
        <v>48</v>
      </c>
      <c r="R1269" s="1" t="s">
        <v>63</v>
      </c>
      <c r="S1269" s="1" t="s">
        <v>154</v>
      </c>
      <c r="T1269" s="15" t="s">
        <v>53</v>
      </c>
    </row>
    <row r="1270" spans="1:20" x14ac:dyDescent="0.3">
      <c r="A1270" s="14">
        <v>1269</v>
      </c>
      <c r="B1270" s="4">
        <v>44395</v>
      </c>
      <c r="C1270" s="1" t="s">
        <v>533</v>
      </c>
      <c r="D1270" s="1" t="s">
        <v>28</v>
      </c>
      <c r="E1270" s="1" t="s">
        <v>40</v>
      </c>
      <c r="F1270" s="2">
        <v>9</v>
      </c>
      <c r="G1270" s="5">
        <v>1600</v>
      </c>
      <c r="H1270" s="24">
        <f t="shared" si="95"/>
        <v>14400</v>
      </c>
      <c r="I1270" s="7">
        <v>0.1</v>
      </c>
      <c r="J1270" s="5">
        <f t="shared" si="96"/>
        <v>1440</v>
      </c>
      <c r="K1270" s="5">
        <f t="shared" si="97"/>
        <v>12960</v>
      </c>
      <c r="L1270" s="5">
        <v>1110</v>
      </c>
      <c r="M1270" s="5">
        <f t="shared" si="98"/>
        <v>2970</v>
      </c>
      <c r="N1270" s="7">
        <f t="shared" si="99"/>
        <v>0.22916666666666666</v>
      </c>
      <c r="O1270" s="1" t="s">
        <v>41</v>
      </c>
      <c r="P1270" s="1" t="s">
        <v>31</v>
      </c>
      <c r="Q1270" s="1" t="s">
        <v>32</v>
      </c>
      <c r="R1270" s="1" t="s">
        <v>50</v>
      </c>
      <c r="S1270" s="1" t="s">
        <v>134</v>
      </c>
      <c r="T1270" s="15" t="s">
        <v>53</v>
      </c>
    </row>
    <row r="1271" spans="1:20" x14ac:dyDescent="0.3">
      <c r="A1271" s="14">
        <v>1270</v>
      </c>
      <c r="B1271" s="4">
        <v>44219</v>
      </c>
      <c r="C1271" s="1" t="s">
        <v>529</v>
      </c>
      <c r="D1271" s="1" t="s">
        <v>20</v>
      </c>
      <c r="E1271" s="1" t="s">
        <v>43</v>
      </c>
      <c r="F1271" s="2">
        <v>5</v>
      </c>
      <c r="G1271" s="5">
        <v>330</v>
      </c>
      <c r="H1271" s="24">
        <f t="shared" si="95"/>
        <v>1650</v>
      </c>
      <c r="I1271" s="7">
        <v>0</v>
      </c>
      <c r="J1271" s="5">
        <f t="shared" si="96"/>
        <v>0</v>
      </c>
      <c r="K1271" s="5">
        <f t="shared" si="97"/>
        <v>1650</v>
      </c>
      <c r="L1271" s="5">
        <v>260</v>
      </c>
      <c r="M1271" s="5">
        <f t="shared" si="98"/>
        <v>350</v>
      </c>
      <c r="N1271" s="7">
        <f t="shared" si="99"/>
        <v>0.21212121212121213</v>
      </c>
      <c r="O1271" s="1" t="s">
        <v>30</v>
      </c>
      <c r="P1271" s="1" t="s">
        <v>31</v>
      </c>
      <c r="Q1271" s="1" t="s">
        <v>32</v>
      </c>
      <c r="R1271" s="1" t="s">
        <v>63</v>
      </c>
      <c r="S1271" s="1" t="s">
        <v>275</v>
      </c>
      <c r="T1271" s="15" t="s">
        <v>27</v>
      </c>
    </row>
    <row r="1272" spans="1:20" x14ac:dyDescent="0.3">
      <c r="A1272" s="14">
        <v>1271</v>
      </c>
      <c r="B1272" s="4">
        <v>44529</v>
      </c>
      <c r="C1272" s="1" t="s">
        <v>530</v>
      </c>
      <c r="D1272" s="1" t="s">
        <v>82</v>
      </c>
      <c r="E1272" s="1" t="s">
        <v>21</v>
      </c>
      <c r="F1272" s="2">
        <v>1</v>
      </c>
      <c r="G1272" s="5">
        <v>190</v>
      </c>
      <c r="H1272" s="24">
        <f t="shared" si="95"/>
        <v>190</v>
      </c>
      <c r="I1272" s="7">
        <v>0.02</v>
      </c>
      <c r="J1272" s="5">
        <f t="shared" si="96"/>
        <v>3.8000000000000003</v>
      </c>
      <c r="K1272" s="5">
        <f t="shared" si="97"/>
        <v>186.2</v>
      </c>
      <c r="L1272" s="5">
        <v>150</v>
      </c>
      <c r="M1272" s="5">
        <f t="shared" si="98"/>
        <v>36.199999999999989</v>
      </c>
      <c r="N1272" s="7">
        <f t="shared" si="99"/>
        <v>0.19441460794844248</v>
      </c>
      <c r="O1272" s="1" t="s">
        <v>54</v>
      </c>
      <c r="P1272" s="1" t="s">
        <v>31</v>
      </c>
      <c r="Q1272" s="1" t="s">
        <v>24</v>
      </c>
      <c r="R1272" s="1" t="s">
        <v>33</v>
      </c>
      <c r="S1272" s="1" t="s">
        <v>68</v>
      </c>
      <c r="T1272" s="15" t="s">
        <v>27</v>
      </c>
    </row>
    <row r="1273" spans="1:20" x14ac:dyDescent="0.3">
      <c r="A1273" s="14">
        <v>1272</v>
      </c>
      <c r="B1273" s="4">
        <v>44493</v>
      </c>
      <c r="C1273" s="1" t="s">
        <v>529</v>
      </c>
      <c r="D1273" s="1" t="s">
        <v>20</v>
      </c>
      <c r="E1273" s="1" t="s">
        <v>43</v>
      </c>
      <c r="F1273" s="2">
        <v>8</v>
      </c>
      <c r="G1273" s="5">
        <v>290</v>
      </c>
      <c r="H1273" s="24">
        <f t="shared" si="95"/>
        <v>2320</v>
      </c>
      <c r="I1273" s="7">
        <v>0</v>
      </c>
      <c r="J1273" s="5">
        <f t="shared" si="96"/>
        <v>0</v>
      </c>
      <c r="K1273" s="5">
        <f t="shared" si="97"/>
        <v>2320</v>
      </c>
      <c r="L1273" s="5">
        <v>190</v>
      </c>
      <c r="M1273" s="5">
        <f t="shared" si="98"/>
        <v>800</v>
      </c>
      <c r="N1273" s="7">
        <f t="shared" si="99"/>
        <v>0.34482758620689657</v>
      </c>
      <c r="O1273" s="1" t="s">
        <v>59</v>
      </c>
      <c r="P1273" s="1" t="s">
        <v>31</v>
      </c>
      <c r="Q1273" s="1" t="s">
        <v>32</v>
      </c>
      <c r="R1273" s="1" t="s">
        <v>33</v>
      </c>
      <c r="S1273" s="1" t="s">
        <v>274</v>
      </c>
      <c r="T1273" s="15" t="s">
        <v>53</v>
      </c>
    </row>
    <row r="1274" spans="1:20" x14ac:dyDescent="0.3">
      <c r="A1274" s="14">
        <v>1273</v>
      </c>
      <c r="B1274" s="4">
        <v>44417</v>
      </c>
      <c r="C1274" s="1" t="s">
        <v>530</v>
      </c>
      <c r="D1274" s="1" t="s">
        <v>20</v>
      </c>
      <c r="E1274" s="1" t="s">
        <v>43</v>
      </c>
      <c r="F1274" s="2">
        <v>10</v>
      </c>
      <c r="G1274" s="5">
        <v>320</v>
      </c>
      <c r="H1274" s="24">
        <f t="shared" si="95"/>
        <v>3200</v>
      </c>
      <c r="I1274" s="7">
        <v>0</v>
      </c>
      <c r="J1274" s="5">
        <f t="shared" si="96"/>
        <v>0</v>
      </c>
      <c r="K1274" s="5">
        <f t="shared" si="97"/>
        <v>3200</v>
      </c>
      <c r="L1274" s="5">
        <v>230</v>
      </c>
      <c r="M1274" s="5">
        <f t="shared" si="98"/>
        <v>900</v>
      </c>
      <c r="N1274" s="7">
        <f t="shared" si="99"/>
        <v>0.28125</v>
      </c>
      <c r="O1274" s="1" t="s">
        <v>59</v>
      </c>
      <c r="P1274" s="1" t="s">
        <v>31</v>
      </c>
      <c r="Q1274" s="1" t="s">
        <v>37</v>
      </c>
      <c r="R1274" s="1" t="s">
        <v>63</v>
      </c>
      <c r="S1274" s="1" t="s">
        <v>488</v>
      </c>
      <c r="T1274" s="15" t="s">
        <v>53</v>
      </c>
    </row>
    <row r="1275" spans="1:20" x14ac:dyDescent="0.3">
      <c r="A1275" s="14">
        <v>1274</v>
      </c>
      <c r="B1275" s="4">
        <v>44443</v>
      </c>
      <c r="C1275" s="1" t="s">
        <v>529</v>
      </c>
      <c r="D1275" s="1" t="s">
        <v>20</v>
      </c>
      <c r="E1275" s="1" t="s">
        <v>45</v>
      </c>
      <c r="F1275" s="2">
        <v>10</v>
      </c>
      <c r="G1275" s="5">
        <v>200</v>
      </c>
      <c r="H1275" s="24">
        <f t="shared" si="95"/>
        <v>2000</v>
      </c>
      <c r="I1275" s="7">
        <v>0</v>
      </c>
      <c r="J1275" s="5">
        <f t="shared" si="96"/>
        <v>0</v>
      </c>
      <c r="K1275" s="5">
        <f t="shared" si="97"/>
        <v>2000</v>
      </c>
      <c r="L1275" s="5">
        <v>160</v>
      </c>
      <c r="M1275" s="5">
        <f t="shared" si="98"/>
        <v>400</v>
      </c>
      <c r="N1275" s="7">
        <f t="shared" si="99"/>
        <v>0.2</v>
      </c>
      <c r="O1275" s="1" t="s">
        <v>41</v>
      </c>
      <c r="P1275" s="1" t="s">
        <v>31</v>
      </c>
      <c r="Q1275" s="1" t="s">
        <v>24</v>
      </c>
      <c r="R1275" s="1" t="s">
        <v>49</v>
      </c>
      <c r="S1275" s="1" t="s">
        <v>220</v>
      </c>
      <c r="T1275" s="15" t="s">
        <v>61</v>
      </c>
    </row>
    <row r="1276" spans="1:20" x14ac:dyDescent="0.3">
      <c r="A1276" s="14">
        <v>1275</v>
      </c>
      <c r="B1276" s="4">
        <v>44459</v>
      </c>
      <c r="C1276" s="1" t="s">
        <v>532</v>
      </c>
      <c r="D1276" s="1" t="s">
        <v>20</v>
      </c>
      <c r="E1276" s="1" t="s">
        <v>29</v>
      </c>
      <c r="F1276" s="2">
        <v>4</v>
      </c>
      <c r="G1276" s="5">
        <v>2060</v>
      </c>
      <c r="H1276" s="24">
        <f t="shared" si="95"/>
        <v>8240</v>
      </c>
      <c r="I1276" s="7">
        <v>0.05</v>
      </c>
      <c r="J1276" s="5">
        <f t="shared" si="96"/>
        <v>412</v>
      </c>
      <c r="K1276" s="5">
        <f t="shared" si="97"/>
        <v>7828</v>
      </c>
      <c r="L1276" s="5">
        <v>1440</v>
      </c>
      <c r="M1276" s="5">
        <f t="shared" si="98"/>
        <v>2068</v>
      </c>
      <c r="N1276" s="7">
        <f t="shared" si="99"/>
        <v>0.2641798671435871</v>
      </c>
      <c r="O1276" s="1" t="s">
        <v>54</v>
      </c>
      <c r="P1276" s="1" t="s">
        <v>31</v>
      </c>
      <c r="Q1276" s="1" t="s">
        <v>24</v>
      </c>
      <c r="R1276" s="1" t="s">
        <v>38</v>
      </c>
      <c r="S1276" s="1" t="s">
        <v>142</v>
      </c>
      <c r="T1276" s="15" t="s">
        <v>35</v>
      </c>
    </row>
    <row r="1277" spans="1:20" x14ac:dyDescent="0.3">
      <c r="A1277" s="14">
        <v>1276</v>
      </c>
      <c r="B1277" s="4">
        <v>44488</v>
      </c>
      <c r="C1277" s="1" t="s">
        <v>530</v>
      </c>
      <c r="D1277" s="1" t="s">
        <v>82</v>
      </c>
      <c r="E1277" s="1" t="s">
        <v>29</v>
      </c>
      <c r="F1277" s="2">
        <v>9</v>
      </c>
      <c r="G1277" s="5">
        <v>1970</v>
      </c>
      <c r="H1277" s="24">
        <f t="shared" si="95"/>
        <v>17730</v>
      </c>
      <c r="I1277" s="7">
        <v>0</v>
      </c>
      <c r="J1277" s="5">
        <f t="shared" si="96"/>
        <v>0</v>
      </c>
      <c r="K1277" s="5">
        <f t="shared" si="97"/>
        <v>17730</v>
      </c>
      <c r="L1277" s="5">
        <v>1520</v>
      </c>
      <c r="M1277" s="5">
        <f t="shared" si="98"/>
        <v>4050</v>
      </c>
      <c r="N1277" s="7">
        <f t="shared" si="99"/>
        <v>0.22842639593908629</v>
      </c>
      <c r="O1277" s="1" t="s">
        <v>30</v>
      </c>
      <c r="P1277" s="1" t="s">
        <v>31</v>
      </c>
      <c r="Q1277" s="1" t="s">
        <v>48</v>
      </c>
      <c r="R1277" s="1" t="s">
        <v>46</v>
      </c>
      <c r="S1277" s="1" t="s">
        <v>151</v>
      </c>
      <c r="T1277" s="15" t="s">
        <v>35</v>
      </c>
    </row>
    <row r="1278" spans="1:20" x14ac:dyDescent="0.3">
      <c r="A1278" s="14">
        <v>1277</v>
      </c>
      <c r="B1278" s="4">
        <v>44398</v>
      </c>
      <c r="C1278" s="1" t="s">
        <v>533</v>
      </c>
      <c r="D1278" s="1" t="s">
        <v>20</v>
      </c>
      <c r="E1278" s="1" t="s">
        <v>21</v>
      </c>
      <c r="F1278" s="2">
        <v>10</v>
      </c>
      <c r="G1278" s="5">
        <v>230</v>
      </c>
      <c r="H1278" s="24">
        <f t="shared" si="95"/>
        <v>2300</v>
      </c>
      <c r="I1278" s="7">
        <v>0.02</v>
      </c>
      <c r="J1278" s="5">
        <f t="shared" si="96"/>
        <v>46</v>
      </c>
      <c r="K1278" s="5">
        <f t="shared" si="97"/>
        <v>2254</v>
      </c>
      <c r="L1278" s="5">
        <v>150</v>
      </c>
      <c r="M1278" s="5">
        <f t="shared" si="98"/>
        <v>754</v>
      </c>
      <c r="N1278" s="7">
        <f t="shared" si="99"/>
        <v>0.33451641526175685</v>
      </c>
      <c r="O1278" s="1" t="s">
        <v>41</v>
      </c>
      <c r="P1278" s="1" t="s">
        <v>31</v>
      </c>
      <c r="Q1278" s="1" t="s">
        <v>32</v>
      </c>
      <c r="R1278" s="1" t="s">
        <v>49</v>
      </c>
      <c r="S1278" s="1" t="s">
        <v>296</v>
      </c>
      <c r="T1278" s="15" t="s">
        <v>35</v>
      </c>
    </row>
    <row r="1279" spans="1:20" x14ac:dyDescent="0.3">
      <c r="A1279" s="14">
        <v>1278</v>
      </c>
      <c r="B1279" s="4">
        <v>44260</v>
      </c>
      <c r="C1279" s="1" t="s">
        <v>531</v>
      </c>
      <c r="D1279" s="1" t="s">
        <v>82</v>
      </c>
      <c r="E1279" s="1" t="s">
        <v>21</v>
      </c>
      <c r="F1279" s="2">
        <v>2</v>
      </c>
      <c r="G1279" s="5">
        <v>190</v>
      </c>
      <c r="H1279" s="24">
        <f t="shared" si="95"/>
        <v>380</v>
      </c>
      <c r="I1279" s="7">
        <v>0.05</v>
      </c>
      <c r="J1279" s="5">
        <f t="shared" si="96"/>
        <v>19</v>
      </c>
      <c r="K1279" s="5">
        <f t="shared" si="97"/>
        <v>361</v>
      </c>
      <c r="L1279" s="5">
        <v>130</v>
      </c>
      <c r="M1279" s="5">
        <f t="shared" si="98"/>
        <v>101</v>
      </c>
      <c r="N1279" s="7">
        <f t="shared" si="99"/>
        <v>0.27977839335180055</v>
      </c>
      <c r="O1279" s="1" t="s">
        <v>22</v>
      </c>
      <c r="P1279" s="1" t="s">
        <v>31</v>
      </c>
      <c r="Q1279" s="1" t="s">
        <v>48</v>
      </c>
      <c r="R1279" s="1" t="s">
        <v>63</v>
      </c>
      <c r="S1279" s="1" t="s">
        <v>507</v>
      </c>
      <c r="T1279" s="15" t="s">
        <v>53</v>
      </c>
    </row>
    <row r="1280" spans="1:20" x14ac:dyDescent="0.3">
      <c r="A1280" s="14">
        <v>1279</v>
      </c>
      <c r="B1280" s="4">
        <v>44491</v>
      </c>
      <c r="C1280" s="1" t="s">
        <v>531</v>
      </c>
      <c r="D1280" s="1" t="s">
        <v>82</v>
      </c>
      <c r="E1280" s="1" t="s">
        <v>40</v>
      </c>
      <c r="F1280" s="2">
        <v>4</v>
      </c>
      <c r="G1280" s="5">
        <v>1480</v>
      </c>
      <c r="H1280" s="24">
        <f t="shared" si="95"/>
        <v>5920</v>
      </c>
      <c r="I1280" s="7">
        <v>0.02</v>
      </c>
      <c r="J1280" s="5">
        <f t="shared" si="96"/>
        <v>118.4</v>
      </c>
      <c r="K1280" s="5">
        <f t="shared" si="97"/>
        <v>5801.6</v>
      </c>
      <c r="L1280" s="5">
        <v>1160</v>
      </c>
      <c r="M1280" s="5">
        <f t="shared" si="98"/>
        <v>1161.6000000000004</v>
      </c>
      <c r="N1280" s="7">
        <f t="shared" si="99"/>
        <v>0.2002206287920574</v>
      </c>
      <c r="O1280" s="1" t="s">
        <v>30</v>
      </c>
      <c r="P1280" s="1" t="s">
        <v>31</v>
      </c>
      <c r="Q1280" s="1" t="s">
        <v>48</v>
      </c>
      <c r="R1280" s="1" t="s">
        <v>63</v>
      </c>
      <c r="S1280" s="1" t="s">
        <v>433</v>
      </c>
      <c r="T1280" s="15" t="s">
        <v>61</v>
      </c>
    </row>
    <row r="1281" spans="1:20" x14ac:dyDescent="0.3">
      <c r="A1281" s="14">
        <v>1280</v>
      </c>
      <c r="B1281" s="4">
        <v>44371</v>
      </c>
      <c r="C1281" s="1" t="s">
        <v>533</v>
      </c>
      <c r="D1281" s="1" t="s">
        <v>20</v>
      </c>
      <c r="E1281" s="1" t="s">
        <v>21</v>
      </c>
      <c r="F1281" s="2">
        <v>2</v>
      </c>
      <c r="G1281" s="5">
        <v>210</v>
      </c>
      <c r="H1281" s="24">
        <f t="shared" si="95"/>
        <v>420</v>
      </c>
      <c r="I1281" s="7">
        <v>0.02</v>
      </c>
      <c r="J1281" s="5">
        <f t="shared" si="96"/>
        <v>8.4</v>
      </c>
      <c r="K1281" s="5">
        <f t="shared" si="97"/>
        <v>411.6</v>
      </c>
      <c r="L1281" s="5">
        <v>170</v>
      </c>
      <c r="M1281" s="5">
        <f t="shared" si="98"/>
        <v>71.600000000000023</v>
      </c>
      <c r="N1281" s="7">
        <f t="shared" si="99"/>
        <v>0.17395529640427604</v>
      </c>
      <c r="O1281" s="1" t="s">
        <v>59</v>
      </c>
      <c r="P1281" s="1" t="s">
        <v>31</v>
      </c>
      <c r="Q1281" s="1" t="s">
        <v>37</v>
      </c>
      <c r="R1281" s="1" t="s">
        <v>50</v>
      </c>
      <c r="S1281" s="1" t="s">
        <v>210</v>
      </c>
      <c r="T1281" s="15" t="s">
        <v>53</v>
      </c>
    </row>
    <row r="1282" spans="1:20" x14ac:dyDescent="0.3">
      <c r="A1282" s="14">
        <v>1281</v>
      </c>
      <c r="B1282" s="4">
        <v>44254</v>
      </c>
      <c r="C1282" s="1" t="s">
        <v>531</v>
      </c>
      <c r="D1282" s="1" t="s">
        <v>80</v>
      </c>
      <c r="E1282" s="1" t="s">
        <v>40</v>
      </c>
      <c r="F1282" s="2">
        <v>1</v>
      </c>
      <c r="G1282" s="5">
        <v>1620</v>
      </c>
      <c r="H1282" s="24">
        <f t="shared" ref="H1282:H1345" si="100">F1282*G1282</f>
        <v>1620</v>
      </c>
      <c r="I1282" s="7">
        <v>0.1</v>
      </c>
      <c r="J1282" s="5">
        <f t="shared" ref="J1282:J1345" si="101">H1282*I1282</f>
        <v>162</v>
      </c>
      <c r="K1282" s="5">
        <f t="shared" ref="K1282:K1345" si="102">H1282-J1282</f>
        <v>1458</v>
      </c>
      <c r="L1282" s="5">
        <v>1130</v>
      </c>
      <c r="M1282" s="5">
        <f t="shared" ref="M1282:M1345" si="103">K1282-(F1282*L1282)</f>
        <v>328</v>
      </c>
      <c r="N1282" s="7">
        <f t="shared" ref="N1282:N1345" si="104">IFERROR(M1282/K1282,0)</f>
        <v>0.22496570644718794</v>
      </c>
      <c r="O1282" s="1" t="s">
        <v>54</v>
      </c>
      <c r="P1282" s="1" t="s">
        <v>31</v>
      </c>
      <c r="Q1282" s="1" t="s">
        <v>48</v>
      </c>
      <c r="R1282" s="1" t="s">
        <v>46</v>
      </c>
      <c r="S1282" s="1" t="s">
        <v>373</v>
      </c>
      <c r="T1282" s="15" t="s">
        <v>61</v>
      </c>
    </row>
    <row r="1283" spans="1:20" x14ac:dyDescent="0.3">
      <c r="A1283" s="14">
        <v>1282</v>
      </c>
      <c r="B1283" s="4">
        <v>44258</v>
      </c>
      <c r="C1283" s="1" t="s">
        <v>531</v>
      </c>
      <c r="D1283" s="1" t="s">
        <v>82</v>
      </c>
      <c r="E1283" s="1" t="s">
        <v>21</v>
      </c>
      <c r="F1283" s="2">
        <v>7</v>
      </c>
      <c r="G1283" s="5">
        <v>210</v>
      </c>
      <c r="H1283" s="24">
        <f t="shared" si="100"/>
        <v>1470</v>
      </c>
      <c r="I1283" s="7">
        <v>0.1</v>
      </c>
      <c r="J1283" s="5">
        <f t="shared" si="101"/>
        <v>147</v>
      </c>
      <c r="K1283" s="5">
        <f t="shared" si="102"/>
        <v>1323</v>
      </c>
      <c r="L1283" s="5">
        <v>140</v>
      </c>
      <c r="M1283" s="5">
        <f t="shared" si="103"/>
        <v>343</v>
      </c>
      <c r="N1283" s="7">
        <f t="shared" si="104"/>
        <v>0.25925925925925924</v>
      </c>
      <c r="O1283" s="1" t="s">
        <v>30</v>
      </c>
      <c r="P1283" s="1" t="s">
        <v>31</v>
      </c>
      <c r="Q1283" s="1" t="s">
        <v>37</v>
      </c>
      <c r="R1283" s="1" t="s">
        <v>38</v>
      </c>
      <c r="S1283" s="1" t="s">
        <v>366</v>
      </c>
      <c r="T1283" s="15" t="s">
        <v>53</v>
      </c>
    </row>
    <row r="1284" spans="1:20" x14ac:dyDescent="0.3">
      <c r="A1284" s="14">
        <v>1283</v>
      </c>
      <c r="B1284" s="4">
        <v>44422</v>
      </c>
      <c r="C1284" s="1" t="s">
        <v>529</v>
      </c>
      <c r="D1284" s="1" t="s">
        <v>82</v>
      </c>
      <c r="E1284" s="1" t="s">
        <v>21</v>
      </c>
      <c r="F1284" s="2">
        <v>6</v>
      </c>
      <c r="G1284" s="5">
        <v>220</v>
      </c>
      <c r="H1284" s="24">
        <f t="shared" si="100"/>
        <v>1320</v>
      </c>
      <c r="I1284" s="7">
        <v>0.05</v>
      </c>
      <c r="J1284" s="5">
        <f t="shared" si="101"/>
        <v>66</v>
      </c>
      <c r="K1284" s="5">
        <f t="shared" si="102"/>
        <v>1254</v>
      </c>
      <c r="L1284" s="5">
        <v>180</v>
      </c>
      <c r="M1284" s="5">
        <f t="shared" si="103"/>
        <v>174</v>
      </c>
      <c r="N1284" s="7">
        <f t="shared" si="104"/>
        <v>0.13875598086124402</v>
      </c>
      <c r="O1284" s="1" t="s">
        <v>54</v>
      </c>
      <c r="P1284" s="1" t="s">
        <v>31</v>
      </c>
      <c r="Q1284" s="1" t="s">
        <v>48</v>
      </c>
      <c r="R1284" s="1" t="s">
        <v>63</v>
      </c>
      <c r="S1284" s="1" t="s">
        <v>508</v>
      </c>
      <c r="T1284" s="15" t="s">
        <v>61</v>
      </c>
    </row>
    <row r="1285" spans="1:20" x14ac:dyDescent="0.3">
      <c r="A1285" s="14">
        <v>1284</v>
      </c>
      <c r="B1285" s="4">
        <v>44518</v>
      </c>
      <c r="C1285" s="1" t="s">
        <v>530</v>
      </c>
      <c r="D1285" s="1" t="s">
        <v>20</v>
      </c>
      <c r="E1285" s="1" t="s">
        <v>43</v>
      </c>
      <c r="F1285" s="2">
        <v>5</v>
      </c>
      <c r="G1285" s="5">
        <v>270</v>
      </c>
      <c r="H1285" s="24">
        <f t="shared" si="100"/>
        <v>1350</v>
      </c>
      <c r="I1285" s="7">
        <v>0</v>
      </c>
      <c r="J1285" s="5">
        <f t="shared" si="101"/>
        <v>0</v>
      </c>
      <c r="K1285" s="5">
        <f t="shared" si="102"/>
        <v>1350</v>
      </c>
      <c r="L1285" s="5">
        <v>200</v>
      </c>
      <c r="M1285" s="5">
        <f t="shared" si="103"/>
        <v>350</v>
      </c>
      <c r="N1285" s="7">
        <f t="shared" si="104"/>
        <v>0.25925925925925924</v>
      </c>
      <c r="O1285" s="1" t="s">
        <v>22</v>
      </c>
      <c r="P1285" s="1" t="s">
        <v>76</v>
      </c>
      <c r="Q1285" s="1" t="s">
        <v>24</v>
      </c>
      <c r="R1285" s="1" t="s">
        <v>50</v>
      </c>
      <c r="S1285" s="1" t="s">
        <v>265</v>
      </c>
      <c r="T1285" s="15" t="s">
        <v>27</v>
      </c>
    </row>
    <row r="1286" spans="1:20" x14ac:dyDescent="0.3">
      <c r="A1286" s="14">
        <v>1285</v>
      </c>
      <c r="B1286" s="4">
        <v>44353</v>
      </c>
      <c r="C1286" s="1" t="s">
        <v>530</v>
      </c>
      <c r="D1286" s="1" t="s">
        <v>20</v>
      </c>
      <c r="E1286" s="1" t="s">
        <v>40</v>
      </c>
      <c r="F1286" s="2">
        <v>1</v>
      </c>
      <c r="G1286" s="5">
        <v>1540</v>
      </c>
      <c r="H1286" s="24">
        <f t="shared" si="100"/>
        <v>1540</v>
      </c>
      <c r="I1286" s="7">
        <v>0</v>
      </c>
      <c r="J1286" s="5">
        <f t="shared" si="101"/>
        <v>0</v>
      </c>
      <c r="K1286" s="5">
        <f t="shared" si="102"/>
        <v>1540</v>
      </c>
      <c r="L1286" s="5">
        <v>920</v>
      </c>
      <c r="M1286" s="5">
        <f t="shared" si="103"/>
        <v>620</v>
      </c>
      <c r="N1286" s="7">
        <f t="shared" si="104"/>
        <v>0.40259740259740262</v>
      </c>
      <c r="O1286" s="1" t="s">
        <v>59</v>
      </c>
      <c r="P1286" s="1" t="s">
        <v>31</v>
      </c>
      <c r="Q1286" s="1" t="s">
        <v>48</v>
      </c>
      <c r="R1286" s="1" t="s">
        <v>25</v>
      </c>
      <c r="S1286" s="1" t="s">
        <v>225</v>
      </c>
      <c r="T1286" s="15" t="s">
        <v>27</v>
      </c>
    </row>
    <row r="1287" spans="1:20" x14ac:dyDescent="0.3">
      <c r="A1287" s="14">
        <v>1286</v>
      </c>
      <c r="B1287" s="4">
        <v>44293</v>
      </c>
      <c r="C1287" s="1" t="s">
        <v>531</v>
      </c>
      <c r="D1287" s="1" t="s">
        <v>28</v>
      </c>
      <c r="E1287" s="1" t="s">
        <v>40</v>
      </c>
      <c r="F1287" s="2">
        <v>6</v>
      </c>
      <c r="G1287" s="5">
        <v>1580</v>
      </c>
      <c r="H1287" s="24">
        <f t="shared" si="100"/>
        <v>9480</v>
      </c>
      <c r="I1287" s="7">
        <v>0</v>
      </c>
      <c r="J1287" s="5">
        <f t="shared" si="101"/>
        <v>0</v>
      </c>
      <c r="K1287" s="5">
        <f t="shared" si="102"/>
        <v>9480</v>
      </c>
      <c r="L1287" s="5">
        <v>1160</v>
      </c>
      <c r="M1287" s="5">
        <f t="shared" si="103"/>
        <v>2520</v>
      </c>
      <c r="N1287" s="7">
        <f t="shared" si="104"/>
        <v>0.26582278481012656</v>
      </c>
      <c r="O1287" s="1" t="s">
        <v>22</v>
      </c>
      <c r="P1287" s="1" t="s">
        <v>31</v>
      </c>
      <c r="Q1287" s="1" t="s">
        <v>37</v>
      </c>
      <c r="R1287" s="1" t="s">
        <v>25</v>
      </c>
      <c r="S1287" s="1" t="s">
        <v>26</v>
      </c>
      <c r="T1287" s="15" t="s">
        <v>27</v>
      </c>
    </row>
    <row r="1288" spans="1:20" x14ac:dyDescent="0.3">
      <c r="A1288" s="14">
        <v>1287</v>
      </c>
      <c r="B1288" s="4">
        <v>44469</v>
      </c>
      <c r="C1288" s="1" t="s">
        <v>531</v>
      </c>
      <c r="D1288" s="1" t="s">
        <v>28</v>
      </c>
      <c r="E1288" s="1" t="s">
        <v>45</v>
      </c>
      <c r="F1288" s="2">
        <v>7</v>
      </c>
      <c r="G1288" s="5">
        <v>200</v>
      </c>
      <c r="H1288" s="24">
        <f t="shared" si="100"/>
        <v>1400</v>
      </c>
      <c r="I1288" s="7">
        <v>0</v>
      </c>
      <c r="J1288" s="5">
        <f t="shared" si="101"/>
        <v>0</v>
      </c>
      <c r="K1288" s="5">
        <f t="shared" si="102"/>
        <v>1400</v>
      </c>
      <c r="L1288" s="5">
        <v>140</v>
      </c>
      <c r="M1288" s="5">
        <f t="shared" si="103"/>
        <v>420</v>
      </c>
      <c r="N1288" s="7">
        <f t="shared" si="104"/>
        <v>0.3</v>
      </c>
      <c r="O1288" s="1" t="s">
        <v>54</v>
      </c>
      <c r="P1288" s="1" t="s">
        <v>62</v>
      </c>
      <c r="Q1288" s="1" t="s">
        <v>24</v>
      </c>
      <c r="R1288" s="1" t="s">
        <v>38</v>
      </c>
      <c r="S1288" s="1" t="s">
        <v>208</v>
      </c>
      <c r="T1288" s="15" t="s">
        <v>27</v>
      </c>
    </row>
    <row r="1289" spans="1:20" x14ac:dyDescent="0.3">
      <c r="A1289" s="14">
        <v>1288</v>
      </c>
      <c r="B1289" s="4">
        <v>44415</v>
      </c>
      <c r="C1289" s="1" t="s">
        <v>530</v>
      </c>
      <c r="D1289" s="1" t="s">
        <v>82</v>
      </c>
      <c r="E1289" s="1" t="s">
        <v>40</v>
      </c>
      <c r="F1289" s="2">
        <v>10</v>
      </c>
      <c r="G1289" s="5">
        <v>1720</v>
      </c>
      <c r="H1289" s="24">
        <f t="shared" si="100"/>
        <v>17200</v>
      </c>
      <c r="I1289" s="7">
        <v>0.15</v>
      </c>
      <c r="J1289" s="5">
        <f t="shared" si="101"/>
        <v>2580</v>
      </c>
      <c r="K1289" s="5">
        <f t="shared" si="102"/>
        <v>14620</v>
      </c>
      <c r="L1289" s="5">
        <v>1290</v>
      </c>
      <c r="M1289" s="5">
        <f t="shared" si="103"/>
        <v>1720</v>
      </c>
      <c r="N1289" s="7">
        <f t="shared" si="104"/>
        <v>0.11764705882352941</v>
      </c>
      <c r="O1289" s="1" t="s">
        <v>41</v>
      </c>
      <c r="P1289" s="1" t="s">
        <v>31</v>
      </c>
      <c r="Q1289" s="1" t="s">
        <v>37</v>
      </c>
      <c r="R1289" s="1" t="s">
        <v>49</v>
      </c>
      <c r="S1289" s="1" t="s">
        <v>158</v>
      </c>
      <c r="T1289" s="15" t="s">
        <v>53</v>
      </c>
    </row>
    <row r="1290" spans="1:20" x14ac:dyDescent="0.3">
      <c r="A1290" s="14">
        <v>1289</v>
      </c>
      <c r="B1290" s="4">
        <v>44556</v>
      </c>
      <c r="C1290" s="1" t="s">
        <v>533</v>
      </c>
      <c r="D1290" s="1" t="s">
        <v>20</v>
      </c>
      <c r="E1290" s="1" t="s">
        <v>45</v>
      </c>
      <c r="F1290" s="2">
        <v>8</v>
      </c>
      <c r="G1290" s="5">
        <v>210</v>
      </c>
      <c r="H1290" s="24">
        <f t="shared" si="100"/>
        <v>1680</v>
      </c>
      <c r="I1290" s="7">
        <v>0.05</v>
      </c>
      <c r="J1290" s="5">
        <f t="shared" si="101"/>
        <v>84</v>
      </c>
      <c r="K1290" s="5">
        <f t="shared" si="102"/>
        <v>1596</v>
      </c>
      <c r="L1290" s="5">
        <v>150</v>
      </c>
      <c r="M1290" s="5">
        <f t="shared" si="103"/>
        <v>396</v>
      </c>
      <c r="N1290" s="7">
        <f t="shared" si="104"/>
        <v>0.24812030075187969</v>
      </c>
      <c r="O1290" s="1" t="s">
        <v>54</v>
      </c>
      <c r="P1290" s="1" t="s">
        <v>31</v>
      </c>
      <c r="Q1290" s="1" t="s">
        <v>37</v>
      </c>
      <c r="R1290" s="1" t="s">
        <v>56</v>
      </c>
      <c r="S1290" s="1" t="s">
        <v>72</v>
      </c>
      <c r="T1290" s="15" t="s">
        <v>35</v>
      </c>
    </row>
    <row r="1291" spans="1:20" x14ac:dyDescent="0.3">
      <c r="A1291" s="14">
        <v>1290</v>
      </c>
      <c r="B1291" s="4">
        <v>44491</v>
      </c>
      <c r="C1291" s="1" t="s">
        <v>530</v>
      </c>
      <c r="D1291" s="1" t="s">
        <v>20</v>
      </c>
      <c r="E1291" s="1" t="s">
        <v>43</v>
      </c>
      <c r="F1291" s="2">
        <v>2</v>
      </c>
      <c r="G1291" s="5">
        <v>280</v>
      </c>
      <c r="H1291" s="24">
        <f t="shared" si="100"/>
        <v>560</v>
      </c>
      <c r="I1291" s="7">
        <v>0</v>
      </c>
      <c r="J1291" s="5">
        <f t="shared" si="101"/>
        <v>0</v>
      </c>
      <c r="K1291" s="5">
        <f t="shared" si="102"/>
        <v>560</v>
      </c>
      <c r="L1291" s="5">
        <v>200</v>
      </c>
      <c r="M1291" s="5">
        <f t="shared" si="103"/>
        <v>160</v>
      </c>
      <c r="N1291" s="7">
        <f t="shared" si="104"/>
        <v>0.2857142857142857</v>
      </c>
      <c r="O1291" s="1" t="s">
        <v>22</v>
      </c>
      <c r="P1291" s="1" t="s">
        <v>31</v>
      </c>
      <c r="Q1291" s="1" t="s">
        <v>32</v>
      </c>
      <c r="R1291" s="1" t="s">
        <v>46</v>
      </c>
      <c r="S1291" s="1" t="s">
        <v>467</v>
      </c>
      <c r="T1291" s="15" t="s">
        <v>35</v>
      </c>
    </row>
    <row r="1292" spans="1:20" x14ac:dyDescent="0.3">
      <c r="A1292" s="14">
        <v>1291</v>
      </c>
      <c r="B1292" s="4">
        <v>44302</v>
      </c>
      <c r="C1292" s="1" t="s">
        <v>533</v>
      </c>
      <c r="D1292" s="1" t="s">
        <v>20</v>
      </c>
      <c r="E1292" s="1" t="s">
        <v>43</v>
      </c>
      <c r="F1292" s="2">
        <v>4</v>
      </c>
      <c r="G1292" s="5">
        <v>300</v>
      </c>
      <c r="H1292" s="24">
        <f t="shared" si="100"/>
        <v>1200</v>
      </c>
      <c r="I1292" s="7">
        <v>0</v>
      </c>
      <c r="J1292" s="5">
        <f t="shared" si="101"/>
        <v>0</v>
      </c>
      <c r="K1292" s="5">
        <f t="shared" si="102"/>
        <v>1200</v>
      </c>
      <c r="L1292" s="5">
        <v>230</v>
      </c>
      <c r="M1292" s="5">
        <f t="shared" si="103"/>
        <v>280</v>
      </c>
      <c r="N1292" s="7">
        <f t="shared" si="104"/>
        <v>0.23333333333333334</v>
      </c>
      <c r="O1292" s="1" t="s">
        <v>30</v>
      </c>
      <c r="P1292" s="1" t="s">
        <v>31</v>
      </c>
      <c r="Q1292" s="1" t="s">
        <v>32</v>
      </c>
      <c r="R1292" s="1" t="s">
        <v>63</v>
      </c>
      <c r="S1292" s="1" t="s">
        <v>78</v>
      </c>
      <c r="T1292" s="15" t="s">
        <v>61</v>
      </c>
    </row>
    <row r="1293" spans="1:20" x14ac:dyDescent="0.3">
      <c r="A1293" s="14">
        <v>1292</v>
      </c>
      <c r="B1293" s="4">
        <v>44214</v>
      </c>
      <c r="C1293" s="1" t="s">
        <v>531</v>
      </c>
      <c r="D1293" s="1" t="s">
        <v>80</v>
      </c>
      <c r="E1293" s="1" t="s">
        <v>21</v>
      </c>
      <c r="F1293" s="2">
        <v>2</v>
      </c>
      <c r="G1293" s="5">
        <v>210</v>
      </c>
      <c r="H1293" s="24">
        <f t="shared" si="100"/>
        <v>420</v>
      </c>
      <c r="I1293" s="7">
        <v>0</v>
      </c>
      <c r="J1293" s="5">
        <f t="shared" si="101"/>
        <v>0</v>
      </c>
      <c r="K1293" s="5">
        <f t="shared" si="102"/>
        <v>420</v>
      </c>
      <c r="L1293" s="5">
        <v>140</v>
      </c>
      <c r="M1293" s="5">
        <f t="shared" si="103"/>
        <v>140</v>
      </c>
      <c r="N1293" s="7">
        <f t="shared" si="104"/>
        <v>0.33333333333333331</v>
      </c>
      <c r="O1293" s="1" t="s">
        <v>22</v>
      </c>
      <c r="P1293" s="1" t="s">
        <v>76</v>
      </c>
      <c r="Q1293" s="1" t="s">
        <v>48</v>
      </c>
      <c r="R1293" s="1" t="s">
        <v>66</v>
      </c>
      <c r="S1293" s="1" t="s">
        <v>414</v>
      </c>
      <c r="T1293" s="15" t="s">
        <v>61</v>
      </c>
    </row>
    <row r="1294" spans="1:20" x14ac:dyDescent="0.3">
      <c r="A1294" s="14">
        <v>1293</v>
      </c>
      <c r="B1294" s="4">
        <v>44292</v>
      </c>
      <c r="C1294" s="1" t="s">
        <v>531</v>
      </c>
      <c r="D1294" s="1" t="s">
        <v>20</v>
      </c>
      <c r="E1294" s="1" t="s">
        <v>43</v>
      </c>
      <c r="F1294" s="2">
        <v>3</v>
      </c>
      <c r="G1294" s="5">
        <v>280</v>
      </c>
      <c r="H1294" s="24">
        <f t="shared" si="100"/>
        <v>840</v>
      </c>
      <c r="I1294" s="7">
        <v>0</v>
      </c>
      <c r="J1294" s="5">
        <f t="shared" si="101"/>
        <v>0</v>
      </c>
      <c r="K1294" s="5">
        <f t="shared" si="102"/>
        <v>840</v>
      </c>
      <c r="L1294" s="5">
        <v>200</v>
      </c>
      <c r="M1294" s="5">
        <f t="shared" si="103"/>
        <v>240</v>
      </c>
      <c r="N1294" s="7">
        <f t="shared" si="104"/>
        <v>0.2857142857142857</v>
      </c>
      <c r="O1294" s="1" t="s">
        <v>41</v>
      </c>
      <c r="P1294" s="1" t="s">
        <v>31</v>
      </c>
      <c r="Q1294" s="1" t="s">
        <v>24</v>
      </c>
      <c r="R1294" s="1" t="s">
        <v>56</v>
      </c>
      <c r="S1294" s="1" t="s">
        <v>490</v>
      </c>
      <c r="T1294" s="15" t="s">
        <v>27</v>
      </c>
    </row>
    <row r="1295" spans="1:20" x14ac:dyDescent="0.3">
      <c r="A1295" s="14">
        <v>1294</v>
      </c>
      <c r="B1295" s="4">
        <v>44553</v>
      </c>
      <c r="C1295" s="1" t="s">
        <v>532</v>
      </c>
      <c r="D1295" s="1" t="s">
        <v>20</v>
      </c>
      <c r="E1295" s="1" t="s">
        <v>40</v>
      </c>
      <c r="F1295" s="2">
        <v>7</v>
      </c>
      <c r="G1295" s="5">
        <v>1450</v>
      </c>
      <c r="H1295" s="24">
        <f t="shared" si="100"/>
        <v>10150</v>
      </c>
      <c r="I1295" s="7">
        <v>0</v>
      </c>
      <c r="J1295" s="5">
        <f t="shared" si="101"/>
        <v>0</v>
      </c>
      <c r="K1295" s="5">
        <f t="shared" si="102"/>
        <v>10150</v>
      </c>
      <c r="L1295" s="5">
        <v>860</v>
      </c>
      <c r="M1295" s="5">
        <f t="shared" si="103"/>
        <v>4130</v>
      </c>
      <c r="N1295" s="7">
        <f t="shared" si="104"/>
        <v>0.40689655172413791</v>
      </c>
      <c r="O1295" s="1" t="s">
        <v>41</v>
      </c>
      <c r="P1295" s="1" t="s">
        <v>31</v>
      </c>
      <c r="Q1295" s="1" t="s">
        <v>48</v>
      </c>
      <c r="R1295" s="1" t="s">
        <v>49</v>
      </c>
      <c r="S1295" s="1" t="s">
        <v>509</v>
      </c>
      <c r="T1295" s="15" t="s">
        <v>53</v>
      </c>
    </row>
    <row r="1296" spans="1:20" x14ac:dyDescent="0.3">
      <c r="A1296" s="14">
        <v>1295</v>
      </c>
      <c r="B1296" s="4">
        <v>44239</v>
      </c>
      <c r="C1296" s="1" t="s">
        <v>529</v>
      </c>
      <c r="D1296" s="1" t="s">
        <v>80</v>
      </c>
      <c r="E1296" s="1" t="s">
        <v>29</v>
      </c>
      <c r="F1296" s="2">
        <v>8</v>
      </c>
      <c r="G1296" s="5">
        <v>2010</v>
      </c>
      <c r="H1296" s="24">
        <f t="shared" si="100"/>
        <v>16080</v>
      </c>
      <c r="I1296" s="7">
        <v>0</v>
      </c>
      <c r="J1296" s="5">
        <f t="shared" si="101"/>
        <v>0</v>
      </c>
      <c r="K1296" s="5">
        <f t="shared" si="102"/>
        <v>16080</v>
      </c>
      <c r="L1296" s="5">
        <v>1390</v>
      </c>
      <c r="M1296" s="5">
        <f t="shared" si="103"/>
        <v>4960</v>
      </c>
      <c r="N1296" s="7">
        <f t="shared" si="104"/>
        <v>0.30845771144278605</v>
      </c>
      <c r="O1296" s="1" t="s">
        <v>59</v>
      </c>
      <c r="P1296" s="1" t="s">
        <v>31</v>
      </c>
      <c r="Q1296" s="1" t="s">
        <v>48</v>
      </c>
      <c r="R1296" s="1" t="s">
        <v>56</v>
      </c>
      <c r="S1296" s="1" t="s">
        <v>26</v>
      </c>
      <c r="T1296" s="15" t="s">
        <v>53</v>
      </c>
    </row>
    <row r="1297" spans="1:20" x14ac:dyDescent="0.3">
      <c r="A1297" s="14">
        <v>1296</v>
      </c>
      <c r="B1297" s="4">
        <v>44221</v>
      </c>
      <c r="C1297" s="1" t="s">
        <v>529</v>
      </c>
      <c r="D1297" s="1" t="s">
        <v>82</v>
      </c>
      <c r="E1297" s="1" t="s">
        <v>45</v>
      </c>
      <c r="F1297" s="2">
        <v>7</v>
      </c>
      <c r="G1297" s="5">
        <v>200</v>
      </c>
      <c r="H1297" s="24">
        <f t="shared" si="100"/>
        <v>1400</v>
      </c>
      <c r="I1297" s="7">
        <v>0</v>
      </c>
      <c r="J1297" s="5">
        <f t="shared" si="101"/>
        <v>0</v>
      </c>
      <c r="K1297" s="5">
        <f t="shared" si="102"/>
        <v>1400</v>
      </c>
      <c r="L1297" s="5">
        <v>120</v>
      </c>
      <c r="M1297" s="5">
        <f t="shared" si="103"/>
        <v>560</v>
      </c>
      <c r="N1297" s="7">
        <f t="shared" si="104"/>
        <v>0.4</v>
      </c>
      <c r="O1297" s="1" t="s">
        <v>59</v>
      </c>
      <c r="P1297" s="1" t="s">
        <v>62</v>
      </c>
      <c r="Q1297" s="1" t="s">
        <v>24</v>
      </c>
      <c r="R1297" s="1" t="s">
        <v>33</v>
      </c>
      <c r="S1297" s="1" t="s">
        <v>420</v>
      </c>
      <c r="T1297" s="15" t="s">
        <v>53</v>
      </c>
    </row>
    <row r="1298" spans="1:20" x14ac:dyDescent="0.3">
      <c r="A1298" s="14">
        <v>1297</v>
      </c>
      <c r="B1298" s="4">
        <v>44280</v>
      </c>
      <c r="C1298" s="1" t="s">
        <v>530</v>
      </c>
      <c r="D1298" s="1" t="s">
        <v>20</v>
      </c>
      <c r="E1298" s="1" t="s">
        <v>40</v>
      </c>
      <c r="F1298" s="2">
        <v>1</v>
      </c>
      <c r="G1298" s="5">
        <v>1370</v>
      </c>
      <c r="H1298" s="24">
        <f t="shared" si="100"/>
        <v>1370</v>
      </c>
      <c r="I1298" s="7">
        <v>0</v>
      </c>
      <c r="J1298" s="5">
        <f t="shared" si="101"/>
        <v>0</v>
      </c>
      <c r="K1298" s="5">
        <f t="shared" si="102"/>
        <v>1370</v>
      </c>
      <c r="L1298" s="5">
        <v>850</v>
      </c>
      <c r="M1298" s="5">
        <f t="shared" si="103"/>
        <v>520</v>
      </c>
      <c r="N1298" s="7">
        <f t="shared" si="104"/>
        <v>0.37956204379562042</v>
      </c>
      <c r="O1298" s="1" t="s">
        <v>54</v>
      </c>
      <c r="P1298" s="1" t="s">
        <v>31</v>
      </c>
      <c r="Q1298" s="1" t="s">
        <v>32</v>
      </c>
      <c r="R1298" s="1" t="s">
        <v>49</v>
      </c>
      <c r="S1298" s="1" t="s">
        <v>216</v>
      </c>
      <c r="T1298" s="15" t="s">
        <v>53</v>
      </c>
    </row>
    <row r="1299" spans="1:20" x14ac:dyDescent="0.3">
      <c r="A1299" s="14">
        <v>1298</v>
      </c>
      <c r="B1299" s="4">
        <v>44471</v>
      </c>
      <c r="C1299" s="1" t="s">
        <v>529</v>
      </c>
      <c r="D1299" s="1" t="s">
        <v>28</v>
      </c>
      <c r="E1299" s="1" t="s">
        <v>29</v>
      </c>
      <c r="F1299" s="2">
        <v>12</v>
      </c>
      <c r="G1299" s="5">
        <v>1980</v>
      </c>
      <c r="H1299" s="24">
        <f t="shared" si="100"/>
        <v>23760</v>
      </c>
      <c r="I1299" s="7">
        <v>0</v>
      </c>
      <c r="J1299" s="5">
        <f t="shared" si="101"/>
        <v>0</v>
      </c>
      <c r="K1299" s="5">
        <f t="shared" si="102"/>
        <v>23760</v>
      </c>
      <c r="L1299" s="5">
        <v>1530</v>
      </c>
      <c r="M1299" s="5">
        <f t="shared" si="103"/>
        <v>5400</v>
      </c>
      <c r="N1299" s="7">
        <f t="shared" si="104"/>
        <v>0.22727272727272727</v>
      </c>
      <c r="O1299" s="1" t="s">
        <v>54</v>
      </c>
      <c r="P1299" s="1" t="s">
        <v>31</v>
      </c>
      <c r="Q1299" s="1" t="s">
        <v>37</v>
      </c>
      <c r="R1299" s="1" t="s">
        <v>33</v>
      </c>
      <c r="S1299" s="1" t="s">
        <v>73</v>
      </c>
      <c r="T1299" s="15" t="s">
        <v>53</v>
      </c>
    </row>
    <row r="1300" spans="1:20" x14ac:dyDescent="0.3">
      <c r="A1300" s="14">
        <v>1299</v>
      </c>
      <c r="B1300" s="4">
        <v>44266</v>
      </c>
      <c r="C1300" s="1" t="s">
        <v>531</v>
      </c>
      <c r="D1300" s="1" t="s">
        <v>82</v>
      </c>
      <c r="E1300" s="1" t="s">
        <v>43</v>
      </c>
      <c r="F1300" s="2">
        <v>4</v>
      </c>
      <c r="G1300" s="5">
        <v>300</v>
      </c>
      <c r="H1300" s="24">
        <f t="shared" si="100"/>
        <v>1200</v>
      </c>
      <c r="I1300" s="7">
        <v>0</v>
      </c>
      <c r="J1300" s="5">
        <f t="shared" si="101"/>
        <v>0</v>
      </c>
      <c r="K1300" s="5">
        <f t="shared" si="102"/>
        <v>1200</v>
      </c>
      <c r="L1300" s="5">
        <v>180</v>
      </c>
      <c r="M1300" s="5">
        <f t="shared" si="103"/>
        <v>480</v>
      </c>
      <c r="N1300" s="7">
        <f t="shared" si="104"/>
        <v>0.4</v>
      </c>
      <c r="O1300" s="1" t="s">
        <v>59</v>
      </c>
      <c r="P1300" s="1" t="s">
        <v>31</v>
      </c>
      <c r="Q1300" s="1" t="s">
        <v>32</v>
      </c>
      <c r="R1300" s="1" t="s">
        <v>56</v>
      </c>
      <c r="S1300" s="1" t="s">
        <v>265</v>
      </c>
      <c r="T1300" s="15" t="s">
        <v>35</v>
      </c>
    </row>
    <row r="1301" spans="1:20" x14ac:dyDescent="0.3">
      <c r="A1301" s="14">
        <v>1300</v>
      </c>
      <c r="B1301" s="4">
        <v>44405</v>
      </c>
      <c r="C1301" s="1" t="s">
        <v>534</v>
      </c>
      <c r="D1301" s="1" t="s">
        <v>82</v>
      </c>
      <c r="E1301" s="1" t="s">
        <v>21</v>
      </c>
      <c r="F1301" s="2">
        <v>4</v>
      </c>
      <c r="G1301" s="5">
        <v>220</v>
      </c>
      <c r="H1301" s="24">
        <f t="shared" si="100"/>
        <v>880</v>
      </c>
      <c r="I1301" s="7">
        <v>0.05</v>
      </c>
      <c r="J1301" s="5">
        <f t="shared" si="101"/>
        <v>44</v>
      </c>
      <c r="K1301" s="5">
        <f t="shared" si="102"/>
        <v>836</v>
      </c>
      <c r="L1301" s="5">
        <v>140</v>
      </c>
      <c r="M1301" s="5">
        <f t="shared" si="103"/>
        <v>276</v>
      </c>
      <c r="N1301" s="7">
        <f t="shared" si="104"/>
        <v>0.33014354066985646</v>
      </c>
      <c r="O1301" s="1" t="s">
        <v>59</v>
      </c>
      <c r="P1301" s="1" t="s">
        <v>31</v>
      </c>
      <c r="Q1301" s="1" t="s">
        <v>32</v>
      </c>
      <c r="R1301" s="1" t="s">
        <v>66</v>
      </c>
      <c r="S1301" s="1" t="s">
        <v>261</v>
      </c>
      <c r="T1301" s="15" t="s">
        <v>61</v>
      </c>
    </row>
    <row r="1302" spans="1:20" x14ac:dyDescent="0.3">
      <c r="A1302" s="14">
        <v>1301</v>
      </c>
      <c r="B1302" s="4">
        <v>44394</v>
      </c>
      <c r="C1302" s="1" t="s">
        <v>529</v>
      </c>
      <c r="D1302" s="1" t="s">
        <v>20</v>
      </c>
      <c r="E1302" s="1" t="s">
        <v>43</v>
      </c>
      <c r="F1302" s="2">
        <v>10</v>
      </c>
      <c r="G1302" s="5">
        <v>320</v>
      </c>
      <c r="H1302" s="24">
        <f t="shared" si="100"/>
        <v>3200</v>
      </c>
      <c r="I1302" s="7">
        <v>0.15</v>
      </c>
      <c r="J1302" s="5">
        <f t="shared" si="101"/>
        <v>480</v>
      </c>
      <c r="K1302" s="5">
        <f t="shared" si="102"/>
        <v>2720</v>
      </c>
      <c r="L1302" s="5">
        <v>220</v>
      </c>
      <c r="M1302" s="5">
        <f t="shared" si="103"/>
        <v>520</v>
      </c>
      <c r="N1302" s="7">
        <f t="shared" si="104"/>
        <v>0.19117647058823528</v>
      </c>
      <c r="O1302" s="1" t="s">
        <v>59</v>
      </c>
      <c r="P1302" s="1" t="s">
        <v>31</v>
      </c>
      <c r="Q1302" s="1" t="s">
        <v>37</v>
      </c>
      <c r="R1302" s="1" t="s">
        <v>63</v>
      </c>
      <c r="S1302" s="1" t="s">
        <v>489</v>
      </c>
      <c r="T1302" s="15" t="s">
        <v>27</v>
      </c>
    </row>
    <row r="1303" spans="1:20" x14ac:dyDescent="0.3">
      <c r="A1303" s="14">
        <v>1302</v>
      </c>
      <c r="B1303" s="4">
        <v>44272</v>
      </c>
      <c r="C1303" s="1" t="s">
        <v>534</v>
      </c>
      <c r="D1303" s="1" t="s">
        <v>20</v>
      </c>
      <c r="E1303" s="1" t="s">
        <v>21</v>
      </c>
      <c r="F1303" s="2">
        <v>4</v>
      </c>
      <c r="G1303" s="5">
        <v>230</v>
      </c>
      <c r="H1303" s="24">
        <f t="shared" si="100"/>
        <v>920</v>
      </c>
      <c r="I1303" s="7">
        <v>0</v>
      </c>
      <c r="J1303" s="5">
        <f t="shared" si="101"/>
        <v>0</v>
      </c>
      <c r="K1303" s="5">
        <f t="shared" si="102"/>
        <v>920</v>
      </c>
      <c r="L1303" s="5">
        <v>170</v>
      </c>
      <c r="M1303" s="5">
        <f t="shared" si="103"/>
        <v>240</v>
      </c>
      <c r="N1303" s="7">
        <f t="shared" si="104"/>
        <v>0.2608695652173913</v>
      </c>
      <c r="O1303" s="1" t="s">
        <v>30</v>
      </c>
      <c r="P1303" s="1" t="s">
        <v>31</v>
      </c>
      <c r="Q1303" s="1" t="s">
        <v>48</v>
      </c>
      <c r="R1303" s="1" t="s">
        <v>63</v>
      </c>
      <c r="S1303" s="1" t="s">
        <v>299</v>
      </c>
      <c r="T1303" s="15" t="s">
        <v>53</v>
      </c>
    </row>
    <row r="1304" spans="1:20" x14ac:dyDescent="0.3">
      <c r="A1304" s="14">
        <v>1303</v>
      </c>
      <c r="B1304" s="4">
        <v>44390</v>
      </c>
      <c r="C1304" s="1" t="s">
        <v>531</v>
      </c>
      <c r="D1304" s="1" t="s">
        <v>20</v>
      </c>
      <c r="E1304" s="1" t="s">
        <v>21</v>
      </c>
      <c r="F1304" s="2">
        <v>5</v>
      </c>
      <c r="G1304" s="5">
        <v>240</v>
      </c>
      <c r="H1304" s="24">
        <f t="shared" si="100"/>
        <v>1200</v>
      </c>
      <c r="I1304" s="7">
        <v>0.05</v>
      </c>
      <c r="J1304" s="5">
        <f t="shared" si="101"/>
        <v>60</v>
      </c>
      <c r="K1304" s="5">
        <f t="shared" si="102"/>
        <v>1140</v>
      </c>
      <c r="L1304" s="5">
        <v>170</v>
      </c>
      <c r="M1304" s="5">
        <f t="shared" si="103"/>
        <v>290</v>
      </c>
      <c r="N1304" s="7">
        <f t="shared" si="104"/>
        <v>0.25438596491228072</v>
      </c>
      <c r="O1304" s="1" t="s">
        <v>30</v>
      </c>
      <c r="P1304" s="1" t="s">
        <v>31</v>
      </c>
      <c r="Q1304" s="1" t="s">
        <v>48</v>
      </c>
      <c r="R1304" s="1" t="s">
        <v>46</v>
      </c>
      <c r="S1304" s="1" t="s">
        <v>71</v>
      </c>
      <c r="T1304" s="15" t="s">
        <v>53</v>
      </c>
    </row>
    <row r="1305" spans="1:20" x14ac:dyDescent="0.3">
      <c r="A1305" s="14">
        <v>1304</v>
      </c>
      <c r="B1305" s="4">
        <v>44201</v>
      </c>
      <c r="C1305" s="1" t="s">
        <v>529</v>
      </c>
      <c r="D1305" s="1" t="s">
        <v>20</v>
      </c>
      <c r="E1305" s="1" t="s">
        <v>45</v>
      </c>
      <c r="F1305" s="2">
        <v>2</v>
      </c>
      <c r="G1305" s="5">
        <v>200</v>
      </c>
      <c r="H1305" s="24">
        <f t="shared" si="100"/>
        <v>400</v>
      </c>
      <c r="I1305" s="7">
        <v>0</v>
      </c>
      <c r="J1305" s="5">
        <f t="shared" si="101"/>
        <v>0</v>
      </c>
      <c r="K1305" s="5">
        <f t="shared" si="102"/>
        <v>400</v>
      </c>
      <c r="L1305" s="5">
        <v>160</v>
      </c>
      <c r="M1305" s="5">
        <f t="shared" si="103"/>
        <v>80</v>
      </c>
      <c r="N1305" s="7">
        <f t="shared" si="104"/>
        <v>0.2</v>
      </c>
      <c r="O1305" s="1" t="s">
        <v>54</v>
      </c>
      <c r="P1305" s="1" t="s">
        <v>31</v>
      </c>
      <c r="Q1305" s="1" t="s">
        <v>24</v>
      </c>
      <c r="R1305" s="1" t="s">
        <v>88</v>
      </c>
      <c r="S1305" s="1" t="s">
        <v>111</v>
      </c>
      <c r="T1305" s="15" t="s">
        <v>53</v>
      </c>
    </row>
    <row r="1306" spans="1:20" x14ac:dyDescent="0.3">
      <c r="A1306" s="14">
        <v>1305</v>
      </c>
      <c r="B1306" s="4">
        <v>44374</v>
      </c>
      <c r="C1306" s="1" t="s">
        <v>532</v>
      </c>
      <c r="D1306" s="1" t="s">
        <v>20</v>
      </c>
      <c r="E1306" s="1" t="s">
        <v>36</v>
      </c>
      <c r="F1306" s="2">
        <v>10</v>
      </c>
      <c r="G1306" s="5">
        <v>1190</v>
      </c>
      <c r="H1306" s="24">
        <f t="shared" si="100"/>
        <v>11900</v>
      </c>
      <c r="I1306" s="7">
        <v>0.05</v>
      </c>
      <c r="J1306" s="5">
        <f t="shared" si="101"/>
        <v>595</v>
      </c>
      <c r="K1306" s="5">
        <f t="shared" si="102"/>
        <v>11305</v>
      </c>
      <c r="L1306" s="5">
        <v>820</v>
      </c>
      <c r="M1306" s="5">
        <f t="shared" si="103"/>
        <v>3105</v>
      </c>
      <c r="N1306" s="7">
        <f t="shared" si="104"/>
        <v>0.27465723131357805</v>
      </c>
      <c r="O1306" s="1" t="s">
        <v>41</v>
      </c>
      <c r="P1306" s="1" t="s">
        <v>31</v>
      </c>
      <c r="Q1306" s="1" t="s">
        <v>32</v>
      </c>
      <c r="R1306" s="1" t="s">
        <v>88</v>
      </c>
      <c r="S1306" s="1" t="s">
        <v>506</v>
      </c>
      <c r="T1306" s="15" t="s">
        <v>35</v>
      </c>
    </row>
    <row r="1307" spans="1:20" x14ac:dyDescent="0.3">
      <c r="A1307" s="14">
        <v>1306</v>
      </c>
      <c r="B1307" s="4">
        <v>44205</v>
      </c>
      <c r="C1307" s="1" t="s">
        <v>534</v>
      </c>
      <c r="D1307" s="1" t="s">
        <v>82</v>
      </c>
      <c r="E1307" s="1" t="s">
        <v>40</v>
      </c>
      <c r="F1307" s="2">
        <v>10</v>
      </c>
      <c r="G1307" s="5">
        <v>1570</v>
      </c>
      <c r="H1307" s="24">
        <f t="shared" si="100"/>
        <v>15700</v>
      </c>
      <c r="I1307" s="7">
        <v>0</v>
      </c>
      <c r="J1307" s="5">
        <f t="shared" si="101"/>
        <v>0</v>
      </c>
      <c r="K1307" s="5">
        <f t="shared" si="102"/>
        <v>15700</v>
      </c>
      <c r="L1307" s="5">
        <v>1160</v>
      </c>
      <c r="M1307" s="5">
        <f t="shared" si="103"/>
        <v>4100</v>
      </c>
      <c r="N1307" s="7">
        <f t="shared" si="104"/>
        <v>0.26114649681528662</v>
      </c>
      <c r="O1307" s="1" t="s">
        <v>41</v>
      </c>
      <c r="P1307" s="1" t="s">
        <v>31</v>
      </c>
      <c r="Q1307" s="1" t="s">
        <v>37</v>
      </c>
      <c r="R1307" s="1" t="s">
        <v>33</v>
      </c>
      <c r="S1307" s="1" t="s">
        <v>262</v>
      </c>
      <c r="T1307" s="15" t="s">
        <v>35</v>
      </c>
    </row>
    <row r="1308" spans="1:20" x14ac:dyDescent="0.3">
      <c r="A1308" s="14">
        <v>1307</v>
      </c>
      <c r="B1308" s="4">
        <v>44278</v>
      </c>
      <c r="C1308" s="1" t="s">
        <v>529</v>
      </c>
      <c r="D1308" s="1" t="s">
        <v>82</v>
      </c>
      <c r="E1308" s="1" t="s">
        <v>40</v>
      </c>
      <c r="F1308" s="2">
        <v>9</v>
      </c>
      <c r="G1308" s="5">
        <v>1640</v>
      </c>
      <c r="H1308" s="24">
        <f t="shared" si="100"/>
        <v>14760</v>
      </c>
      <c r="I1308" s="7">
        <v>0.02</v>
      </c>
      <c r="J1308" s="5">
        <f t="shared" si="101"/>
        <v>295.2</v>
      </c>
      <c r="K1308" s="5">
        <f t="shared" si="102"/>
        <v>14464.8</v>
      </c>
      <c r="L1308" s="5">
        <v>1110</v>
      </c>
      <c r="M1308" s="5">
        <f t="shared" si="103"/>
        <v>4474.7999999999993</v>
      </c>
      <c r="N1308" s="7">
        <f t="shared" si="104"/>
        <v>0.30935788949726228</v>
      </c>
      <c r="O1308" s="1" t="s">
        <v>30</v>
      </c>
      <c r="P1308" s="1" t="s">
        <v>62</v>
      </c>
      <c r="Q1308" s="1" t="s">
        <v>32</v>
      </c>
      <c r="R1308" s="1" t="s">
        <v>46</v>
      </c>
      <c r="S1308" s="1" t="s">
        <v>488</v>
      </c>
      <c r="T1308" s="15" t="s">
        <v>61</v>
      </c>
    </row>
    <row r="1309" spans="1:20" x14ac:dyDescent="0.3">
      <c r="A1309" s="14">
        <v>1308</v>
      </c>
      <c r="B1309" s="4">
        <v>44285</v>
      </c>
      <c r="C1309" s="1" t="s">
        <v>533</v>
      </c>
      <c r="D1309" s="1" t="s">
        <v>28</v>
      </c>
      <c r="E1309" s="1" t="s">
        <v>43</v>
      </c>
      <c r="F1309" s="2">
        <v>8</v>
      </c>
      <c r="G1309" s="5">
        <v>340</v>
      </c>
      <c r="H1309" s="24">
        <f t="shared" si="100"/>
        <v>2720</v>
      </c>
      <c r="I1309" s="7">
        <v>0.1</v>
      </c>
      <c r="J1309" s="5">
        <f t="shared" si="101"/>
        <v>272</v>
      </c>
      <c r="K1309" s="5">
        <f t="shared" si="102"/>
        <v>2448</v>
      </c>
      <c r="L1309" s="5">
        <v>240</v>
      </c>
      <c r="M1309" s="5">
        <f t="shared" si="103"/>
        <v>528</v>
      </c>
      <c r="N1309" s="7">
        <f t="shared" si="104"/>
        <v>0.21568627450980393</v>
      </c>
      <c r="O1309" s="1" t="s">
        <v>59</v>
      </c>
      <c r="P1309" s="1" t="s">
        <v>23</v>
      </c>
      <c r="Q1309" s="1" t="s">
        <v>48</v>
      </c>
      <c r="R1309" s="1" t="s">
        <v>38</v>
      </c>
      <c r="S1309" s="1" t="s">
        <v>168</v>
      </c>
      <c r="T1309" s="15" t="s">
        <v>27</v>
      </c>
    </row>
    <row r="1310" spans="1:20" x14ac:dyDescent="0.3">
      <c r="A1310" s="14">
        <v>1309</v>
      </c>
      <c r="B1310" s="4">
        <v>44394</v>
      </c>
      <c r="C1310" s="1" t="s">
        <v>532</v>
      </c>
      <c r="D1310" s="1" t="s">
        <v>20</v>
      </c>
      <c r="E1310" s="1" t="s">
        <v>29</v>
      </c>
      <c r="F1310" s="2">
        <v>3</v>
      </c>
      <c r="G1310" s="5">
        <v>2160</v>
      </c>
      <c r="H1310" s="24">
        <f t="shared" si="100"/>
        <v>6480</v>
      </c>
      <c r="I1310" s="7">
        <v>0.05</v>
      </c>
      <c r="J1310" s="5">
        <f t="shared" si="101"/>
        <v>324</v>
      </c>
      <c r="K1310" s="5">
        <f t="shared" si="102"/>
        <v>6156</v>
      </c>
      <c r="L1310" s="5">
        <v>1740</v>
      </c>
      <c r="M1310" s="5">
        <f t="shared" si="103"/>
        <v>936</v>
      </c>
      <c r="N1310" s="7">
        <f t="shared" si="104"/>
        <v>0.15204678362573099</v>
      </c>
      <c r="O1310" s="1" t="s">
        <v>54</v>
      </c>
      <c r="P1310" s="1" t="s">
        <v>31</v>
      </c>
      <c r="Q1310" s="1" t="s">
        <v>32</v>
      </c>
      <c r="R1310" s="1" t="s">
        <v>66</v>
      </c>
      <c r="S1310" s="1" t="s">
        <v>228</v>
      </c>
      <c r="T1310" s="15" t="s">
        <v>53</v>
      </c>
    </row>
    <row r="1311" spans="1:20" x14ac:dyDescent="0.3">
      <c r="A1311" s="14">
        <v>1310</v>
      </c>
      <c r="B1311" s="4">
        <v>44340</v>
      </c>
      <c r="C1311" s="1" t="s">
        <v>530</v>
      </c>
      <c r="D1311" s="1" t="s">
        <v>20</v>
      </c>
      <c r="E1311" s="1" t="s">
        <v>21</v>
      </c>
      <c r="F1311" s="2">
        <v>9</v>
      </c>
      <c r="G1311" s="5">
        <v>220</v>
      </c>
      <c r="H1311" s="24">
        <f t="shared" si="100"/>
        <v>1980</v>
      </c>
      <c r="I1311" s="7">
        <v>0</v>
      </c>
      <c r="J1311" s="5">
        <f t="shared" si="101"/>
        <v>0</v>
      </c>
      <c r="K1311" s="5">
        <f t="shared" si="102"/>
        <v>1980</v>
      </c>
      <c r="L1311" s="5">
        <v>140</v>
      </c>
      <c r="M1311" s="5">
        <f t="shared" si="103"/>
        <v>720</v>
      </c>
      <c r="N1311" s="7">
        <f t="shared" si="104"/>
        <v>0.36363636363636365</v>
      </c>
      <c r="O1311" s="1" t="s">
        <v>59</v>
      </c>
      <c r="P1311" s="1" t="s">
        <v>31</v>
      </c>
      <c r="Q1311" s="1" t="s">
        <v>24</v>
      </c>
      <c r="R1311" s="1" t="s">
        <v>63</v>
      </c>
      <c r="S1311" s="1" t="s">
        <v>510</v>
      </c>
      <c r="T1311" s="15" t="s">
        <v>27</v>
      </c>
    </row>
    <row r="1312" spans="1:20" x14ac:dyDescent="0.3">
      <c r="A1312" s="14">
        <v>1311</v>
      </c>
      <c r="B1312" s="4">
        <v>44206</v>
      </c>
      <c r="C1312" s="1" t="s">
        <v>533</v>
      </c>
      <c r="D1312" s="1" t="s">
        <v>82</v>
      </c>
      <c r="E1312" s="1" t="s">
        <v>36</v>
      </c>
      <c r="F1312" s="2">
        <v>11</v>
      </c>
      <c r="G1312" s="5">
        <v>1910</v>
      </c>
      <c r="H1312" s="24">
        <f t="shared" si="100"/>
        <v>21010</v>
      </c>
      <c r="I1312" s="7">
        <v>0</v>
      </c>
      <c r="J1312" s="5">
        <f t="shared" si="101"/>
        <v>0</v>
      </c>
      <c r="K1312" s="5">
        <f t="shared" si="102"/>
        <v>21010</v>
      </c>
      <c r="L1312" s="5">
        <v>1350</v>
      </c>
      <c r="M1312" s="5">
        <f t="shared" si="103"/>
        <v>6160</v>
      </c>
      <c r="N1312" s="7">
        <f t="shared" si="104"/>
        <v>0.29319371727748689</v>
      </c>
      <c r="O1312" s="1" t="s">
        <v>22</v>
      </c>
      <c r="P1312" s="1" t="s">
        <v>31</v>
      </c>
      <c r="Q1312" s="1" t="s">
        <v>32</v>
      </c>
      <c r="R1312" s="1" t="s">
        <v>38</v>
      </c>
      <c r="S1312" s="1" t="s">
        <v>440</v>
      </c>
      <c r="T1312" s="15" t="s">
        <v>35</v>
      </c>
    </row>
    <row r="1313" spans="1:20" x14ac:dyDescent="0.3">
      <c r="A1313" s="14">
        <v>1312</v>
      </c>
      <c r="B1313" s="4">
        <v>44350</v>
      </c>
      <c r="C1313" s="1" t="s">
        <v>530</v>
      </c>
      <c r="D1313" s="1" t="s">
        <v>20</v>
      </c>
      <c r="E1313" s="1" t="s">
        <v>36</v>
      </c>
      <c r="F1313" s="2">
        <v>2</v>
      </c>
      <c r="G1313" s="5">
        <v>1120</v>
      </c>
      <c r="H1313" s="24">
        <f t="shared" si="100"/>
        <v>2240</v>
      </c>
      <c r="I1313" s="7">
        <v>0</v>
      </c>
      <c r="J1313" s="5">
        <f t="shared" si="101"/>
        <v>0</v>
      </c>
      <c r="K1313" s="5">
        <f t="shared" si="102"/>
        <v>2240</v>
      </c>
      <c r="L1313" s="5">
        <v>780</v>
      </c>
      <c r="M1313" s="5">
        <f t="shared" si="103"/>
        <v>680</v>
      </c>
      <c r="N1313" s="7">
        <f t="shared" si="104"/>
        <v>0.30357142857142855</v>
      </c>
      <c r="O1313" s="1" t="s">
        <v>54</v>
      </c>
      <c r="P1313" s="1" t="s">
        <v>31</v>
      </c>
      <c r="Q1313" s="1" t="s">
        <v>48</v>
      </c>
      <c r="R1313" s="1" t="s">
        <v>33</v>
      </c>
      <c r="S1313" s="1" t="s">
        <v>398</v>
      </c>
      <c r="T1313" s="15" t="s">
        <v>61</v>
      </c>
    </row>
    <row r="1314" spans="1:20" x14ac:dyDescent="0.3">
      <c r="A1314" s="14">
        <v>1313</v>
      </c>
      <c r="B1314" s="4">
        <v>44549</v>
      </c>
      <c r="C1314" s="1" t="s">
        <v>533</v>
      </c>
      <c r="D1314" s="1" t="s">
        <v>82</v>
      </c>
      <c r="E1314" s="1" t="s">
        <v>21</v>
      </c>
      <c r="F1314" s="2">
        <v>6</v>
      </c>
      <c r="G1314" s="5">
        <v>190</v>
      </c>
      <c r="H1314" s="24">
        <f t="shared" si="100"/>
        <v>1140</v>
      </c>
      <c r="I1314" s="7">
        <v>0</v>
      </c>
      <c r="J1314" s="5">
        <f t="shared" si="101"/>
        <v>0</v>
      </c>
      <c r="K1314" s="5">
        <f t="shared" si="102"/>
        <v>1140</v>
      </c>
      <c r="L1314" s="5">
        <v>150</v>
      </c>
      <c r="M1314" s="5">
        <f t="shared" si="103"/>
        <v>240</v>
      </c>
      <c r="N1314" s="7">
        <f t="shared" si="104"/>
        <v>0.21052631578947367</v>
      </c>
      <c r="O1314" s="1" t="s">
        <v>59</v>
      </c>
      <c r="P1314" s="1" t="s">
        <v>62</v>
      </c>
      <c r="Q1314" s="1" t="s">
        <v>24</v>
      </c>
      <c r="R1314" s="1" t="s">
        <v>46</v>
      </c>
      <c r="S1314" s="1" t="s">
        <v>302</v>
      </c>
      <c r="T1314" s="15" t="s">
        <v>27</v>
      </c>
    </row>
    <row r="1315" spans="1:20" x14ac:dyDescent="0.3">
      <c r="A1315" s="14">
        <v>1314</v>
      </c>
      <c r="B1315" s="4">
        <v>44412</v>
      </c>
      <c r="C1315" s="1" t="s">
        <v>533</v>
      </c>
      <c r="D1315" s="1" t="s">
        <v>20</v>
      </c>
      <c r="E1315" s="1" t="s">
        <v>21</v>
      </c>
      <c r="F1315" s="2">
        <v>9</v>
      </c>
      <c r="G1315" s="5">
        <v>190</v>
      </c>
      <c r="H1315" s="24">
        <f t="shared" si="100"/>
        <v>1710</v>
      </c>
      <c r="I1315" s="7">
        <v>0</v>
      </c>
      <c r="J1315" s="5">
        <f t="shared" si="101"/>
        <v>0</v>
      </c>
      <c r="K1315" s="5">
        <f t="shared" si="102"/>
        <v>1710</v>
      </c>
      <c r="L1315" s="5">
        <v>130</v>
      </c>
      <c r="M1315" s="5">
        <f t="shared" si="103"/>
        <v>540</v>
      </c>
      <c r="N1315" s="7">
        <f t="shared" si="104"/>
        <v>0.31578947368421051</v>
      </c>
      <c r="O1315" s="1" t="s">
        <v>30</v>
      </c>
      <c r="P1315" s="1" t="s">
        <v>31</v>
      </c>
      <c r="Q1315" s="1" t="s">
        <v>37</v>
      </c>
      <c r="R1315" s="1" t="s">
        <v>63</v>
      </c>
      <c r="S1315" s="1" t="s">
        <v>446</v>
      </c>
      <c r="T1315" s="15" t="s">
        <v>35</v>
      </c>
    </row>
    <row r="1316" spans="1:20" x14ac:dyDescent="0.3">
      <c r="A1316" s="14">
        <v>1315</v>
      </c>
      <c r="B1316" s="4">
        <v>44485</v>
      </c>
      <c r="C1316" s="1" t="s">
        <v>531</v>
      </c>
      <c r="D1316" s="1" t="s">
        <v>28</v>
      </c>
      <c r="E1316" s="1" t="s">
        <v>36</v>
      </c>
      <c r="F1316" s="2">
        <v>9</v>
      </c>
      <c r="G1316" s="5">
        <v>1100</v>
      </c>
      <c r="H1316" s="24">
        <f t="shared" si="100"/>
        <v>9900</v>
      </c>
      <c r="I1316" s="7">
        <v>0</v>
      </c>
      <c r="J1316" s="5">
        <f t="shared" si="101"/>
        <v>0</v>
      </c>
      <c r="K1316" s="5">
        <f t="shared" si="102"/>
        <v>9900</v>
      </c>
      <c r="L1316" s="5">
        <v>780</v>
      </c>
      <c r="M1316" s="5">
        <f t="shared" si="103"/>
        <v>2880</v>
      </c>
      <c r="N1316" s="7">
        <f t="shared" si="104"/>
        <v>0.29090909090909089</v>
      </c>
      <c r="O1316" s="1" t="s">
        <v>30</v>
      </c>
      <c r="P1316" s="1" t="s">
        <v>31</v>
      </c>
      <c r="Q1316" s="1" t="s">
        <v>32</v>
      </c>
      <c r="R1316" s="1" t="s">
        <v>46</v>
      </c>
      <c r="S1316" s="1" t="s">
        <v>194</v>
      </c>
      <c r="T1316" s="15" t="s">
        <v>53</v>
      </c>
    </row>
    <row r="1317" spans="1:20" x14ac:dyDescent="0.3">
      <c r="A1317" s="14">
        <v>1316</v>
      </c>
      <c r="B1317" s="4">
        <v>44464</v>
      </c>
      <c r="C1317" s="1" t="s">
        <v>530</v>
      </c>
      <c r="D1317" s="1" t="s">
        <v>28</v>
      </c>
      <c r="E1317" s="1" t="s">
        <v>43</v>
      </c>
      <c r="F1317" s="2">
        <v>6</v>
      </c>
      <c r="G1317" s="5">
        <v>320</v>
      </c>
      <c r="H1317" s="24">
        <f t="shared" si="100"/>
        <v>1920</v>
      </c>
      <c r="I1317" s="7">
        <v>0.15</v>
      </c>
      <c r="J1317" s="5">
        <f t="shared" si="101"/>
        <v>288</v>
      </c>
      <c r="K1317" s="5">
        <f t="shared" si="102"/>
        <v>1632</v>
      </c>
      <c r="L1317" s="5">
        <v>240</v>
      </c>
      <c r="M1317" s="5">
        <f t="shared" si="103"/>
        <v>192</v>
      </c>
      <c r="N1317" s="7">
        <f t="shared" si="104"/>
        <v>0.11764705882352941</v>
      </c>
      <c r="O1317" s="1" t="s">
        <v>30</v>
      </c>
      <c r="P1317" s="1" t="s">
        <v>31</v>
      </c>
      <c r="Q1317" s="1" t="s">
        <v>37</v>
      </c>
      <c r="R1317" s="1" t="s">
        <v>46</v>
      </c>
      <c r="S1317" s="1" t="s">
        <v>170</v>
      </c>
      <c r="T1317" s="15" t="s">
        <v>27</v>
      </c>
    </row>
    <row r="1318" spans="1:20" x14ac:dyDescent="0.3">
      <c r="A1318" s="14">
        <v>1317</v>
      </c>
      <c r="B1318" s="4">
        <v>44367</v>
      </c>
      <c r="C1318" s="1" t="s">
        <v>533</v>
      </c>
      <c r="D1318" s="1" t="s">
        <v>20</v>
      </c>
      <c r="E1318" s="1" t="s">
        <v>45</v>
      </c>
      <c r="F1318" s="2">
        <v>7</v>
      </c>
      <c r="G1318" s="5">
        <v>210</v>
      </c>
      <c r="H1318" s="24">
        <f t="shared" si="100"/>
        <v>1470</v>
      </c>
      <c r="I1318" s="7">
        <v>0.1</v>
      </c>
      <c r="J1318" s="5">
        <f t="shared" si="101"/>
        <v>147</v>
      </c>
      <c r="K1318" s="5">
        <f t="shared" si="102"/>
        <v>1323</v>
      </c>
      <c r="L1318" s="5">
        <v>160</v>
      </c>
      <c r="M1318" s="5">
        <f t="shared" si="103"/>
        <v>203</v>
      </c>
      <c r="N1318" s="7">
        <f t="shared" si="104"/>
        <v>0.15343915343915343</v>
      </c>
      <c r="O1318" s="1" t="s">
        <v>30</v>
      </c>
      <c r="P1318" s="1" t="s">
        <v>31</v>
      </c>
      <c r="Q1318" s="1" t="s">
        <v>37</v>
      </c>
      <c r="R1318" s="1" t="s">
        <v>38</v>
      </c>
      <c r="S1318" s="1" t="s">
        <v>511</v>
      </c>
      <c r="T1318" s="15" t="s">
        <v>27</v>
      </c>
    </row>
    <row r="1319" spans="1:20" x14ac:dyDescent="0.3">
      <c r="A1319" s="14">
        <v>1318</v>
      </c>
      <c r="B1319" s="4">
        <v>44491</v>
      </c>
      <c r="C1319" s="1" t="s">
        <v>533</v>
      </c>
      <c r="D1319" s="1" t="s">
        <v>20</v>
      </c>
      <c r="E1319" s="1" t="s">
        <v>21</v>
      </c>
      <c r="F1319" s="2">
        <v>10</v>
      </c>
      <c r="G1319" s="5">
        <v>200</v>
      </c>
      <c r="H1319" s="24">
        <f t="shared" si="100"/>
        <v>2000</v>
      </c>
      <c r="I1319" s="7">
        <v>0.05</v>
      </c>
      <c r="J1319" s="5">
        <f t="shared" si="101"/>
        <v>100</v>
      </c>
      <c r="K1319" s="5">
        <f t="shared" si="102"/>
        <v>1900</v>
      </c>
      <c r="L1319" s="5">
        <v>150</v>
      </c>
      <c r="M1319" s="5">
        <f t="shared" si="103"/>
        <v>400</v>
      </c>
      <c r="N1319" s="7">
        <f t="shared" si="104"/>
        <v>0.21052631578947367</v>
      </c>
      <c r="O1319" s="1" t="s">
        <v>30</v>
      </c>
      <c r="P1319" s="1" t="s">
        <v>76</v>
      </c>
      <c r="Q1319" s="1" t="s">
        <v>37</v>
      </c>
      <c r="R1319" s="1" t="s">
        <v>66</v>
      </c>
      <c r="S1319" s="1" t="s">
        <v>360</v>
      </c>
      <c r="T1319" s="15" t="s">
        <v>35</v>
      </c>
    </row>
    <row r="1320" spans="1:20" x14ac:dyDescent="0.3">
      <c r="A1320" s="14">
        <v>1319</v>
      </c>
      <c r="B1320" s="4">
        <v>44473</v>
      </c>
      <c r="C1320" s="1" t="s">
        <v>529</v>
      </c>
      <c r="D1320" s="1" t="s">
        <v>20</v>
      </c>
      <c r="E1320" s="1" t="s">
        <v>29</v>
      </c>
      <c r="F1320" s="2">
        <v>2</v>
      </c>
      <c r="G1320" s="5">
        <v>2150</v>
      </c>
      <c r="H1320" s="24">
        <f t="shared" si="100"/>
        <v>4300</v>
      </c>
      <c r="I1320" s="7">
        <v>0.15</v>
      </c>
      <c r="J1320" s="5">
        <f t="shared" si="101"/>
        <v>645</v>
      </c>
      <c r="K1320" s="5">
        <f t="shared" si="102"/>
        <v>3655</v>
      </c>
      <c r="L1320" s="5">
        <v>1620</v>
      </c>
      <c r="M1320" s="5">
        <f t="shared" si="103"/>
        <v>415</v>
      </c>
      <c r="N1320" s="7">
        <f t="shared" si="104"/>
        <v>0.11354309165526676</v>
      </c>
      <c r="O1320" s="1" t="s">
        <v>54</v>
      </c>
      <c r="P1320" s="1" t="s">
        <v>31</v>
      </c>
      <c r="Q1320" s="1" t="s">
        <v>24</v>
      </c>
      <c r="R1320" s="1" t="s">
        <v>25</v>
      </c>
      <c r="S1320" s="1" t="s">
        <v>503</v>
      </c>
      <c r="T1320" s="15" t="s">
        <v>61</v>
      </c>
    </row>
    <row r="1321" spans="1:20" x14ac:dyDescent="0.3">
      <c r="A1321" s="14">
        <v>1320</v>
      </c>
      <c r="B1321" s="4">
        <v>44288</v>
      </c>
      <c r="C1321" s="1" t="s">
        <v>529</v>
      </c>
      <c r="D1321" s="1" t="s">
        <v>80</v>
      </c>
      <c r="E1321" s="1" t="s">
        <v>43</v>
      </c>
      <c r="F1321" s="2">
        <v>7</v>
      </c>
      <c r="G1321" s="5">
        <v>280</v>
      </c>
      <c r="H1321" s="24">
        <f t="shared" si="100"/>
        <v>1960</v>
      </c>
      <c r="I1321" s="7">
        <v>0.05</v>
      </c>
      <c r="J1321" s="5">
        <f t="shared" si="101"/>
        <v>98</v>
      </c>
      <c r="K1321" s="5">
        <f t="shared" si="102"/>
        <v>1862</v>
      </c>
      <c r="L1321" s="5">
        <v>200</v>
      </c>
      <c r="M1321" s="5">
        <f t="shared" si="103"/>
        <v>462</v>
      </c>
      <c r="N1321" s="7">
        <f t="shared" si="104"/>
        <v>0.24812030075187969</v>
      </c>
      <c r="O1321" s="1" t="s">
        <v>59</v>
      </c>
      <c r="P1321" s="1" t="s">
        <v>31</v>
      </c>
      <c r="Q1321" s="1" t="s">
        <v>48</v>
      </c>
      <c r="R1321" s="1" t="s">
        <v>50</v>
      </c>
      <c r="S1321" s="1" t="s">
        <v>225</v>
      </c>
      <c r="T1321" s="15" t="s">
        <v>27</v>
      </c>
    </row>
    <row r="1322" spans="1:20" x14ac:dyDescent="0.3">
      <c r="A1322" s="14">
        <v>1321</v>
      </c>
      <c r="B1322" s="4">
        <v>44555</v>
      </c>
      <c r="C1322" s="1" t="s">
        <v>530</v>
      </c>
      <c r="D1322" s="1" t="s">
        <v>82</v>
      </c>
      <c r="E1322" s="1" t="s">
        <v>21</v>
      </c>
      <c r="F1322" s="2">
        <v>2</v>
      </c>
      <c r="G1322" s="5">
        <v>230</v>
      </c>
      <c r="H1322" s="24">
        <f t="shared" si="100"/>
        <v>460</v>
      </c>
      <c r="I1322" s="7">
        <v>0.05</v>
      </c>
      <c r="J1322" s="5">
        <f t="shared" si="101"/>
        <v>23</v>
      </c>
      <c r="K1322" s="5">
        <f t="shared" si="102"/>
        <v>437</v>
      </c>
      <c r="L1322" s="5">
        <v>150</v>
      </c>
      <c r="M1322" s="5">
        <f t="shared" si="103"/>
        <v>137</v>
      </c>
      <c r="N1322" s="7">
        <f t="shared" si="104"/>
        <v>0.31350114416475972</v>
      </c>
      <c r="O1322" s="1" t="s">
        <v>59</v>
      </c>
      <c r="P1322" s="1" t="s">
        <v>62</v>
      </c>
      <c r="Q1322" s="1" t="s">
        <v>24</v>
      </c>
      <c r="R1322" s="1" t="s">
        <v>38</v>
      </c>
      <c r="S1322" s="1" t="s">
        <v>472</v>
      </c>
      <c r="T1322" s="15" t="s">
        <v>35</v>
      </c>
    </row>
    <row r="1323" spans="1:20" x14ac:dyDescent="0.3">
      <c r="A1323" s="14">
        <v>1322</v>
      </c>
      <c r="B1323" s="4">
        <v>44313</v>
      </c>
      <c r="C1323" s="1" t="s">
        <v>533</v>
      </c>
      <c r="D1323" s="1" t="s">
        <v>28</v>
      </c>
      <c r="E1323" s="1" t="s">
        <v>21</v>
      </c>
      <c r="F1323" s="2">
        <v>9</v>
      </c>
      <c r="G1323" s="5">
        <v>240</v>
      </c>
      <c r="H1323" s="24">
        <f t="shared" si="100"/>
        <v>2160</v>
      </c>
      <c r="I1323" s="7">
        <v>0.05</v>
      </c>
      <c r="J1323" s="5">
        <f t="shared" si="101"/>
        <v>108</v>
      </c>
      <c r="K1323" s="5">
        <f t="shared" si="102"/>
        <v>2052</v>
      </c>
      <c r="L1323" s="5">
        <v>150</v>
      </c>
      <c r="M1323" s="5">
        <f t="shared" si="103"/>
        <v>702</v>
      </c>
      <c r="N1323" s="7">
        <f t="shared" si="104"/>
        <v>0.34210526315789475</v>
      </c>
      <c r="O1323" s="1" t="s">
        <v>30</v>
      </c>
      <c r="P1323" s="1" t="s">
        <v>31</v>
      </c>
      <c r="Q1323" s="1" t="s">
        <v>32</v>
      </c>
      <c r="R1323" s="1" t="s">
        <v>38</v>
      </c>
      <c r="S1323" s="1" t="s">
        <v>58</v>
      </c>
      <c r="T1323" s="15" t="s">
        <v>27</v>
      </c>
    </row>
    <row r="1324" spans="1:20" x14ac:dyDescent="0.3">
      <c r="A1324" s="14">
        <v>1323</v>
      </c>
      <c r="B1324" s="4">
        <v>44449</v>
      </c>
      <c r="C1324" s="1" t="s">
        <v>533</v>
      </c>
      <c r="D1324" s="1" t="s">
        <v>82</v>
      </c>
      <c r="E1324" s="1" t="s">
        <v>45</v>
      </c>
      <c r="F1324" s="2">
        <v>2</v>
      </c>
      <c r="G1324" s="5">
        <v>190</v>
      </c>
      <c r="H1324" s="24">
        <f t="shared" si="100"/>
        <v>380</v>
      </c>
      <c r="I1324" s="7">
        <v>0.15</v>
      </c>
      <c r="J1324" s="5">
        <f t="shared" si="101"/>
        <v>57</v>
      </c>
      <c r="K1324" s="5">
        <f t="shared" si="102"/>
        <v>323</v>
      </c>
      <c r="L1324" s="5">
        <v>150</v>
      </c>
      <c r="M1324" s="5">
        <f t="shared" si="103"/>
        <v>23</v>
      </c>
      <c r="N1324" s="7">
        <f t="shared" si="104"/>
        <v>7.1207430340557279E-2</v>
      </c>
      <c r="O1324" s="1" t="s">
        <v>54</v>
      </c>
      <c r="P1324" s="1" t="s">
        <v>31</v>
      </c>
      <c r="Q1324" s="1" t="s">
        <v>32</v>
      </c>
      <c r="R1324" s="1" t="s">
        <v>66</v>
      </c>
      <c r="S1324" s="1" t="s">
        <v>169</v>
      </c>
      <c r="T1324" s="15" t="s">
        <v>27</v>
      </c>
    </row>
    <row r="1325" spans="1:20" x14ac:dyDescent="0.3">
      <c r="A1325" s="14">
        <v>1324</v>
      </c>
      <c r="B1325" s="4">
        <v>44434</v>
      </c>
      <c r="C1325" s="1" t="s">
        <v>530</v>
      </c>
      <c r="D1325" s="1" t="s">
        <v>28</v>
      </c>
      <c r="E1325" s="1" t="s">
        <v>21</v>
      </c>
      <c r="F1325" s="2">
        <v>5</v>
      </c>
      <c r="G1325" s="5">
        <v>230</v>
      </c>
      <c r="H1325" s="24">
        <f t="shared" si="100"/>
        <v>1150</v>
      </c>
      <c r="I1325" s="7">
        <v>0.1</v>
      </c>
      <c r="J1325" s="5">
        <f t="shared" si="101"/>
        <v>115</v>
      </c>
      <c r="K1325" s="5">
        <f t="shared" si="102"/>
        <v>1035</v>
      </c>
      <c r="L1325" s="5">
        <v>180</v>
      </c>
      <c r="M1325" s="5">
        <f t="shared" si="103"/>
        <v>135</v>
      </c>
      <c r="N1325" s="7">
        <f t="shared" si="104"/>
        <v>0.13043478260869565</v>
      </c>
      <c r="O1325" s="1" t="s">
        <v>41</v>
      </c>
      <c r="P1325" s="1" t="s">
        <v>31</v>
      </c>
      <c r="Q1325" s="1" t="s">
        <v>37</v>
      </c>
      <c r="R1325" s="1" t="s">
        <v>46</v>
      </c>
      <c r="S1325" s="1" t="s">
        <v>116</v>
      </c>
      <c r="T1325" s="15" t="s">
        <v>35</v>
      </c>
    </row>
    <row r="1326" spans="1:20" x14ac:dyDescent="0.3">
      <c r="A1326" s="14">
        <v>1325</v>
      </c>
      <c r="B1326" s="4">
        <v>44557</v>
      </c>
      <c r="C1326" s="1" t="s">
        <v>530</v>
      </c>
      <c r="D1326" s="1" t="s">
        <v>20</v>
      </c>
      <c r="E1326" s="1" t="s">
        <v>29</v>
      </c>
      <c r="F1326" s="2">
        <v>5</v>
      </c>
      <c r="G1326" s="5">
        <v>2170</v>
      </c>
      <c r="H1326" s="24">
        <f t="shared" si="100"/>
        <v>10850</v>
      </c>
      <c r="I1326" s="7">
        <v>0</v>
      </c>
      <c r="J1326" s="5">
        <f t="shared" si="101"/>
        <v>0</v>
      </c>
      <c r="K1326" s="5">
        <f t="shared" si="102"/>
        <v>10850</v>
      </c>
      <c r="L1326" s="5">
        <v>1590</v>
      </c>
      <c r="M1326" s="5">
        <f t="shared" si="103"/>
        <v>2900</v>
      </c>
      <c r="N1326" s="7">
        <f t="shared" si="104"/>
        <v>0.26728110599078342</v>
      </c>
      <c r="O1326" s="1" t="s">
        <v>41</v>
      </c>
      <c r="P1326" s="1" t="s">
        <v>31</v>
      </c>
      <c r="Q1326" s="1" t="s">
        <v>48</v>
      </c>
      <c r="R1326" s="1" t="s">
        <v>38</v>
      </c>
      <c r="S1326" s="1" t="s">
        <v>512</v>
      </c>
      <c r="T1326" s="15" t="s">
        <v>53</v>
      </c>
    </row>
    <row r="1327" spans="1:20" x14ac:dyDescent="0.3">
      <c r="A1327" s="14">
        <v>1326</v>
      </c>
      <c r="B1327" s="4">
        <v>44289</v>
      </c>
      <c r="C1327" s="1" t="s">
        <v>531</v>
      </c>
      <c r="D1327" s="1" t="s">
        <v>20</v>
      </c>
      <c r="E1327" s="1" t="s">
        <v>40</v>
      </c>
      <c r="F1327" s="2">
        <v>9</v>
      </c>
      <c r="G1327" s="5">
        <v>1610</v>
      </c>
      <c r="H1327" s="24">
        <f t="shared" si="100"/>
        <v>14490</v>
      </c>
      <c r="I1327" s="7">
        <v>0.15</v>
      </c>
      <c r="J1327" s="5">
        <f t="shared" si="101"/>
        <v>2173.5</v>
      </c>
      <c r="K1327" s="5">
        <f t="shared" si="102"/>
        <v>12316.5</v>
      </c>
      <c r="L1327" s="5">
        <v>1080</v>
      </c>
      <c r="M1327" s="5">
        <f t="shared" si="103"/>
        <v>2596.5</v>
      </c>
      <c r="N1327" s="7">
        <f t="shared" si="104"/>
        <v>0.21081476068688346</v>
      </c>
      <c r="O1327" s="1" t="s">
        <v>30</v>
      </c>
      <c r="P1327" s="1" t="s">
        <v>31</v>
      </c>
      <c r="Q1327" s="1" t="s">
        <v>32</v>
      </c>
      <c r="R1327" s="1" t="s">
        <v>38</v>
      </c>
      <c r="S1327" s="1" t="s">
        <v>513</v>
      </c>
      <c r="T1327" s="15" t="s">
        <v>35</v>
      </c>
    </row>
    <row r="1328" spans="1:20" x14ac:dyDescent="0.3">
      <c r="A1328" s="14">
        <v>1327</v>
      </c>
      <c r="B1328" s="4">
        <v>44347</v>
      </c>
      <c r="C1328" s="1" t="s">
        <v>534</v>
      </c>
      <c r="D1328" s="1" t="s">
        <v>20</v>
      </c>
      <c r="E1328" s="1" t="s">
        <v>43</v>
      </c>
      <c r="F1328" s="2">
        <v>12</v>
      </c>
      <c r="G1328" s="5">
        <v>310</v>
      </c>
      <c r="H1328" s="24">
        <f t="shared" si="100"/>
        <v>3720</v>
      </c>
      <c r="I1328" s="7">
        <v>0.02</v>
      </c>
      <c r="J1328" s="5">
        <f t="shared" si="101"/>
        <v>74.400000000000006</v>
      </c>
      <c r="K1328" s="5">
        <f t="shared" si="102"/>
        <v>3645.6</v>
      </c>
      <c r="L1328" s="5">
        <v>250</v>
      </c>
      <c r="M1328" s="5">
        <f t="shared" si="103"/>
        <v>645.59999999999991</v>
      </c>
      <c r="N1328" s="7">
        <f t="shared" si="104"/>
        <v>0.17709019091507569</v>
      </c>
      <c r="O1328" s="1" t="s">
        <v>22</v>
      </c>
      <c r="P1328" s="1" t="s">
        <v>31</v>
      </c>
      <c r="Q1328" s="1" t="s">
        <v>48</v>
      </c>
      <c r="R1328" s="1" t="s">
        <v>50</v>
      </c>
      <c r="S1328" s="1" t="s">
        <v>238</v>
      </c>
      <c r="T1328" s="15" t="s">
        <v>61</v>
      </c>
    </row>
    <row r="1329" spans="1:20" x14ac:dyDescent="0.3">
      <c r="A1329" s="14">
        <v>1328</v>
      </c>
      <c r="B1329" s="4">
        <v>44391</v>
      </c>
      <c r="C1329" s="1" t="s">
        <v>530</v>
      </c>
      <c r="D1329" s="1" t="s">
        <v>82</v>
      </c>
      <c r="E1329" s="1" t="s">
        <v>21</v>
      </c>
      <c r="F1329" s="2">
        <v>2</v>
      </c>
      <c r="G1329" s="5">
        <v>190</v>
      </c>
      <c r="H1329" s="24">
        <f t="shared" si="100"/>
        <v>380</v>
      </c>
      <c r="I1329" s="7">
        <v>0.1</v>
      </c>
      <c r="J1329" s="5">
        <f t="shared" si="101"/>
        <v>38</v>
      </c>
      <c r="K1329" s="5">
        <f t="shared" si="102"/>
        <v>342</v>
      </c>
      <c r="L1329" s="5">
        <v>130</v>
      </c>
      <c r="M1329" s="5">
        <f t="shared" si="103"/>
        <v>82</v>
      </c>
      <c r="N1329" s="7">
        <f t="shared" si="104"/>
        <v>0.23976608187134502</v>
      </c>
      <c r="O1329" s="1" t="s">
        <v>59</v>
      </c>
      <c r="P1329" s="1" t="s">
        <v>31</v>
      </c>
      <c r="Q1329" s="1" t="s">
        <v>37</v>
      </c>
      <c r="R1329" s="1" t="s">
        <v>63</v>
      </c>
      <c r="S1329" s="1" t="s">
        <v>452</v>
      </c>
      <c r="T1329" s="15" t="s">
        <v>35</v>
      </c>
    </row>
    <row r="1330" spans="1:20" x14ac:dyDescent="0.3">
      <c r="A1330" s="14">
        <v>1329</v>
      </c>
      <c r="B1330" s="4">
        <v>44423</v>
      </c>
      <c r="C1330" s="1" t="s">
        <v>530</v>
      </c>
      <c r="D1330" s="1" t="s">
        <v>20</v>
      </c>
      <c r="E1330" s="1" t="s">
        <v>21</v>
      </c>
      <c r="F1330" s="2">
        <v>1</v>
      </c>
      <c r="G1330" s="5">
        <v>210</v>
      </c>
      <c r="H1330" s="24">
        <f t="shared" si="100"/>
        <v>210</v>
      </c>
      <c r="I1330" s="7">
        <v>0</v>
      </c>
      <c r="J1330" s="5">
        <f t="shared" si="101"/>
        <v>0</v>
      </c>
      <c r="K1330" s="5">
        <f t="shared" si="102"/>
        <v>210</v>
      </c>
      <c r="L1330" s="5">
        <v>140</v>
      </c>
      <c r="M1330" s="5">
        <f t="shared" si="103"/>
        <v>70</v>
      </c>
      <c r="N1330" s="7">
        <f t="shared" si="104"/>
        <v>0.33333333333333331</v>
      </c>
      <c r="O1330" s="1" t="s">
        <v>54</v>
      </c>
      <c r="P1330" s="1" t="s">
        <v>31</v>
      </c>
      <c r="Q1330" s="1" t="s">
        <v>32</v>
      </c>
      <c r="R1330" s="1" t="s">
        <v>50</v>
      </c>
      <c r="S1330" s="1" t="s">
        <v>514</v>
      </c>
      <c r="T1330" s="15" t="s">
        <v>53</v>
      </c>
    </row>
    <row r="1331" spans="1:20" x14ac:dyDescent="0.3">
      <c r="A1331" s="14">
        <v>1330</v>
      </c>
      <c r="B1331" s="4">
        <v>44475</v>
      </c>
      <c r="C1331" s="1" t="s">
        <v>530</v>
      </c>
      <c r="D1331" s="1" t="s">
        <v>28</v>
      </c>
      <c r="E1331" s="1" t="s">
        <v>36</v>
      </c>
      <c r="F1331" s="2">
        <v>5</v>
      </c>
      <c r="G1331" s="5">
        <v>1350</v>
      </c>
      <c r="H1331" s="24">
        <f t="shared" si="100"/>
        <v>6750</v>
      </c>
      <c r="I1331" s="7">
        <v>0.05</v>
      </c>
      <c r="J1331" s="5">
        <f t="shared" si="101"/>
        <v>337.5</v>
      </c>
      <c r="K1331" s="5">
        <f t="shared" si="102"/>
        <v>6412.5</v>
      </c>
      <c r="L1331" s="5">
        <v>910</v>
      </c>
      <c r="M1331" s="5">
        <f t="shared" si="103"/>
        <v>1862.5</v>
      </c>
      <c r="N1331" s="7">
        <f t="shared" si="104"/>
        <v>0.29044834307992201</v>
      </c>
      <c r="O1331" s="1" t="s">
        <v>59</v>
      </c>
      <c r="P1331" s="1" t="s">
        <v>31</v>
      </c>
      <c r="Q1331" s="1" t="s">
        <v>32</v>
      </c>
      <c r="R1331" s="1" t="s">
        <v>50</v>
      </c>
      <c r="S1331" s="1" t="s">
        <v>261</v>
      </c>
      <c r="T1331" s="15" t="s">
        <v>61</v>
      </c>
    </row>
    <row r="1332" spans="1:20" x14ac:dyDescent="0.3">
      <c r="A1332" s="14">
        <v>1331</v>
      </c>
      <c r="B1332" s="4">
        <v>44300</v>
      </c>
      <c r="C1332" s="1" t="s">
        <v>533</v>
      </c>
      <c r="D1332" s="1" t="s">
        <v>20</v>
      </c>
      <c r="E1332" s="1" t="s">
        <v>43</v>
      </c>
      <c r="F1332" s="2">
        <v>3</v>
      </c>
      <c r="G1332" s="5">
        <v>270</v>
      </c>
      <c r="H1332" s="24">
        <f t="shared" si="100"/>
        <v>810</v>
      </c>
      <c r="I1332" s="7">
        <v>0.15</v>
      </c>
      <c r="J1332" s="5">
        <f t="shared" si="101"/>
        <v>121.5</v>
      </c>
      <c r="K1332" s="5">
        <f t="shared" si="102"/>
        <v>688.5</v>
      </c>
      <c r="L1332" s="5">
        <v>190</v>
      </c>
      <c r="M1332" s="5">
        <f t="shared" si="103"/>
        <v>118.5</v>
      </c>
      <c r="N1332" s="7">
        <f t="shared" si="104"/>
        <v>0.17211328976034859</v>
      </c>
      <c r="O1332" s="1" t="s">
        <v>41</v>
      </c>
      <c r="P1332" s="1" t="s">
        <v>31</v>
      </c>
      <c r="Q1332" s="1" t="s">
        <v>24</v>
      </c>
      <c r="R1332" s="1" t="s">
        <v>50</v>
      </c>
      <c r="S1332" s="1" t="s">
        <v>445</v>
      </c>
      <c r="T1332" s="15" t="s">
        <v>27</v>
      </c>
    </row>
    <row r="1333" spans="1:20" x14ac:dyDescent="0.3">
      <c r="A1333" s="14">
        <v>1332</v>
      </c>
      <c r="B1333" s="4">
        <v>44418</v>
      </c>
      <c r="C1333" s="1" t="s">
        <v>530</v>
      </c>
      <c r="D1333" s="1" t="s">
        <v>20</v>
      </c>
      <c r="E1333" s="1" t="s">
        <v>21</v>
      </c>
      <c r="F1333" s="2">
        <v>3</v>
      </c>
      <c r="G1333" s="5">
        <v>210</v>
      </c>
      <c r="H1333" s="24">
        <f t="shared" si="100"/>
        <v>630</v>
      </c>
      <c r="I1333" s="7">
        <v>0</v>
      </c>
      <c r="J1333" s="5">
        <f t="shared" si="101"/>
        <v>0</v>
      </c>
      <c r="K1333" s="5">
        <f t="shared" si="102"/>
        <v>630</v>
      </c>
      <c r="L1333" s="5">
        <v>160</v>
      </c>
      <c r="M1333" s="5">
        <f t="shared" si="103"/>
        <v>150</v>
      </c>
      <c r="N1333" s="7">
        <f t="shared" si="104"/>
        <v>0.23809523809523808</v>
      </c>
      <c r="O1333" s="1" t="s">
        <v>59</v>
      </c>
      <c r="P1333" s="1" t="s">
        <v>31</v>
      </c>
      <c r="Q1333" s="1" t="s">
        <v>24</v>
      </c>
      <c r="R1333" s="1" t="s">
        <v>63</v>
      </c>
      <c r="S1333" s="1" t="s">
        <v>189</v>
      </c>
      <c r="T1333" s="15" t="s">
        <v>35</v>
      </c>
    </row>
    <row r="1334" spans="1:20" x14ac:dyDescent="0.3">
      <c r="A1334" s="14">
        <v>1333</v>
      </c>
      <c r="B1334" s="4">
        <v>44551</v>
      </c>
      <c r="C1334" s="1" t="s">
        <v>534</v>
      </c>
      <c r="D1334" s="1" t="s">
        <v>20</v>
      </c>
      <c r="E1334" s="1" t="s">
        <v>29</v>
      </c>
      <c r="F1334" s="2">
        <v>11</v>
      </c>
      <c r="G1334" s="5">
        <v>2330</v>
      </c>
      <c r="H1334" s="24">
        <f t="shared" si="100"/>
        <v>25630</v>
      </c>
      <c r="I1334" s="7">
        <v>0.15</v>
      </c>
      <c r="J1334" s="5">
        <f t="shared" si="101"/>
        <v>3844.5</v>
      </c>
      <c r="K1334" s="5">
        <f t="shared" si="102"/>
        <v>21785.5</v>
      </c>
      <c r="L1334" s="5">
        <v>1900</v>
      </c>
      <c r="M1334" s="5">
        <f t="shared" si="103"/>
        <v>885.5</v>
      </c>
      <c r="N1334" s="7">
        <f t="shared" si="104"/>
        <v>4.0646301439030551E-2</v>
      </c>
      <c r="O1334" s="1" t="s">
        <v>54</v>
      </c>
      <c r="P1334" s="1" t="s">
        <v>31</v>
      </c>
      <c r="Q1334" s="1" t="s">
        <v>37</v>
      </c>
      <c r="R1334" s="1" t="s">
        <v>50</v>
      </c>
      <c r="S1334" s="1" t="s">
        <v>330</v>
      </c>
      <c r="T1334" s="15" t="s">
        <v>53</v>
      </c>
    </row>
    <row r="1335" spans="1:20" x14ac:dyDescent="0.3">
      <c r="A1335" s="14">
        <v>1334</v>
      </c>
      <c r="B1335" s="4">
        <v>44470</v>
      </c>
      <c r="C1335" s="1" t="s">
        <v>533</v>
      </c>
      <c r="D1335" s="1" t="s">
        <v>28</v>
      </c>
      <c r="E1335" s="1" t="s">
        <v>21</v>
      </c>
      <c r="F1335" s="2">
        <v>7</v>
      </c>
      <c r="G1335" s="5">
        <v>240</v>
      </c>
      <c r="H1335" s="24">
        <f t="shared" si="100"/>
        <v>1680</v>
      </c>
      <c r="I1335" s="7">
        <v>0</v>
      </c>
      <c r="J1335" s="5">
        <f t="shared" si="101"/>
        <v>0</v>
      </c>
      <c r="K1335" s="5">
        <f t="shared" si="102"/>
        <v>1680</v>
      </c>
      <c r="L1335" s="5">
        <v>140</v>
      </c>
      <c r="M1335" s="5">
        <f t="shared" si="103"/>
        <v>700</v>
      </c>
      <c r="N1335" s="7">
        <f t="shared" si="104"/>
        <v>0.41666666666666669</v>
      </c>
      <c r="O1335" s="1" t="s">
        <v>22</v>
      </c>
      <c r="P1335" s="1" t="s">
        <v>31</v>
      </c>
      <c r="Q1335" s="1" t="s">
        <v>32</v>
      </c>
      <c r="R1335" s="1" t="s">
        <v>50</v>
      </c>
      <c r="S1335" s="1" t="s">
        <v>90</v>
      </c>
      <c r="T1335" s="15" t="s">
        <v>27</v>
      </c>
    </row>
    <row r="1336" spans="1:20" x14ac:dyDescent="0.3">
      <c r="A1336" s="14">
        <v>1335</v>
      </c>
      <c r="B1336" s="4">
        <v>44327</v>
      </c>
      <c r="C1336" s="1" t="s">
        <v>533</v>
      </c>
      <c r="D1336" s="1" t="s">
        <v>28</v>
      </c>
      <c r="E1336" s="1" t="s">
        <v>29</v>
      </c>
      <c r="F1336" s="2">
        <v>8</v>
      </c>
      <c r="G1336" s="5">
        <v>2370</v>
      </c>
      <c r="H1336" s="24">
        <f t="shared" si="100"/>
        <v>18960</v>
      </c>
      <c r="I1336" s="7">
        <v>0.02</v>
      </c>
      <c r="J1336" s="5">
        <f t="shared" si="101"/>
        <v>379.2</v>
      </c>
      <c r="K1336" s="5">
        <f t="shared" si="102"/>
        <v>18580.8</v>
      </c>
      <c r="L1336" s="5">
        <v>1560</v>
      </c>
      <c r="M1336" s="5">
        <f t="shared" si="103"/>
        <v>6100.7999999999993</v>
      </c>
      <c r="N1336" s="7">
        <f t="shared" si="104"/>
        <v>0.32833893050891239</v>
      </c>
      <c r="O1336" s="1" t="s">
        <v>54</v>
      </c>
      <c r="P1336" s="1" t="s">
        <v>31</v>
      </c>
      <c r="Q1336" s="1" t="s">
        <v>32</v>
      </c>
      <c r="R1336" s="1" t="s">
        <v>56</v>
      </c>
      <c r="S1336" s="1" t="s">
        <v>493</v>
      </c>
      <c r="T1336" s="15" t="s">
        <v>53</v>
      </c>
    </row>
    <row r="1337" spans="1:20" x14ac:dyDescent="0.3">
      <c r="A1337" s="14">
        <v>1336</v>
      </c>
      <c r="B1337" s="4">
        <v>44221</v>
      </c>
      <c r="C1337" s="1" t="s">
        <v>529</v>
      </c>
      <c r="D1337" s="1" t="s">
        <v>20</v>
      </c>
      <c r="E1337" s="1" t="s">
        <v>29</v>
      </c>
      <c r="F1337" s="2">
        <v>3</v>
      </c>
      <c r="G1337" s="5">
        <v>2400</v>
      </c>
      <c r="H1337" s="24">
        <f t="shared" si="100"/>
        <v>7200</v>
      </c>
      <c r="I1337" s="7">
        <v>0.05</v>
      </c>
      <c r="J1337" s="5">
        <f t="shared" si="101"/>
        <v>360</v>
      </c>
      <c r="K1337" s="5">
        <f t="shared" si="102"/>
        <v>6840</v>
      </c>
      <c r="L1337" s="5">
        <v>1550</v>
      </c>
      <c r="M1337" s="5">
        <f t="shared" si="103"/>
        <v>2190</v>
      </c>
      <c r="N1337" s="7">
        <f t="shared" si="104"/>
        <v>0.32017543859649122</v>
      </c>
      <c r="O1337" s="1" t="s">
        <v>41</v>
      </c>
      <c r="P1337" s="1" t="s">
        <v>31</v>
      </c>
      <c r="Q1337" s="1" t="s">
        <v>37</v>
      </c>
      <c r="R1337" s="1" t="s">
        <v>33</v>
      </c>
      <c r="S1337" s="1" t="s">
        <v>26</v>
      </c>
      <c r="T1337" s="15" t="s">
        <v>27</v>
      </c>
    </row>
    <row r="1338" spans="1:20" x14ac:dyDescent="0.3">
      <c r="A1338" s="14">
        <v>1337</v>
      </c>
      <c r="B1338" s="4">
        <v>44466</v>
      </c>
      <c r="C1338" s="1" t="s">
        <v>529</v>
      </c>
      <c r="D1338" s="1" t="s">
        <v>20</v>
      </c>
      <c r="E1338" s="1" t="s">
        <v>21</v>
      </c>
      <c r="F1338" s="2">
        <v>11</v>
      </c>
      <c r="G1338" s="5">
        <v>200</v>
      </c>
      <c r="H1338" s="24">
        <f t="shared" si="100"/>
        <v>2200</v>
      </c>
      <c r="I1338" s="7">
        <v>0</v>
      </c>
      <c r="J1338" s="5">
        <f t="shared" si="101"/>
        <v>0</v>
      </c>
      <c r="K1338" s="5">
        <f t="shared" si="102"/>
        <v>2200</v>
      </c>
      <c r="L1338" s="5">
        <v>140</v>
      </c>
      <c r="M1338" s="5">
        <f t="shared" si="103"/>
        <v>660</v>
      </c>
      <c r="N1338" s="7">
        <f t="shared" si="104"/>
        <v>0.3</v>
      </c>
      <c r="O1338" s="1" t="s">
        <v>22</v>
      </c>
      <c r="P1338" s="1" t="s">
        <v>31</v>
      </c>
      <c r="Q1338" s="1" t="s">
        <v>24</v>
      </c>
      <c r="R1338" s="1" t="s">
        <v>66</v>
      </c>
      <c r="S1338" s="1" t="s">
        <v>247</v>
      </c>
      <c r="T1338" s="15" t="s">
        <v>53</v>
      </c>
    </row>
    <row r="1339" spans="1:20" x14ac:dyDescent="0.3">
      <c r="A1339" s="14">
        <v>1338</v>
      </c>
      <c r="B1339" s="4">
        <v>44304</v>
      </c>
      <c r="C1339" s="1" t="s">
        <v>529</v>
      </c>
      <c r="D1339" s="1" t="s">
        <v>20</v>
      </c>
      <c r="E1339" s="1" t="s">
        <v>45</v>
      </c>
      <c r="F1339" s="2">
        <v>10</v>
      </c>
      <c r="G1339" s="5">
        <v>210</v>
      </c>
      <c r="H1339" s="24">
        <f t="shared" si="100"/>
        <v>2100</v>
      </c>
      <c r="I1339" s="7">
        <v>0.02</v>
      </c>
      <c r="J1339" s="5">
        <f t="shared" si="101"/>
        <v>42</v>
      </c>
      <c r="K1339" s="5">
        <f t="shared" si="102"/>
        <v>2058</v>
      </c>
      <c r="L1339" s="5">
        <v>170</v>
      </c>
      <c r="M1339" s="5">
        <f t="shared" si="103"/>
        <v>358</v>
      </c>
      <c r="N1339" s="7">
        <f t="shared" si="104"/>
        <v>0.17395529640427598</v>
      </c>
      <c r="O1339" s="1" t="s">
        <v>22</v>
      </c>
      <c r="P1339" s="1" t="s">
        <v>31</v>
      </c>
      <c r="Q1339" s="1" t="s">
        <v>32</v>
      </c>
      <c r="R1339" s="1" t="s">
        <v>63</v>
      </c>
      <c r="S1339" s="1" t="s">
        <v>427</v>
      </c>
      <c r="T1339" s="15" t="s">
        <v>61</v>
      </c>
    </row>
    <row r="1340" spans="1:20" x14ac:dyDescent="0.3">
      <c r="A1340" s="14">
        <v>1339</v>
      </c>
      <c r="B1340" s="4">
        <v>44554</v>
      </c>
      <c r="C1340" s="1" t="s">
        <v>531</v>
      </c>
      <c r="D1340" s="1" t="s">
        <v>20</v>
      </c>
      <c r="E1340" s="1" t="s">
        <v>43</v>
      </c>
      <c r="F1340" s="2">
        <v>1</v>
      </c>
      <c r="G1340" s="5">
        <v>310</v>
      </c>
      <c r="H1340" s="24">
        <f t="shared" si="100"/>
        <v>310</v>
      </c>
      <c r="I1340" s="7">
        <v>0</v>
      </c>
      <c r="J1340" s="5">
        <f t="shared" si="101"/>
        <v>0</v>
      </c>
      <c r="K1340" s="5">
        <f t="shared" si="102"/>
        <v>310</v>
      </c>
      <c r="L1340" s="5">
        <v>230</v>
      </c>
      <c r="M1340" s="5">
        <f t="shared" si="103"/>
        <v>80</v>
      </c>
      <c r="N1340" s="7">
        <f t="shared" si="104"/>
        <v>0.25806451612903225</v>
      </c>
      <c r="O1340" s="1" t="s">
        <v>41</v>
      </c>
      <c r="P1340" s="1" t="s">
        <v>31</v>
      </c>
      <c r="Q1340" s="1" t="s">
        <v>24</v>
      </c>
      <c r="R1340" s="1" t="s">
        <v>38</v>
      </c>
      <c r="S1340" s="1" t="s">
        <v>186</v>
      </c>
      <c r="T1340" s="15" t="s">
        <v>27</v>
      </c>
    </row>
    <row r="1341" spans="1:20" x14ac:dyDescent="0.3">
      <c r="A1341" s="14">
        <v>1340</v>
      </c>
      <c r="B1341" s="4">
        <v>44523</v>
      </c>
      <c r="C1341" s="1" t="s">
        <v>531</v>
      </c>
      <c r="D1341" s="1" t="s">
        <v>28</v>
      </c>
      <c r="E1341" s="1" t="s">
        <v>29</v>
      </c>
      <c r="F1341" s="2">
        <v>1</v>
      </c>
      <c r="G1341" s="5">
        <v>2200</v>
      </c>
      <c r="H1341" s="24">
        <f t="shared" si="100"/>
        <v>2200</v>
      </c>
      <c r="I1341" s="7">
        <v>0</v>
      </c>
      <c r="J1341" s="5">
        <f t="shared" si="101"/>
        <v>0</v>
      </c>
      <c r="K1341" s="5">
        <f t="shared" si="102"/>
        <v>2200</v>
      </c>
      <c r="L1341" s="5">
        <v>1360</v>
      </c>
      <c r="M1341" s="5">
        <f t="shared" si="103"/>
        <v>840</v>
      </c>
      <c r="N1341" s="7">
        <f t="shared" si="104"/>
        <v>0.38181818181818183</v>
      </c>
      <c r="O1341" s="1" t="s">
        <v>41</v>
      </c>
      <c r="P1341" s="1" t="s">
        <v>31</v>
      </c>
      <c r="Q1341" s="1" t="s">
        <v>48</v>
      </c>
      <c r="R1341" s="1" t="s">
        <v>88</v>
      </c>
      <c r="S1341" s="1" t="s">
        <v>263</v>
      </c>
      <c r="T1341" s="15" t="s">
        <v>53</v>
      </c>
    </row>
    <row r="1342" spans="1:20" x14ac:dyDescent="0.3">
      <c r="A1342" s="14">
        <v>1341</v>
      </c>
      <c r="B1342" s="4">
        <v>44479</v>
      </c>
      <c r="C1342" s="1" t="s">
        <v>530</v>
      </c>
      <c r="D1342" s="1" t="s">
        <v>28</v>
      </c>
      <c r="E1342" s="1" t="s">
        <v>40</v>
      </c>
      <c r="F1342" s="2">
        <v>6</v>
      </c>
      <c r="G1342" s="5">
        <v>1600</v>
      </c>
      <c r="H1342" s="24">
        <f t="shared" si="100"/>
        <v>9600</v>
      </c>
      <c r="I1342" s="7">
        <v>0</v>
      </c>
      <c r="J1342" s="5">
        <f t="shared" si="101"/>
        <v>0</v>
      </c>
      <c r="K1342" s="5">
        <f t="shared" si="102"/>
        <v>9600</v>
      </c>
      <c r="L1342" s="5">
        <v>990</v>
      </c>
      <c r="M1342" s="5">
        <f t="shared" si="103"/>
        <v>3660</v>
      </c>
      <c r="N1342" s="7">
        <f t="shared" si="104"/>
        <v>0.38124999999999998</v>
      </c>
      <c r="O1342" s="1" t="s">
        <v>30</v>
      </c>
      <c r="P1342" s="1" t="s">
        <v>31</v>
      </c>
      <c r="Q1342" s="1" t="s">
        <v>32</v>
      </c>
      <c r="R1342" s="1" t="s">
        <v>88</v>
      </c>
      <c r="S1342" s="1" t="s">
        <v>515</v>
      </c>
      <c r="T1342" s="15" t="s">
        <v>61</v>
      </c>
    </row>
    <row r="1343" spans="1:20" x14ac:dyDescent="0.3">
      <c r="A1343" s="14">
        <v>1342</v>
      </c>
      <c r="B1343" s="4">
        <v>44239</v>
      </c>
      <c r="C1343" s="1" t="s">
        <v>533</v>
      </c>
      <c r="D1343" s="1" t="s">
        <v>20</v>
      </c>
      <c r="E1343" s="1" t="s">
        <v>45</v>
      </c>
      <c r="F1343" s="2">
        <v>6</v>
      </c>
      <c r="G1343" s="5">
        <v>220</v>
      </c>
      <c r="H1343" s="24">
        <f t="shared" si="100"/>
        <v>1320</v>
      </c>
      <c r="I1343" s="7">
        <v>0</v>
      </c>
      <c r="J1343" s="5">
        <f t="shared" si="101"/>
        <v>0</v>
      </c>
      <c r="K1343" s="5">
        <f t="shared" si="102"/>
        <v>1320</v>
      </c>
      <c r="L1343" s="5">
        <v>130</v>
      </c>
      <c r="M1343" s="5">
        <f t="shared" si="103"/>
        <v>540</v>
      </c>
      <c r="N1343" s="7">
        <f t="shared" si="104"/>
        <v>0.40909090909090912</v>
      </c>
      <c r="O1343" s="1" t="s">
        <v>54</v>
      </c>
      <c r="P1343" s="1" t="s">
        <v>31</v>
      </c>
      <c r="Q1343" s="1" t="s">
        <v>48</v>
      </c>
      <c r="R1343" s="1" t="s">
        <v>56</v>
      </c>
      <c r="S1343" s="1" t="s">
        <v>166</v>
      </c>
      <c r="T1343" s="15" t="s">
        <v>61</v>
      </c>
    </row>
    <row r="1344" spans="1:20" x14ac:dyDescent="0.3">
      <c r="A1344" s="14">
        <v>1343</v>
      </c>
      <c r="B1344" s="4">
        <v>44392</v>
      </c>
      <c r="C1344" s="1" t="s">
        <v>533</v>
      </c>
      <c r="D1344" s="1" t="s">
        <v>28</v>
      </c>
      <c r="E1344" s="1" t="s">
        <v>29</v>
      </c>
      <c r="F1344" s="2">
        <v>5</v>
      </c>
      <c r="G1344" s="5">
        <v>1940</v>
      </c>
      <c r="H1344" s="24">
        <f t="shared" si="100"/>
        <v>9700</v>
      </c>
      <c r="I1344" s="7">
        <v>0.02</v>
      </c>
      <c r="J1344" s="5">
        <f t="shared" si="101"/>
        <v>194</v>
      </c>
      <c r="K1344" s="5">
        <f t="shared" si="102"/>
        <v>9506</v>
      </c>
      <c r="L1344" s="5">
        <v>1370</v>
      </c>
      <c r="M1344" s="5">
        <f t="shared" si="103"/>
        <v>2656</v>
      </c>
      <c r="N1344" s="7">
        <f t="shared" si="104"/>
        <v>0.27940248264254153</v>
      </c>
      <c r="O1344" s="1" t="s">
        <v>41</v>
      </c>
      <c r="P1344" s="1" t="s">
        <v>31</v>
      </c>
      <c r="Q1344" s="1" t="s">
        <v>32</v>
      </c>
      <c r="R1344" s="1" t="s">
        <v>38</v>
      </c>
      <c r="S1344" s="1" t="s">
        <v>182</v>
      </c>
      <c r="T1344" s="15" t="s">
        <v>53</v>
      </c>
    </row>
    <row r="1345" spans="1:20" x14ac:dyDescent="0.3">
      <c r="A1345" s="14">
        <v>1344</v>
      </c>
      <c r="B1345" s="4">
        <v>44215</v>
      </c>
      <c r="C1345" s="1" t="s">
        <v>533</v>
      </c>
      <c r="D1345" s="1" t="s">
        <v>20</v>
      </c>
      <c r="E1345" s="1" t="s">
        <v>40</v>
      </c>
      <c r="F1345" s="2">
        <v>2</v>
      </c>
      <c r="G1345" s="5">
        <v>1390</v>
      </c>
      <c r="H1345" s="24">
        <f t="shared" si="100"/>
        <v>2780</v>
      </c>
      <c r="I1345" s="7">
        <v>0.1</v>
      </c>
      <c r="J1345" s="5">
        <f t="shared" si="101"/>
        <v>278</v>
      </c>
      <c r="K1345" s="5">
        <f t="shared" si="102"/>
        <v>2502</v>
      </c>
      <c r="L1345" s="5">
        <v>860</v>
      </c>
      <c r="M1345" s="5">
        <f t="shared" si="103"/>
        <v>782</v>
      </c>
      <c r="N1345" s="7">
        <f t="shared" si="104"/>
        <v>0.31254996003197444</v>
      </c>
      <c r="O1345" s="1" t="s">
        <v>41</v>
      </c>
      <c r="P1345" s="1" t="s">
        <v>31</v>
      </c>
      <c r="Q1345" s="1" t="s">
        <v>48</v>
      </c>
      <c r="R1345" s="1" t="s">
        <v>56</v>
      </c>
      <c r="S1345" s="1" t="s">
        <v>337</v>
      </c>
      <c r="T1345" s="15" t="s">
        <v>35</v>
      </c>
    </row>
    <row r="1346" spans="1:20" x14ac:dyDescent="0.3">
      <c r="A1346" s="14">
        <v>1345</v>
      </c>
      <c r="B1346" s="4">
        <v>44239</v>
      </c>
      <c r="C1346" s="1" t="s">
        <v>533</v>
      </c>
      <c r="D1346" s="1" t="s">
        <v>20</v>
      </c>
      <c r="E1346" s="1" t="s">
        <v>40</v>
      </c>
      <c r="F1346" s="2">
        <v>12</v>
      </c>
      <c r="G1346" s="5">
        <v>1590</v>
      </c>
      <c r="H1346" s="24">
        <f t="shared" ref="H1346:H1409" si="105">F1346*G1346</f>
        <v>19080</v>
      </c>
      <c r="I1346" s="7">
        <v>0.05</v>
      </c>
      <c r="J1346" s="5">
        <f t="shared" ref="J1346:J1409" si="106">H1346*I1346</f>
        <v>954</v>
      </c>
      <c r="K1346" s="5">
        <f t="shared" ref="K1346:K1409" si="107">H1346-J1346</f>
        <v>18126</v>
      </c>
      <c r="L1346" s="5">
        <v>1040</v>
      </c>
      <c r="M1346" s="5">
        <f t="shared" ref="M1346:M1409" si="108">K1346-(F1346*L1346)</f>
        <v>5646</v>
      </c>
      <c r="N1346" s="7">
        <f t="shared" ref="N1346:N1409" si="109">IFERROR(M1346/K1346,0)</f>
        <v>0.31148626282687852</v>
      </c>
      <c r="O1346" s="1" t="s">
        <v>59</v>
      </c>
      <c r="P1346" s="1" t="s">
        <v>31</v>
      </c>
      <c r="Q1346" s="1" t="s">
        <v>24</v>
      </c>
      <c r="R1346" s="1" t="s">
        <v>88</v>
      </c>
      <c r="S1346" s="1" t="s">
        <v>189</v>
      </c>
      <c r="T1346" s="15" t="s">
        <v>35</v>
      </c>
    </row>
    <row r="1347" spans="1:20" x14ac:dyDescent="0.3">
      <c r="A1347" s="14">
        <v>1346</v>
      </c>
      <c r="B1347" s="4">
        <v>44294</v>
      </c>
      <c r="C1347" s="1" t="s">
        <v>529</v>
      </c>
      <c r="D1347" s="1" t="s">
        <v>20</v>
      </c>
      <c r="E1347" s="1" t="s">
        <v>45</v>
      </c>
      <c r="F1347" s="2">
        <v>11</v>
      </c>
      <c r="G1347" s="5">
        <v>220</v>
      </c>
      <c r="H1347" s="24">
        <f t="shared" si="105"/>
        <v>2420</v>
      </c>
      <c r="I1347" s="7">
        <v>0</v>
      </c>
      <c r="J1347" s="5">
        <f t="shared" si="106"/>
        <v>0</v>
      </c>
      <c r="K1347" s="5">
        <f t="shared" si="107"/>
        <v>2420</v>
      </c>
      <c r="L1347" s="5">
        <v>150</v>
      </c>
      <c r="M1347" s="5">
        <f t="shared" si="108"/>
        <v>770</v>
      </c>
      <c r="N1347" s="7">
        <f t="shared" si="109"/>
        <v>0.31818181818181818</v>
      </c>
      <c r="O1347" s="1" t="s">
        <v>41</v>
      </c>
      <c r="P1347" s="1" t="s">
        <v>31</v>
      </c>
      <c r="Q1347" s="1" t="s">
        <v>48</v>
      </c>
      <c r="R1347" s="1" t="s">
        <v>33</v>
      </c>
      <c r="S1347" s="1" t="s">
        <v>428</v>
      </c>
      <c r="T1347" s="15" t="s">
        <v>53</v>
      </c>
    </row>
    <row r="1348" spans="1:20" x14ac:dyDescent="0.3">
      <c r="A1348" s="14">
        <v>1347</v>
      </c>
      <c r="B1348" s="4">
        <v>44498</v>
      </c>
      <c r="C1348" s="1" t="s">
        <v>530</v>
      </c>
      <c r="D1348" s="1" t="s">
        <v>20</v>
      </c>
      <c r="E1348" s="1" t="s">
        <v>43</v>
      </c>
      <c r="F1348" s="2">
        <v>11</v>
      </c>
      <c r="G1348" s="5">
        <v>300</v>
      </c>
      <c r="H1348" s="24">
        <f t="shared" si="105"/>
        <v>3300</v>
      </c>
      <c r="I1348" s="7">
        <v>0.05</v>
      </c>
      <c r="J1348" s="5">
        <f t="shared" si="106"/>
        <v>165</v>
      </c>
      <c r="K1348" s="5">
        <f t="shared" si="107"/>
        <v>3135</v>
      </c>
      <c r="L1348" s="5">
        <v>190</v>
      </c>
      <c r="M1348" s="5">
        <f t="shared" si="108"/>
        <v>1045</v>
      </c>
      <c r="N1348" s="7">
        <f t="shared" si="109"/>
        <v>0.33333333333333331</v>
      </c>
      <c r="O1348" s="1" t="s">
        <v>41</v>
      </c>
      <c r="P1348" s="1" t="s">
        <v>31</v>
      </c>
      <c r="Q1348" s="1" t="s">
        <v>37</v>
      </c>
      <c r="R1348" s="1" t="s">
        <v>66</v>
      </c>
      <c r="S1348" s="1" t="s">
        <v>157</v>
      </c>
      <c r="T1348" s="15" t="s">
        <v>53</v>
      </c>
    </row>
    <row r="1349" spans="1:20" x14ac:dyDescent="0.3">
      <c r="A1349" s="14">
        <v>1348</v>
      </c>
      <c r="B1349" s="4">
        <v>44224</v>
      </c>
      <c r="C1349" s="1" t="s">
        <v>529</v>
      </c>
      <c r="D1349" s="1" t="s">
        <v>20</v>
      </c>
      <c r="E1349" s="1" t="s">
        <v>21</v>
      </c>
      <c r="F1349" s="2">
        <v>9</v>
      </c>
      <c r="G1349" s="5">
        <v>210</v>
      </c>
      <c r="H1349" s="24">
        <f t="shared" si="105"/>
        <v>1890</v>
      </c>
      <c r="I1349" s="7">
        <v>0.15</v>
      </c>
      <c r="J1349" s="5">
        <f t="shared" si="106"/>
        <v>283.5</v>
      </c>
      <c r="K1349" s="5">
        <f t="shared" si="107"/>
        <v>1606.5</v>
      </c>
      <c r="L1349" s="5">
        <v>150</v>
      </c>
      <c r="M1349" s="5">
        <f t="shared" si="108"/>
        <v>256.5</v>
      </c>
      <c r="N1349" s="7">
        <f t="shared" si="109"/>
        <v>0.15966386554621848</v>
      </c>
      <c r="O1349" s="1" t="s">
        <v>59</v>
      </c>
      <c r="P1349" s="1" t="s">
        <v>31</v>
      </c>
      <c r="Q1349" s="1" t="s">
        <v>24</v>
      </c>
      <c r="R1349" s="1" t="s">
        <v>88</v>
      </c>
      <c r="S1349" s="1" t="s">
        <v>289</v>
      </c>
      <c r="T1349" s="15" t="s">
        <v>61</v>
      </c>
    </row>
    <row r="1350" spans="1:20" x14ac:dyDescent="0.3">
      <c r="A1350" s="14">
        <v>1349</v>
      </c>
      <c r="B1350" s="4">
        <v>44355</v>
      </c>
      <c r="C1350" s="1" t="s">
        <v>529</v>
      </c>
      <c r="D1350" s="1" t="s">
        <v>20</v>
      </c>
      <c r="E1350" s="1" t="s">
        <v>43</v>
      </c>
      <c r="F1350" s="2">
        <v>8</v>
      </c>
      <c r="G1350" s="5">
        <v>340</v>
      </c>
      <c r="H1350" s="24">
        <f t="shared" si="105"/>
        <v>2720</v>
      </c>
      <c r="I1350" s="7">
        <v>0.02</v>
      </c>
      <c r="J1350" s="5">
        <f t="shared" si="106"/>
        <v>54.4</v>
      </c>
      <c r="K1350" s="5">
        <f t="shared" si="107"/>
        <v>2665.6</v>
      </c>
      <c r="L1350" s="5">
        <v>220</v>
      </c>
      <c r="M1350" s="5">
        <f t="shared" si="108"/>
        <v>905.59999999999991</v>
      </c>
      <c r="N1350" s="7">
        <f t="shared" si="109"/>
        <v>0.3397358943577431</v>
      </c>
      <c r="O1350" s="1" t="s">
        <v>59</v>
      </c>
      <c r="P1350" s="1" t="s">
        <v>31</v>
      </c>
      <c r="Q1350" s="1" t="s">
        <v>37</v>
      </c>
      <c r="R1350" s="1" t="s">
        <v>38</v>
      </c>
      <c r="S1350" s="1" t="s">
        <v>343</v>
      </c>
      <c r="T1350" s="15" t="s">
        <v>27</v>
      </c>
    </row>
    <row r="1351" spans="1:20" x14ac:dyDescent="0.3">
      <c r="A1351" s="14">
        <v>1350</v>
      </c>
      <c r="B1351" s="4">
        <v>44197</v>
      </c>
      <c r="C1351" s="1" t="s">
        <v>530</v>
      </c>
      <c r="D1351" s="1" t="s">
        <v>20</v>
      </c>
      <c r="E1351" s="1" t="s">
        <v>43</v>
      </c>
      <c r="F1351" s="2">
        <v>10</v>
      </c>
      <c r="G1351" s="5">
        <v>290</v>
      </c>
      <c r="H1351" s="24">
        <f t="shared" si="105"/>
        <v>2900</v>
      </c>
      <c r="I1351" s="7">
        <v>0.1</v>
      </c>
      <c r="J1351" s="5">
        <f t="shared" si="106"/>
        <v>290</v>
      </c>
      <c r="K1351" s="5">
        <f t="shared" si="107"/>
        <v>2610</v>
      </c>
      <c r="L1351" s="5">
        <v>180</v>
      </c>
      <c r="M1351" s="5">
        <f t="shared" si="108"/>
        <v>810</v>
      </c>
      <c r="N1351" s="7">
        <f t="shared" si="109"/>
        <v>0.31034482758620691</v>
      </c>
      <c r="O1351" s="1" t="s">
        <v>59</v>
      </c>
      <c r="P1351" s="1" t="s">
        <v>31</v>
      </c>
      <c r="Q1351" s="1" t="s">
        <v>37</v>
      </c>
      <c r="R1351" s="1" t="s">
        <v>25</v>
      </c>
      <c r="S1351" s="1" t="s">
        <v>453</v>
      </c>
      <c r="T1351" s="15" t="s">
        <v>35</v>
      </c>
    </row>
    <row r="1352" spans="1:20" x14ac:dyDescent="0.3">
      <c r="A1352" s="14">
        <v>1351</v>
      </c>
      <c r="B1352" s="4">
        <v>44396</v>
      </c>
      <c r="C1352" s="1" t="s">
        <v>531</v>
      </c>
      <c r="D1352" s="1" t="s">
        <v>82</v>
      </c>
      <c r="E1352" s="1" t="s">
        <v>21</v>
      </c>
      <c r="F1352" s="2">
        <v>11</v>
      </c>
      <c r="G1352" s="5">
        <v>190</v>
      </c>
      <c r="H1352" s="24">
        <f t="shared" si="105"/>
        <v>2090</v>
      </c>
      <c r="I1352" s="7">
        <v>0</v>
      </c>
      <c r="J1352" s="5">
        <f t="shared" si="106"/>
        <v>0</v>
      </c>
      <c r="K1352" s="5">
        <f t="shared" si="107"/>
        <v>2090</v>
      </c>
      <c r="L1352" s="5">
        <v>120</v>
      </c>
      <c r="M1352" s="5">
        <f t="shared" si="108"/>
        <v>770</v>
      </c>
      <c r="N1352" s="7">
        <f t="shared" si="109"/>
        <v>0.36842105263157893</v>
      </c>
      <c r="O1352" s="1" t="s">
        <v>59</v>
      </c>
      <c r="P1352" s="1" t="s">
        <v>31</v>
      </c>
      <c r="Q1352" s="1" t="s">
        <v>32</v>
      </c>
      <c r="R1352" s="1" t="s">
        <v>56</v>
      </c>
      <c r="S1352" s="1" t="s">
        <v>406</v>
      </c>
      <c r="T1352" s="15" t="s">
        <v>27</v>
      </c>
    </row>
    <row r="1353" spans="1:20" x14ac:dyDescent="0.3">
      <c r="A1353" s="14">
        <v>1352</v>
      </c>
      <c r="B1353" s="4">
        <v>44534</v>
      </c>
      <c r="C1353" s="1" t="s">
        <v>533</v>
      </c>
      <c r="D1353" s="1" t="s">
        <v>20</v>
      </c>
      <c r="E1353" s="1" t="s">
        <v>40</v>
      </c>
      <c r="F1353" s="2">
        <v>7</v>
      </c>
      <c r="G1353" s="5">
        <v>1240</v>
      </c>
      <c r="H1353" s="24">
        <f t="shared" si="105"/>
        <v>8680</v>
      </c>
      <c r="I1353" s="7">
        <v>0</v>
      </c>
      <c r="J1353" s="5">
        <f t="shared" si="106"/>
        <v>0</v>
      </c>
      <c r="K1353" s="5">
        <f t="shared" si="107"/>
        <v>8680</v>
      </c>
      <c r="L1353" s="5">
        <v>870</v>
      </c>
      <c r="M1353" s="5">
        <f t="shared" si="108"/>
        <v>2590</v>
      </c>
      <c r="N1353" s="7">
        <f t="shared" si="109"/>
        <v>0.29838709677419356</v>
      </c>
      <c r="O1353" s="1" t="s">
        <v>59</v>
      </c>
      <c r="P1353" s="1" t="s">
        <v>31</v>
      </c>
      <c r="Q1353" s="1" t="s">
        <v>48</v>
      </c>
      <c r="R1353" s="1" t="s">
        <v>25</v>
      </c>
      <c r="S1353" s="1" t="s">
        <v>140</v>
      </c>
      <c r="T1353" s="15" t="s">
        <v>53</v>
      </c>
    </row>
    <row r="1354" spans="1:20" x14ac:dyDescent="0.3">
      <c r="A1354" s="14">
        <v>1353</v>
      </c>
      <c r="B1354" s="4">
        <v>44198</v>
      </c>
      <c r="C1354" s="1" t="s">
        <v>529</v>
      </c>
      <c r="D1354" s="1" t="s">
        <v>82</v>
      </c>
      <c r="E1354" s="1" t="s">
        <v>29</v>
      </c>
      <c r="F1354" s="2">
        <v>5</v>
      </c>
      <c r="G1354" s="5">
        <v>2330</v>
      </c>
      <c r="H1354" s="24">
        <f t="shared" si="105"/>
        <v>11650</v>
      </c>
      <c r="I1354" s="7">
        <v>0.05</v>
      </c>
      <c r="J1354" s="5">
        <f t="shared" si="106"/>
        <v>582.5</v>
      </c>
      <c r="K1354" s="5">
        <f t="shared" si="107"/>
        <v>11067.5</v>
      </c>
      <c r="L1354" s="5">
        <v>1820</v>
      </c>
      <c r="M1354" s="5">
        <f t="shared" si="108"/>
        <v>1967.5</v>
      </c>
      <c r="N1354" s="7">
        <f t="shared" si="109"/>
        <v>0.17777275807544612</v>
      </c>
      <c r="O1354" s="1" t="s">
        <v>22</v>
      </c>
      <c r="P1354" s="1" t="s">
        <v>31</v>
      </c>
      <c r="Q1354" s="1" t="s">
        <v>37</v>
      </c>
      <c r="R1354" s="1" t="s">
        <v>33</v>
      </c>
      <c r="S1354" s="1" t="s">
        <v>173</v>
      </c>
      <c r="T1354" s="15" t="s">
        <v>35</v>
      </c>
    </row>
    <row r="1355" spans="1:20" x14ac:dyDescent="0.3">
      <c r="A1355" s="14">
        <v>1354</v>
      </c>
      <c r="B1355" s="4">
        <v>44411</v>
      </c>
      <c r="C1355" s="1" t="s">
        <v>531</v>
      </c>
      <c r="D1355" s="1" t="s">
        <v>20</v>
      </c>
      <c r="E1355" s="1" t="s">
        <v>29</v>
      </c>
      <c r="F1355" s="2">
        <v>6</v>
      </c>
      <c r="G1355" s="5">
        <v>2340</v>
      </c>
      <c r="H1355" s="24">
        <f t="shared" si="105"/>
        <v>14040</v>
      </c>
      <c r="I1355" s="7">
        <v>0</v>
      </c>
      <c r="J1355" s="5">
        <f t="shared" si="106"/>
        <v>0</v>
      </c>
      <c r="K1355" s="5">
        <f t="shared" si="107"/>
        <v>14040</v>
      </c>
      <c r="L1355" s="5">
        <v>1700</v>
      </c>
      <c r="M1355" s="5">
        <f t="shared" si="108"/>
        <v>3840</v>
      </c>
      <c r="N1355" s="7">
        <f t="shared" si="109"/>
        <v>0.27350427350427353</v>
      </c>
      <c r="O1355" s="1" t="s">
        <v>22</v>
      </c>
      <c r="P1355" s="1" t="s">
        <v>31</v>
      </c>
      <c r="Q1355" s="1" t="s">
        <v>24</v>
      </c>
      <c r="R1355" s="1" t="s">
        <v>56</v>
      </c>
      <c r="S1355" s="1" t="s">
        <v>198</v>
      </c>
      <c r="T1355" s="15" t="s">
        <v>53</v>
      </c>
    </row>
    <row r="1356" spans="1:20" x14ac:dyDescent="0.3">
      <c r="A1356" s="14">
        <v>1355</v>
      </c>
      <c r="B1356" s="4">
        <v>44300</v>
      </c>
      <c r="C1356" s="1" t="s">
        <v>529</v>
      </c>
      <c r="D1356" s="1" t="s">
        <v>20</v>
      </c>
      <c r="E1356" s="1" t="s">
        <v>21</v>
      </c>
      <c r="F1356" s="2">
        <v>10</v>
      </c>
      <c r="G1356" s="5">
        <v>220</v>
      </c>
      <c r="H1356" s="24">
        <f t="shared" si="105"/>
        <v>2200</v>
      </c>
      <c r="I1356" s="7">
        <v>0.1</v>
      </c>
      <c r="J1356" s="5">
        <f t="shared" si="106"/>
        <v>220</v>
      </c>
      <c r="K1356" s="5">
        <f t="shared" si="107"/>
        <v>1980</v>
      </c>
      <c r="L1356" s="5">
        <v>150</v>
      </c>
      <c r="M1356" s="5">
        <f t="shared" si="108"/>
        <v>480</v>
      </c>
      <c r="N1356" s="7">
        <f t="shared" si="109"/>
        <v>0.24242424242424243</v>
      </c>
      <c r="O1356" s="1" t="s">
        <v>54</v>
      </c>
      <c r="P1356" s="1" t="s">
        <v>62</v>
      </c>
      <c r="Q1356" s="1" t="s">
        <v>37</v>
      </c>
      <c r="R1356" s="1" t="s">
        <v>33</v>
      </c>
      <c r="S1356" s="1" t="s">
        <v>92</v>
      </c>
      <c r="T1356" s="15" t="s">
        <v>27</v>
      </c>
    </row>
    <row r="1357" spans="1:20" x14ac:dyDescent="0.3">
      <c r="A1357" s="14">
        <v>1356</v>
      </c>
      <c r="B1357" s="4">
        <v>44351</v>
      </c>
      <c r="C1357" s="1" t="s">
        <v>534</v>
      </c>
      <c r="D1357" s="1" t="s">
        <v>20</v>
      </c>
      <c r="E1357" s="1" t="s">
        <v>21</v>
      </c>
      <c r="F1357" s="2">
        <v>12</v>
      </c>
      <c r="G1357" s="5">
        <v>220</v>
      </c>
      <c r="H1357" s="24">
        <f t="shared" si="105"/>
        <v>2640</v>
      </c>
      <c r="I1357" s="7">
        <v>0.05</v>
      </c>
      <c r="J1357" s="5">
        <f t="shared" si="106"/>
        <v>132</v>
      </c>
      <c r="K1357" s="5">
        <f t="shared" si="107"/>
        <v>2508</v>
      </c>
      <c r="L1357" s="5">
        <v>140</v>
      </c>
      <c r="M1357" s="5">
        <f t="shared" si="108"/>
        <v>828</v>
      </c>
      <c r="N1357" s="7">
        <f t="shared" si="109"/>
        <v>0.33014354066985646</v>
      </c>
      <c r="O1357" s="1" t="s">
        <v>54</v>
      </c>
      <c r="P1357" s="1" t="s">
        <v>31</v>
      </c>
      <c r="Q1357" s="1" t="s">
        <v>32</v>
      </c>
      <c r="R1357" s="1" t="s">
        <v>46</v>
      </c>
      <c r="S1357" s="1" t="s">
        <v>496</v>
      </c>
      <c r="T1357" s="15" t="s">
        <v>27</v>
      </c>
    </row>
    <row r="1358" spans="1:20" x14ac:dyDescent="0.3">
      <c r="A1358" s="14">
        <v>1357</v>
      </c>
      <c r="B1358" s="4">
        <v>44448</v>
      </c>
      <c r="C1358" s="1" t="s">
        <v>533</v>
      </c>
      <c r="D1358" s="1" t="s">
        <v>20</v>
      </c>
      <c r="E1358" s="1" t="s">
        <v>43</v>
      </c>
      <c r="F1358" s="2">
        <v>12</v>
      </c>
      <c r="G1358" s="5">
        <v>330</v>
      </c>
      <c r="H1358" s="24">
        <f t="shared" si="105"/>
        <v>3960</v>
      </c>
      <c r="I1358" s="7">
        <v>0.02</v>
      </c>
      <c r="J1358" s="5">
        <f t="shared" si="106"/>
        <v>79.2</v>
      </c>
      <c r="K1358" s="5">
        <f t="shared" si="107"/>
        <v>3880.8</v>
      </c>
      <c r="L1358" s="5">
        <v>270</v>
      </c>
      <c r="M1358" s="5">
        <f t="shared" si="108"/>
        <v>640.80000000000018</v>
      </c>
      <c r="N1358" s="7">
        <f t="shared" si="109"/>
        <v>0.16512059369202231</v>
      </c>
      <c r="O1358" s="1" t="s">
        <v>59</v>
      </c>
      <c r="P1358" s="1" t="s">
        <v>31</v>
      </c>
      <c r="Q1358" s="1" t="s">
        <v>32</v>
      </c>
      <c r="R1358" s="1" t="s">
        <v>66</v>
      </c>
      <c r="S1358" s="1" t="s">
        <v>516</v>
      </c>
      <c r="T1358" s="15" t="s">
        <v>61</v>
      </c>
    </row>
    <row r="1359" spans="1:20" x14ac:dyDescent="0.3">
      <c r="A1359" s="14">
        <v>1358</v>
      </c>
      <c r="B1359" s="4">
        <v>44203</v>
      </c>
      <c r="C1359" s="1" t="s">
        <v>529</v>
      </c>
      <c r="D1359" s="1" t="s">
        <v>80</v>
      </c>
      <c r="E1359" s="1" t="s">
        <v>36</v>
      </c>
      <c r="F1359" s="2">
        <v>7</v>
      </c>
      <c r="G1359" s="5">
        <v>1170</v>
      </c>
      <c r="H1359" s="24">
        <f t="shared" si="105"/>
        <v>8190</v>
      </c>
      <c r="I1359" s="7">
        <v>0</v>
      </c>
      <c r="J1359" s="5">
        <f t="shared" si="106"/>
        <v>0</v>
      </c>
      <c r="K1359" s="5">
        <f t="shared" si="107"/>
        <v>8190</v>
      </c>
      <c r="L1359" s="5">
        <v>960</v>
      </c>
      <c r="M1359" s="5">
        <f t="shared" si="108"/>
        <v>1470</v>
      </c>
      <c r="N1359" s="7">
        <f t="shared" si="109"/>
        <v>0.17948717948717949</v>
      </c>
      <c r="O1359" s="1" t="s">
        <v>54</v>
      </c>
      <c r="P1359" s="1" t="s">
        <v>31</v>
      </c>
      <c r="Q1359" s="1" t="s">
        <v>48</v>
      </c>
      <c r="R1359" s="1" t="s">
        <v>50</v>
      </c>
      <c r="S1359" s="1" t="s">
        <v>85</v>
      </c>
      <c r="T1359" s="15" t="s">
        <v>61</v>
      </c>
    </row>
    <row r="1360" spans="1:20" x14ac:dyDescent="0.3">
      <c r="A1360" s="14">
        <v>1359</v>
      </c>
      <c r="B1360" s="4">
        <v>44505</v>
      </c>
      <c r="C1360" s="1" t="s">
        <v>530</v>
      </c>
      <c r="D1360" s="1" t="s">
        <v>82</v>
      </c>
      <c r="E1360" s="1" t="s">
        <v>29</v>
      </c>
      <c r="F1360" s="2">
        <v>5</v>
      </c>
      <c r="G1360" s="5">
        <v>2360</v>
      </c>
      <c r="H1360" s="24">
        <f t="shared" si="105"/>
        <v>11800</v>
      </c>
      <c r="I1360" s="7">
        <v>0</v>
      </c>
      <c r="J1360" s="5">
        <f t="shared" si="106"/>
        <v>0</v>
      </c>
      <c r="K1360" s="5">
        <f t="shared" si="107"/>
        <v>11800</v>
      </c>
      <c r="L1360" s="5">
        <v>1400</v>
      </c>
      <c r="M1360" s="5">
        <f t="shared" si="108"/>
        <v>4800</v>
      </c>
      <c r="N1360" s="7">
        <f t="shared" si="109"/>
        <v>0.40677966101694918</v>
      </c>
      <c r="O1360" s="1" t="s">
        <v>54</v>
      </c>
      <c r="P1360" s="1" t="s">
        <v>31</v>
      </c>
      <c r="Q1360" s="1" t="s">
        <v>37</v>
      </c>
      <c r="R1360" s="1" t="s">
        <v>66</v>
      </c>
      <c r="S1360" s="1" t="s">
        <v>177</v>
      </c>
      <c r="T1360" s="15" t="s">
        <v>53</v>
      </c>
    </row>
    <row r="1361" spans="1:20" x14ac:dyDescent="0.3">
      <c r="A1361" s="14">
        <v>1360</v>
      </c>
      <c r="B1361" s="4">
        <v>44294</v>
      </c>
      <c r="C1361" s="1" t="s">
        <v>532</v>
      </c>
      <c r="D1361" s="1" t="s">
        <v>82</v>
      </c>
      <c r="E1361" s="1" t="s">
        <v>29</v>
      </c>
      <c r="F1361" s="2">
        <v>6</v>
      </c>
      <c r="G1361" s="5">
        <v>2390</v>
      </c>
      <c r="H1361" s="24">
        <f t="shared" si="105"/>
        <v>14340</v>
      </c>
      <c r="I1361" s="7">
        <v>0.02</v>
      </c>
      <c r="J1361" s="5">
        <f t="shared" si="106"/>
        <v>286.8</v>
      </c>
      <c r="K1361" s="5">
        <f t="shared" si="107"/>
        <v>14053.2</v>
      </c>
      <c r="L1361" s="5">
        <v>1610</v>
      </c>
      <c r="M1361" s="5">
        <f t="shared" si="108"/>
        <v>4393.2000000000007</v>
      </c>
      <c r="N1361" s="7">
        <f t="shared" si="109"/>
        <v>0.31261207411835029</v>
      </c>
      <c r="O1361" s="1" t="s">
        <v>30</v>
      </c>
      <c r="P1361" s="1" t="s">
        <v>31</v>
      </c>
      <c r="Q1361" s="1" t="s">
        <v>32</v>
      </c>
      <c r="R1361" s="1" t="s">
        <v>56</v>
      </c>
      <c r="S1361" s="1" t="s">
        <v>247</v>
      </c>
      <c r="T1361" s="15" t="s">
        <v>53</v>
      </c>
    </row>
    <row r="1362" spans="1:20" x14ac:dyDescent="0.3">
      <c r="A1362" s="14">
        <v>1361</v>
      </c>
      <c r="B1362" s="4">
        <v>44333</v>
      </c>
      <c r="C1362" s="1" t="s">
        <v>534</v>
      </c>
      <c r="D1362" s="1" t="s">
        <v>20</v>
      </c>
      <c r="E1362" s="1" t="s">
        <v>45</v>
      </c>
      <c r="F1362" s="2">
        <v>8</v>
      </c>
      <c r="G1362" s="5">
        <v>200</v>
      </c>
      <c r="H1362" s="24">
        <f t="shared" si="105"/>
        <v>1600</v>
      </c>
      <c r="I1362" s="7">
        <v>0</v>
      </c>
      <c r="J1362" s="5">
        <f t="shared" si="106"/>
        <v>0</v>
      </c>
      <c r="K1362" s="5">
        <f t="shared" si="107"/>
        <v>1600</v>
      </c>
      <c r="L1362" s="5">
        <v>130</v>
      </c>
      <c r="M1362" s="5">
        <f t="shared" si="108"/>
        <v>560</v>
      </c>
      <c r="N1362" s="7">
        <f t="shared" si="109"/>
        <v>0.35</v>
      </c>
      <c r="O1362" s="1" t="s">
        <v>30</v>
      </c>
      <c r="P1362" s="1" t="s">
        <v>31</v>
      </c>
      <c r="Q1362" s="1" t="s">
        <v>48</v>
      </c>
      <c r="R1362" s="1" t="s">
        <v>38</v>
      </c>
      <c r="S1362" s="1" t="s">
        <v>319</v>
      </c>
      <c r="T1362" s="15" t="s">
        <v>35</v>
      </c>
    </row>
    <row r="1363" spans="1:20" x14ac:dyDescent="0.3">
      <c r="A1363" s="14">
        <v>1362</v>
      </c>
      <c r="B1363" s="4">
        <v>44382</v>
      </c>
      <c r="C1363" s="1" t="s">
        <v>529</v>
      </c>
      <c r="D1363" s="1" t="s">
        <v>82</v>
      </c>
      <c r="E1363" s="1" t="s">
        <v>45</v>
      </c>
      <c r="F1363" s="2">
        <v>1</v>
      </c>
      <c r="G1363" s="5">
        <v>190</v>
      </c>
      <c r="H1363" s="24">
        <f t="shared" si="105"/>
        <v>190</v>
      </c>
      <c r="I1363" s="7">
        <v>0</v>
      </c>
      <c r="J1363" s="5">
        <f t="shared" si="106"/>
        <v>0</v>
      </c>
      <c r="K1363" s="5">
        <f t="shared" si="107"/>
        <v>190</v>
      </c>
      <c r="L1363" s="5">
        <v>130</v>
      </c>
      <c r="M1363" s="5">
        <f t="shared" si="108"/>
        <v>60</v>
      </c>
      <c r="N1363" s="7">
        <f t="shared" si="109"/>
        <v>0.31578947368421051</v>
      </c>
      <c r="O1363" s="1" t="s">
        <v>22</v>
      </c>
      <c r="P1363" s="1" t="s">
        <v>31</v>
      </c>
      <c r="Q1363" s="1" t="s">
        <v>24</v>
      </c>
      <c r="R1363" s="1" t="s">
        <v>38</v>
      </c>
      <c r="S1363" s="1" t="s">
        <v>105</v>
      </c>
      <c r="T1363" s="15" t="s">
        <v>53</v>
      </c>
    </row>
    <row r="1364" spans="1:20" x14ac:dyDescent="0.3">
      <c r="A1364" s="14">
        <v>1363</v>
      </c>
      <c r="B1364" s="4">
        <v>44459</v>
      </c>
      <c r="C1364" s="1" t="s">
        <v>533</v>
      </c>
      <c r="D1364" s="1" t="s">
        <v>28</v>
      </c>
      <c r="E1364" s="1" t="s">
        <v>36</v>
      </c>
      <c r="F1364" s="2">
        <v>12</v>
      </c>
      <c r="G1364" s="5">
        <v>1370</v>
      </c>
      <c r="H1364" s="24">
        <f t="shared" si="105"/>
        <v>16440</v>
      </c>
      <c r="I1364" s="7">
        <v>0.05</v>
      </c>
      <c r="J1364" s="5">
        <f t="shared" si="106"/>
        <v>822</v>
      </c>
      <c r="K1364" s="5">
        <f t="shared" si="107"/>
        <v>15618</v>
      </c>
      <c r="L1364" s="5">
        <v>900</v>
      </c>
      <c r="M1364" s="5">
        <f t="shared" si="108"/>
        <v>4818</v>
      </c>
      <c r="N1364" s="7">
        <f t="shared" si="109"/>
        <v>0.30849020361121782</v>
      </c>
      <c r="O1364" s="1" t="s">
        <v>59</v>
      </c>
      <c r="P1364" s="1" t="s">
        <v>31</v>
      </c>
      <c r="Q1364" s="1" t="s">
        <v>32</v>
      </c>
      <c r="R1364" s="1" t="s">
        <v>49</v>
      </c>
      <c r="S1364" s="1" t="s">
        <v>180</v>
      </c>
      <c r="T1364" s="15" t="s">
        <v>35</v>
      </c>
    </row>
    <row r="1365" spans="1:20" x14ac:dyDescent="0.3">
      <c r="A1365" s="14">
        <v>1364</v>
      </c>
      <c r="B1365" s="4">
        <v>44333</v>
      </c>
      <c r="C1365" s="1" t="s">
        <v>533</v>
      </c>
      <c r="D1365" s="1" t="s">
        <v>20</v>
      </c>
      <c r="E1365" s="1" t="s">
        <v>29</v>
      </c>
      <c r="F1365" s="2">
        <v>12</v>
      </c>
      <c r="G1365" s="5">
        <v>2290</v>
      </c>
      <c r="H1365" s="24">
        <f t="shared" si="105"/>
        <v>27480</v>
      </c>
      <c r="I1365" s="7">
        <v>0.15</v>
      </c>
      <c r="J1365" s="5">
        <f t="shared" si="106"/>
        <v>4122</v>
      </c>
      <c r="K1365" s="5">
        <f t="shared" si="107"/>
        <v>23358</v>
      </c>
      <c r="L1365" s="5">
        <v>1510</v>
      </c>
      <c r="M1365" s="5">
        <f t="shared" si="108"/>
        <v>5238</v>
      </c>
      <c r="N1365" s="7">
        <f t="shared" si="109"/>
        <v>0.22424865142563577</v>
      </c>
      <c r="O1365" s="1" t="s">
        <v>30</v>
      </c>
      <c r="P1365" s="1" t="s">
        <v>31</v>
      </c>
      <c r="Q1365" s="1" t="s">
        <v>37</v>
      </c>
      <c r="R1365" s="1" t="s">
        <v>66</v>
      </c>
      <c r="S1365" s="1" t="s">
        <v>160</v>
      </c>
      <c r="T1365" s="15" t="s">
        <v>61</v>
      </c>
    </row>
    <row r="1366" spans="1:20" x14ac:dyDescent="0.3">
      <c r="A1366" s="14">
        <v>1365</v>
      </c>
      <c r="B1366" s="4">
        <v>44339</v>
      </c>
      <c r="C1366" s="1" t="s">
        <v>530</v>
      </c>
      <c r="D1366" s="1" t="s">
        <v>28</v>
      </c>
      <c r="E1366" s="1" t="s">
        <v>36</v>
      </c>
      <c r="F1366" s="2">
        <v>3</v>
      </c>
      <c r="G1366" s="5">
        <v>1130</v>
      </c>
      <c r="H1366" s="24">
        <f t="shared" si="105"/>
        <v>3390</v>
      </c>
      <c r="I1366" s="7">
        <v>0.02</v>
      </c>
      <c r="J1366" s="5">
        <f t="shared" si="106"/>
        <v>67.8</v>
      </c>
      <c r="K1366" s="5">
        <f t="shared" si="107"/>
        <v>3322.2</v>
      </c>
      <c r="L1366" s="5">
        <v>670</v>
      </c>
      <c r="M1366" s="5">
        <f t="shared" si="108"/>
        <v>1312.1999999999998</v>
      </c>
      <c r="N1366" s="7">
        <f t="shared" si="109"/>
        <v>0.39497923063030521</v>
      </c>
      <c r="O1366" s="1" t="s">
        <v>59</v>
      </c>
      <c r="P1366" s="1" t="s">
        <v>31</v>
      </c>
      <c r="Q1366" s="1" t="s">
        <v>32</v>
      </c>
      <c r="R1366" s="1" t="s">
        <v>50</v>
      </c>
      <c r="S1366" s="1" t="s">
        <v>322</v>
      </c>
      <c r="T1366" s="15" t="s">
        <v>27</v>
      </c>
    </row>
    <row r="1367" spans="1:20" x14ac:dyDescent="0.3">
      <c r="A1367" s="14">
        <v>1366</v>
      </c>
      <c r="B1367" s="4">
        <v>44350</v>
      </c>
      <c r="C1367" s="1" t="s">
        <v>533</v>
      </c>
      <c r="D1367" s="1" t="s">
        <v>20</v>
      </c>
      <c r="E1367" s="1" t="s">
        <v>21</v>
      </c>
      <c r="F1367" s="2">
        <v>6</v>
      </c>
      <c r="G1367" s="5">
        <v>220</v>
      </c>
      <c r="H1367" s="24">
        <f t="shared" si="105"/>
        <v>1320</v>
      </c>
      <c r="I1367" s="7">
        <v>0.05</v>
      </c>
      <c r="J1367" s="5">
        <f t="shared" si="106"/>
        <v>66</v>
      </c>
      <c r="K1367" s="5">
        <f t="shared" si="107"/>
        <v>1254</v>
      </c>
      <c r="L1367" s="5">
        <v>140</v>
      </c>
      <c r="M1367" s="5">
        <f t="shared" si="108"/>
        <v>414</v>
      </c>
      <c r="N1367" s="7">
        <f t="shared" si="109"/>
        <v>0.33014354066985646</v>
      </c>
      <c r="O1367" s="1" t="s">
        <v>30</v>
      </c>
      <c r="P1367" s="1" t="s">
        <v>31</v>
      </c>
      <c r="Q1367" s="1" t="s">
        <v>37</v>
      </c>
      <c r="R1367" s="1" t="s">
        <v>46</v>
      </c>
      <c r="S1367" s="1" t="s">
        <v>430</v>
      </c>
      <c r="T1367" s="15" t="s">
        <v>27</v>
      </c>
    </row>
    <row r="1368" spans="1:20" x14ac:dyDescent="0.3">
      <c r="A1368" s="14">
        <v>1367</v>
      </c>
      <c r="B1368" s="4">
        <v>44463</v>
      </c>
      <c r="C1368" s="1" t="s">
        <v>532</v>
      </c>
      <c r="D1368" s="1" t="s">
        <v>28</v>
      </c>
      <c r="E1368" s="1" t="s">
        <v>21</v>
      </c>
      <c r="F1368" s="2">
        <v>10</v>
      </c>
      <c r="G1368" s="5">
        <v>200</v>
      </c>
      <c r="H1368" s="24">
        <f t="shared" si="105"/>
        <v>2000</v>
      </c>
      <c r="I1368" s="7">
        <v>0</v>
      </c>
      <c r="J1368" s="5">
        <f t="shared" si="106"/>
        <v>0</v>
      </c>
      <c r="K1368" s="5">
        <f t="shared" si="107"/>
        <v>2000</v>
      </c>
      <c r="L1368" s="5">
        <v>160</v>
      </c>
      <c r="M1368" s="5">
        <f t="shared" si="108"/>
        <v>400</v>
      </c>
      <c r="N1368" s="7">
        <f t="shared" si="109"/>
        <v>0.2</v>
      </c>
      <c r="O1368" s="1" t="s">
        <v>30</v>
      </c>
      <c r="P1368" s="1" t="s">
        <v>31</v>
      </c>
      <c r="Q1368" s="1" t="s">
        <v>24</v>
      </c>
      <c r="R1368" s="1" t="s">
        <v>66</v>
      </c>
      <c r="S1368" s="1" t="s">
        <v>225</v>
      </c>
      <c r="T1368" s="15" t="s">
        <v>53</v>
      </c>
    </row>
    <row r="1369" spans="1:20" x14ac:dyDescent="0.3">
      <c r="A1369" s="14">
        <v>1368</v>
      </c>
      <c r="B1369" s="4">
        <v>44367</v>
      </c>
      <c r="C1369" s="1" t="s">
        <v>531</v>
      </c>
      <c r="D1369" s="1" t="s">
        <v>82</v>
      </c>
      <c r="E1369" s="1" t="s">
        <v>40</v>
      </c>
      <c r="F1369" s="2">
        <v>11</v>
      </c>
      <c r="G1369" s="5">
        <v>1660</v>
      </c>
      <c r="H1369" s="24">
        <f t="shared" si="105"/>
        <v>18260</v>
      </c>
      <c r="I1369" s="7">
        <v>0.05</v>
      </c>
      <c r="J1369" s="5">
        <f t="shared" si="106"/>
        <v>913</v>
      </c>
      <c r="K1369" s="5">
        <f t="shared" si="107"/>
        <v>17347</v>
      </c>
      <c r="L1369" s="5">
        <v>1090</v>
      </c>
      <c r="M1369" s="5">
        <f t="shared" si="108"/>
        <v>5357</v>
      </c>
      <c r="N1369" s="7">
        <f t="shared" si="109"/>
        <v>0.3088142041851617</v>
      </c>
      <c r="O1369" s="1" t="s">
        <v>54</v>
      </c>
      <c r="P1369" s="1" t="s">
        <v>31</v>
      </c>
      <c r="Q1369" s="1" t="s">
        <v>37</v>
      </c>
      <c r="R1369" s="1" t="s">
        <v>88</v>
      </c>
      <c r="S1369" s="1" t="s">
        <v>457</v>
      </c>
      <c r="T1369" s="15" t="s">
        <v>53</v>
      </c>
    </row>
    <row r="1370" spans="1:20" x14ac:dyDescent="0.3">
      <c r="A1370" s="14">
        <v>1369</v>
      </c>
      <c r="B1370" s="4">
        <v>44270</v>
      </c>
      <c r="C1370" s="1" t="s">
        <v>529</v>
      </c>
      <c r="D1370" s="1" t="s">
        <v>20</v>
      </c>
      <c r="E1370" s="1" t="s">
        <v>29</v>
      </c>
      <c r="F1370" s="2">
        <v>12</v>
      </c>
      <c r="G1370" s="5">
        <v>2190</v>
      </c>
      <c r="H1370" s="24">
        <f t="shared" si="105"/>
        <v>26280</v>
      </c>
      <c r="I1370" s="7">
        <v>0.05</v>
      </c>
      <c r="J1370" s="5">
        <f t="shared" si="106"/>
        <v>1314</v>
      </c>
      <c r="K1370" s="5">
        <f t="shared" si="107"/>
        <v>24966</v>
      </c>
      <c r="L1370" s="5">
        <v>1430</v>
      </c>
      <c r="M1370" s="5">
        <f t="shared" si="108"/>
        <v>7806</v>
      </c>
      <c r="N1370" s="7">
        <f t="shared" si="109"/>
        <v>0.3126652247055996</v>
      </c>
      <c r="O1370" s="1" t="s">
        <v>22</v>
      </c>
      <c r="P1370" s="1" t="s">
        <v>31</v>
      </c>
      <c r="Q1370" s="1" t="s">
        <v>24</v>
      </c>
      <c r="R1370" s="1" t="s">
        <v>49</v>
      </c>
      <c r="S1370" s="1" t="s">
        <v>489</v>
      </c>
      <c r="T1370" s="15" t="s">
        <v>35</v>
      </c>
    </row>
    <row r="1371" spans="1:20" x14ac:dyDescent="0.3">
      <c r="A1371" s="14">
        <v>1370</v>
      </c>
      <c r="B1371" s="4">
        <v>44410</v>
      </c>
      <c r="C1371" s="1" t="s">
        <v>533</v>
      </c>
      <c r="D1371" s="1" t="s">
        <v>80</v>
      </c>
      <c r="E1371" s="1" t="s">
        <v>40</v>
      </c>
      <c r="F1371" s="2">
        <v>4</v>
      </c>
      <c r="G1371" s="5">
        <v>1470</v>
      </c>
      <c r="H1371" s="24">
        <f t="shared" si="105"/>
        <v>5880</v>
      </c>
      <c r="I1371" s="7">
        <v>0.05</v>
      </c>
      <c r="J1371" s="5">
        <f t="shared" si="106"/>
        <v>294</v>
      </c>
      <c r="K1371" s="5">
        <f t="shared" si="107"/>
        <v>5586</v>
      </c>
      <c r="L1371" s="5">
        <v>1000</v>
      </c>
      <c r="M1371" s="5">
        <f t="shared" si="108"/>
        <v>1586</v>
      </c>
      <c r="N1371" s="7">
        <f t="shared" si="109"/>
        <v>0.28392409595417112</v>
      </c>
      <c r="O1371" s="1" t="s">
        <v>22</v>
      </c>
      <c r="P1371" s="1" t="s">
        <v>31</v>
      </c>
      <c r="Q1371" s="1" t="s">
        <v>48</v>
      </c>
      <c r="R1371" s="1" t="s">
        <v>38</v>
      </c>
      <c r="S1371" s="1" t="s">
        <v>189</v>
      </c>
      <c r="T1371" s="15" t="s">
        <v>35</v>
      </c>
    </row>
    <row r="1372" spans="1:20" x14ac:dyDescent="0.3">
      <c r="A1372" s="14">
        <v>1371</v>
      </c>
      <c r="B1372" s="4">
        <v>44227</v>
      </c>
      <c r="C1372" s="1" t="s">
        <v>529</v>
      </c>
      <c r="D1372" s="1" t="s">
        <v>20</v>
      </c>
      <c r="E1372" s="1" t="s">
        <v>29</v>
      </c>
      <c r="F1372" s="2">
        <v>1</v>
      </c>
      <c r="G1372" s="5">
        <v>2230</v>
      </c>
      <c r="H1372" s="24">
        <f t="shared" si="105"/>
        <v>2230</v>
      </c>
      <c r="I1372" s="7">
        <v>0.15</v>
      </c>
      <c r="J1372" s="5">
        <f t="shared" si="106"/>
        <v>334.5</v>
      </c>
      <c r="K1372" s="5">
        <f t="shared" si="107"/>
        <v>1895.5</v>
      </c>
      <c r="L1372" s="5">
        <v>1500</v>
      </c>
      <c r="M1372" s="5">
        <f t="shared" si="108"/>
        <v>395.5</v>
      </c>
      <c r="N1372" s="7">
        <f t="shared" si="109"/>
        <v>0.20865207069374836</v>
      </c>
      <c r="O1372" s="1" t="s">
        <v>22</v>
      </c>
      <c r="P1372" s="1" t="s">
        <v>62</v>
      </c>
      <c r="Q1372" s="1" t="s">
        <v>24</v>
      </c>
      <c r="R1372" s="1" t="s">
        <v>50</v>
      </c>
      <c r="S1372" s="1" t="s">
        <v>517</v>
      </c>
      <c r="T1372" s="15" t="s">
        <v>61</v>
      </c>
    </row>
    <row r="1373" spans="1:20" x14ac:dyDescent="0.3">
      <c r="A1373" s="14">
        <v>1372</v>
      </c>
      <c r="B1373" s="4">
        <v>44303</v>
      </c>
      <c r="C1373" s="1" t="s">
        <v>530</v>
      </c>
      <c r="D1373" s="1" t="s">
        <v>28</v>
      </c>
      <c r="E1373" s="1" t="s">
        <v>43</v>
      </c>
      <c r="F1373" s="2">
        <v>1</v>
      </c>
      <c r="G1373" s="5">
        <v>320</v>
      </c>
      <c r="H1373" s="24">
        <f t="shared" si="105"/>
        <v>320</v>
      </c>
      <c r="I1373" s="7">
        <v>0.15</v>
      </c>
      <c r="J1373" s="5">
        <f t="shared" si="106"/>
        <v>48</v>
      </c>
      <c r="K1373" s="5">
        <f t="shared" si="107"/>
        <v>272</v>
      </c>
      <c r="L1373" s="5">
        <v>210</v>
      </c>
      <c r="M1373" s="5">
        <f t="shared" si="108"/>
        <v>62</v>
      </c>
      <c r="N1373" s="7">
        <f t="shared" si="109"/>
        <v>0.22794117647058823</v>
      </c>
      <c r="O1373" s="1" t="s">
        <v>30</v>
      </c>
      <c r="P1373" s="1" t="s">
        <v>31</v>
      </c>
      <c r="Q1373" s="1" t="s">
        <v>37</v>
      </c>
      <c r="R1373" s="1" t="s">
        <v>66</v>
      </c>
      <c r="S1373" s="1" t="s">
        <v>109</v>
      </c>
      <c r="T1373" s="15" t="s">
        <v>35</v>
      </c>
    </row>
    <row r="1374" spans="1:20" x14ac:dyDescent="0.3">
      <c r="A1374" s="14">
        <v>1373</v>
      </c>
      <c r="B1374" s="4">
        <v>44396</v>
      </c>
      <c r="C1374" s="1" t="s">
        <v>530</v>
      </c>
      <c r="D1374" s="1" t="s">
        <v>28</v>
      </c>
      <c r="E1374" s="1" t="s">
        <v>29</v>
      </c>
      <c r="F1374" s="2">
        <v>8</v>
      </c>
      <c r="G1374" s="5">
        <v>2130</v>
      </c>
      <c r="H1374" s="24">
        <f t="shared" si="105"/>
        <v>17040</v>
      </c>
      <c r="I1374" s="7">
        <v>0.15</v>
      </c>
      <c r="J1374" s="5">
        <f t="shared" si="106"/>
        <v>2556</v>
      </c>
      <c r="K1374" s="5">
        <f t="shared" si="107"/>
        <v>14484</v>
      </c>
      <c r="L1374" s="5">
        <v>1550</v>
      </c>
      <c r="M1374" s="5">
        <f t="shared" si="108"/>
        <v>2084</v>
      </c>
      <c r="N1374" s="7">
        <f t="shared" si="109"/>
        <v>0.14388290527478598</v>
      </c>
      <c r="O1374" s="1" t="s">
        <v>30</v>
      </c>
      <c r="P1374" s="1" t="s">
        <v>62</v>
      </c>
      <c r="Q1374" s="1" t="s">
        <v>37</v>
      </c>
      <c r="R1374" s="1" t="s">
        <v>50</v>
      </c>
      <c r="S1374" s="1" t="s">
        <v>518</v>
      </c>
      <c r="T1374" s="15" t="s">
        <v>61</v>
      </c>
    </row>
    <row r="1375" spans="1:20" x14ac:dyDescent="0.3">
      <c r="A1375" s="14">
        <v>1374</v>
      </c>
      <c r="B1375" s="4">
        <v>44300</v>
      </c>
      <c r="C1375" s="1" t="s">
        <v>533</v>
      </c>
      <c r="D1375" s="1" t="s">
        <v>28</v>
      </c>
      <c r="E1375" s="1" t="s">
        <v>45</v>
      </c>
      <c r="F1375" s="2">
        <v>9</v>
      </c>
      <c r="G1375" s="5">
        <v>210</v>
      </c>
      <c r="H1375" s="24">
        <f t="shared" si="105"/>
        <v>1890</v>
      </c>
      <c r="I1375" s="7">
        <v>0</v>
      </c>
      <c r="J1375" s="5">
        <f t="shared" si="106"/>
        <v>0</v>
      </c>
      <c r="K1375" s="5">
        <f t="shared" si="107"/>
        <v>1890</v>
      </c>
      <c r="L1375" s="5">
        <v>170</v>
      </c>
      <c r="M1375" s="5">
        <f t="shared" si="108"/>
        <v>360</v>
      </c>
      <c r="N1375" s="7">
        <f t="shared" si="109"/>
        <v>0.19047619047619047</v>
      </c>
      <c r="O1375" s="1" t="s">
        <v>41</v>
      </c>
      <c r="P1375" s="1" t="s">
        <v>31</v>
      </c>
      <c r="Q1375" s="1" t="s">
        <v>32</v>
      </c>
      <c r="R1375" s="1" t="s">
        <v>50</v>
      </c>
      <c r="S1375" s="1" t="s">
        <v>430</v>
      </c>
      <c r="T1375" s="15" t="s">
        <v>53</v>
      </c>
    </row>
    <row r="1376" spans="1:20" x14ac:dyDescent="0.3">
      <c r="A1376" s="14">
        <v>1375</v>
      </c>
      <c r="B1376" s="4">
        <v>44423</v>
      </c>
      <c r="C1376" s="1" t="s">
        <v>532</v>
      </c>
      <c r="D1376" s="1" t="s">
        <v>28</v>
      </c>
      <c r="E1376" s="1" t="s">
        <v>21</v>
      </c>
      <c r="F1376" s="2">
        <v>12</v>
      </c>
      <c r="G1376" s="5">
        <v>220</v>
      </c>
      <c r="H1376" s="24">
        <f t="shared" si="105"/>
        <v>2640</v>
      </c>
      <c r="I1376" s="7">
        <v>0</v>
      </c>
      <c r="J1376" s="5">
        <f t="shared" si="106"/>
        <v>0</v>
      </c>
      <c r="K1376" s="5">
        <f t="shared" si="107"/>
        <v>2640</v>
      </c>
      <c r="L1376" s="5">
        <v>130</v>
      </c>
      <c r="M1376" s="5">
        <f t="shared" si="108"/>
        <v>1080</v>
      </c>
      <c r="N1376" s="7">
        <f t="shared" si="109"/>
        <v>0.40909090909090912</v>
      </c>
      <c r="O1376" s="1" t="s">
        <v>54</v>
      </c>
      <c r="P1376" s="1" t="s">
        <v>31</v>
      </c>
      <c r="Q1376" s="1" t="s">
        <v>37</v>
      </c>
      <c r="R1376" s="1" t="s">
        <v>38</v>
      </c>
      <c r="S1376" s="1" t="s">
        <v>412</v>
      </c>
      <c r="T1376" s="15" t="s">
        <v>27</v>
      </c>
    </row>
    <row r="1377" spans="1:20" x14ac:dyDescent="0.3">
      <c r="A1377" s="14">
        <v>1376</v>
      </c>
      <c r="B1377" s="4">
        <v>44448</v>
      </c>
      <c r="C1377" s="1" t="s">
        <v>531</v>
      </c>
      <c r="D1377" s="1" t="s">
        <v>20</v>
      </c>
      <c r="E1377" s="1" t="s">
        <v>21</v>
      </c>
      <c r="F1377" s="2">
        <v>8</v>
      </c>
      <c r="G1377" s="5">
        <v>200</v>
      </c>
      <c r="H1377" s="24">
        <f t="shared" si="105"/>
        <v>1600</v>
      </c>
      <c r="I1377" s="7">
        <v>0.15</v>
      </c>
      <c r="J1377" s="5">
        <f t="shared" si="106"/>
        <v>240</v>
      </c>
      <c r="K1377" s="5">
        <f t="shared" si="107"/>
        <v>1360</v>
      </c>
      <c r="L1377" s="5">
        <v>160</v>
      </c>
      <c r="M1377" s="5">
        <f t="shared" si="108"/>
        <v>80</v>
      </c>
      <c r="N1377" s="7">
        <f t="shared" si="109"/>
        <v>5.8823529411764705E-2</v>
      </c>
      <c r="O1377" s="1" t="s">
        <v>54</v>
      </c>
      <c r="P1377" s="1" t="s">
        <v>31</v>
      </c>
      <c r="Q1377" s="1" t="s">
        <v>48</v>
      </c>
      <c r="R1377" s="1" t="s">
        <v>38</v>
      </c>
      <c r="S1377" s="1" t="s">
        <v>44</v>
      </c>
      <c r="T1377" s="15" t="s">
        <v>27</v>
      </c>
    </row>
    <row r="1378" spans="1:20" x14ac:dyDescent="0.3">
      <c r="A1378" s="14">
        <v>1377</v>
      </c>
      <c r="B1378" s="4">
        <v>44484</v>
      </c>
      <c r="C1378" s="1" t="s">
        <v>529</v>
      </c>
      <c r="D1378" s="1" t="s">
        <v>82</v>
      </c>
      <c r="E1378" s="1" t="s">
        <v>21</v>
      </c>
      <c r="F1378" s="2">
        <v>9</v>
      </c>
      <c r="G1378" s="5">
        <v>190</v>
      </c>
      <c r="H1378" s="24">
        <f t="shared" si="105"/>
        <v>1710</v>
      </c>
      <c r="I1378" s="7">
        <v>0.15</v>
      </c>
      <c r="J1378" s="5">
        <f t="shared" si="106"/>
        <v>256.5</v>
      </c>
      <c r="K1378" s="5">
        <f t="shared" si="107"/>
        <v>1453.5</v>
      </c>
      <c r="L1378" s="5">
        <v>140</v>
      </c>
      <c r="M1378" s="5">
        <f t="shared" si="108"/>
        <v>193.5</v>
      </c>
      <c r="N1378" s="7">
        <f t="shared" si="109"/>
        <v>0.13312693498452013</v>
      </c>
      <c r="O1378" s="1" t="s">
        <v>59</v>
      </c>
      <c r="P1378" s="1" t="s">
        <v>31</v>
      </c>
      <c r="Q1378" s="1" t="s">
        <v>32</v>
      </c>
      <c r="R1378" s="1" t="s">
        <v>66</v>
      </c>
      <c r="S1378" s="1" t="s">
        <v>368</v>
      </c>
      <c r="T1378" s="15" t="s">
        <v>61</v>
      </c>
    </row>
    <row r="1379" spans="1:20" x14ac:dyDescent="0.3">
      <c r="A1379" s="14">
        <v>1378</v>
      </c>
      <c r="B1379" s="4">
        <v>44334</v>
      </c>
      <c r="C1379" s="1" t="s">
        <v>530</v>
      </c>
      <c r="D1379" s="1" t="s">
        <v>20</v>
      </c>
      <c r="E1379" s="1" t="s">
        <v>36</v>
      </c>
      <c r="F1379" s="2">
        <v>12</v>
      </c>
      <c r="G1379" s="5">
        <v>1100</v>
      </c>
      <c r="H1379" s="24">
        <f t="shared" si="105"/>
        <v>13200</v>
      </c>
      <c r="I1379" s="7">
        <v>0.05</v>
      </c>
      <c r="J1379" s="5">
        <f t="shared" si="106"/>
        <v>660</v>
      </c>
      <c r="K1379" s="5">
        <f t="shared" si="107"/>
        <v>12540</v>
      </c>
      <c r="L1379" s="5">
        <v>710</v>
      </c>
      <c r="M1379" s="5">
        <f t="shared" si="108"/>
        <v>4020</v>
      </c>
      <c r="N1379" s="7">
        <f t="shared" si="109"/>
        <v>0.32057416267942584</v>
      </c>
      <c r="O1379" s="1" t="s">
        <v>22</v>
      </c>
      <c r="P1379" s="1" t="s">
        <v>31</v>
      </c>
      <c r="Q1379" s="1" t="s">
        <v>37</v>
      </c>
      <c r="R1379" s="1" t="s">
        <v>56</v>
      </c>
      <c r="S1379" s="1" t="s">
        <v>91</v>
      </c>
      <c r="T1379" s="15" t="s">
        <v>35</v>
      </c>
    </row>
    <row r="1380" spans="1:20" x14ac:dyDescent="0.3">
      <c r="A1380" s="14">
        <v>1379</v>
      </c>
      <c r="B1380" s="4">
        <v>44209</v>
      </c>
      <c r="C1380" s="1" t="s">
        <v>531</v>
      </c>
      <c r="D1380" s="1" t="s">
        <v>20</v>
      </c>
      <c r="E1380" s="1" t="s">
        <v>29</v>
      </c>
      <c r="F1380" s="2">
        <v>12</v>
      </c>
      <c r="G1380" s="5">
        <v>2190</v>
      </c>
      <c r="H1380" s="24">
        <f t="shared" si="105"/>
        <v>26280</v>
      </c>
      <c r="I1380" s="7">
        <v>0.05</v>
      </c>
      <c r="J1380" s="5">
        <f t="shared" si="106"/>
        <v>1314</v>
      </c>
      <c r="K1380" s="5">
        <f t="shared" si="107"/>
        <v>24966</v>
      </c>
      <c r="L1380" s="5">
        <v>1640</v>
      </c>
      <c r="M1380" s="5">
        <f t="shared" si="108"/>
        <v>5286</v>
      </c>
      <c r="N1380" s="7">
        <f t="shared" si="109"/>
        <v>0.21172795001201633</v>
      </c>
      <c r="O1380" s="1" t="s">
        <v>59</v>
      </c>
      <c r="P1380" s="1" t="s">
        <v>31</v>
      </c>
      <c r="Q1380" s="1" t="s">
        <v>37</v>
      </c>
      <c r="R1380" s="1" t="s">
        <v>88</v>
      </c>
      <c r="S1380" s="1" t="s">
        <v>356</v>
      </c>
      <c r="T1380" s="15" t="s">
        <v>35</v>
      </c>
    </row>
    <row r="1381" spans="1:20" x14ac:dyDescent="0.3">
      <c r="A1381" s="14">
        <v>1380</v>
      </c>
      <c r="B1381" s="4">
        <v>44343</v>
      </c>
      <c r="C1381" s="1" t="s">
        <v>533</v>
      </c>
      <c r="D1381" s="1" t="s">
        <v>80</v>
      </c>
      <c r="E1381" s="1" t="s">
        <v>36</v>
      </c>
      <c r="F1381" s="2">
        <v>1</v>
      </c>
      <c r="G1381" s="5">
        <v>1190</v>
      </c>
      <c r="H1381" s="24">
        <f t="shared" si="105"/>
        <v>1190</v>
      </c>
      <c r="I1381" s="7">
        <v>0</v>
      </c>
      <c r="J1381" s="5">
        <f t="shared" si="106"/>
        <v>0</v>
      </c>
      <c r="K1381" s="5">
        <f t="shared" si="107"/>
        <v>1190</v>
      </c>
      <c r="L1381" s="5">
        <v>780</v>
      </c>
      <c r="M1381" s="5">
        <f t="shared" si="108"/>
        <v>410</v>
      </c>
      <c r="N1381" s="7">
        <f t="shared" si="109"/>
        <v>0.34453781512605042</v>
      </c>
      <c r="O1381" s="1" t="s">
        <v>30</v>
      </c>
      <c r="P1381" s="1" t="s">
        <v>31</v>
      </c>
      <c r="Q1381" s="1" t="s">
        <v>48</v>
      </c>
      <c r="R1381" s="1" t="s">
        <v>88</v>
      </c>
      <c r="S1381" s="1" t="s">
        <v>215</v>
      </c>
      <c r="T1381" s="15" t="s">
        <v>53</v>
      </c>
    </row>
    <row r="1382" spans="1:20" x14ac:dyDescent="0.3">
      <c r="A1382" s="14">
        <v>1381</v>
      </c>
      <c r="B1382" s="4">
        <v>44552</v>
      </c>
      <c r="C1382" s="1" t="s">
        <v>534</v>
      </c>
      <c r="D1382" s="1" t="s">
        <v>20</v>
      </c>
      <c r="E1382" s="1" t="s">
        <v>21</v>
      </c>
      <c r="F1382" s="2">
        <v>5</v>
      </c>
      <c r="G1382" s="5">
        <v>210</v>
      </c>
      <c r="H1382" s="24">
        <f t="shared" si="105"/>
        <v>1050</v>
      </c>
      <c r="I1382" s="7">
        <v>0</v>
      </c>
      <c r="J1382" s="5">
        <f t="shared" si="106"/>
        <v>0</v>
      </c>
      <c r="K1382" s="5">
        <f t="shared" si="107"/>
        <v>1050</v>
      </c>
      <c r="L1382" s="5">
        <v>120</v>
      </c>
      <c r="M1382" s="5">
        <f t="shared" si="108"/>
        <v>450</v>
      </c>
      <c r="N1382" s="7">
        <f t="shared" si="109"/>
        <v>0.42857142857142855</v>
      </c>
      <c r="O1382" s="1" t="s">
        <v>30</v>
      </c>
      <c r="P1382" s="1" t="s">
        <v>31</v>
      </c>
      <c r="Q1382" s="1" t="s">
        <v>24</v>
      </c>
      <c r="R1382" s="1" t="s">
        <v>25</v>
      </c>
      <c r="S1382" s="1" t="s">
        <v>361</v>
      </c>
      <c r="T1382" s="15" t="s">
        <v>61</v>
      </c>
    </row>
    <row r="1383" spans="1:20" x14ac:dyDescent="0.3">
      <c r="A1383" s="14">
        <v>1382</v>
      </c>
      <c r="B1383" s="4">
        <v>44333</v>
      </c>
      <c r="C1383" s="1" t="s">
        <v>529</v>
      </c>
      <c r="D1383" s="1" t="s">
        <v>28</v>
      </c>
      <c r="E1383" s="1" t="s">
        <v>45</v>
      </c>
      <c r="F1383" s="2">
        <v>5</v>
      </c>
      <c r="G1383" s="5">
        <v>200</v>
      </c>
      <c r="H1383" s="24">
        <f t="shared" si="105"/>
        <v>1000</v>
      </c>
      <c r="I1383" s="7">
        <v>0</v>
      </c>
      <c r="J1383" s="5">
        <f t="shared" si="106"/>
        <v>0</v>
      </c>
      <c r="K1383" s="5">
        <f t="shared" si="107"/>
        <v>1000</v>
      </c>
      <c r="L1383" s="5">
        <v>130</v>
      </c>
      <c r="M1383" s="5">
        <f t="shared" si="108"/>
        <v>350</v>
      </c>
      <c r="N1383" s="7">
        <f t="shared" si="109"/>
        <v>0.35</v>
      </c>
      <c r="O1383" s="1" t="s">
        <v>54</v>
      </c>
      <c r="P1383" s="1" t="s">
        <v>31</v>
      </c>
      <c r="Q1383" s="1" t="s">
        <v>37</v>
      </c>
      <c r="R1383" s="1" t="s">
        <v>46</v>
      </c>
      <c r="S1383" s="1" t="s">
        <v>400</v>
      </c>
      <c r="T1383" s="15" t="s">
        <v>35</v>
      </c>
    </row>
    <row r="1384" spans="1:20" x14ac:dyDescent="0.3">
      <c r="A1384" s="14">
        <v>1383</v>
      </c>
      <c r="B1384" s="4">
        <v>44294</v>
      </c>
      <c r="C1384" s="1" t="s">
        <v>533</v>
      </c>
      <c r="D1384" s="1" t="s">
        <v>28</v>
      </c>
      <c r="E1384" s="1" t="s">
        <v>21</v>
      </c>
      <c r="F1384" s="2">
        <v>2</v>
      </c>
      <c r="G1384" s="5">
        <v>220</v>
      </c>
      <c r="H1384" s="24">
        <f t="shared" si="105"/>
        <v>440</v>
      </c>
      <c r="I1384" s="7">
        <v>0.15</v>
      </c>
      <c r="J1384" s="5">
        <f t="shared" si="106"/>
        <v>66</v>
      </c>
      <c r="K1384" s="5">
        <f t="shared" si="107"/>
        <v>374</v>
      </c>
      <c r="L1384" s="5">
        <v>170</v>
      </c>
      <c r="M1384" s="5">
        <f t="shared" si="108"/>
        <v>34</v>
      </c>
      <c r="N1384" s="7">
        <f t="shared" si="109"/>
        <v>9.0909090909090912E-2</v>
      </c>
      <c r="O1384" s="1" t="s">
        <v>59</v>
      </c>
      <c r="P1384" s="1" t="s">
        <v>31</v>
      </c>
      <c r="Q1384" s="1" t="s">
        <v>24</v>
      </c>
      <c r="R1384" s="1" t="s">
        <v>50</v>
      </c>
      <c r="S1384" s="1" t="s">
        <v>428</v>
      </c>
      <c r="T1384" s="15" t="s">
        <v>53</v>
      </c>
    </row>
    <row r="1385" spans="1:20" x14ac:dyDescent="0.3">
      <c r="A1385" s="14">
        <v>1384</v>
      </c>
      <c r="B1385" s="4">
        <v>44342</v>
      </c>
      <c r="C1385" s="1" t="s">
        <v>532</v>
      </c>
      <c r="D1385" s="1" t="s">
        <v>28</v>
      </c>
      <c r="E1385" s="1" t="s">
        <v>21</v>
      </c>
      <c r="F1385" s="2">
        <v>2</v>
      </c>
      <c r="G1385" s="5">
        <v>200</v>
      </c>
      <c r="H1385" s="24">
        <f t="shared" si="105"/>
        <v>400</v>
      </c>
      <c r="I1385" s="7">
        <v>0</v>
      </c>
      <c r="J1385" s="5">
        <f t="shared" si="106"/>
        <v>0</v>
      </c>
      <c r="K1385" s="5">
        <f t="shared" si="107"/>
        <v>400</v>
      </c>
      <c r="L1385" s="5">
        <v>150</v>
      </c>
      <c r="M1385" s="5">
        <f t="shared" si="108"/>
        <v>100</v>
      </c>
      <c r="N1385" s="7">
        <f t="shared" si="109"/>
        <v>0.25</v>
      </c>
      <c r="O1385" s="1" t="s">
        <v>22</v>
      </c>
      <c r="P1385" s="1" t="s">
        <v>31</v>
      </c>
      <c r="Q1385" s="1" t="s">
        <v>37</v>
      </c>
      <c r="R1385" s="1" t="s">
        <v>66</v>
      </c>
      <c r="S1385" s="1" t="s">
        <v>158</v>
      </c>
      <c r="T1385" s="15" t="s">
        <v>53</v>
      </c>
    </row>
    <row r="1386" spans="1:20" x14ac:dyDescent="0.3">
      <c r="A1386" s="14">
        <v>1385</v>
      </c>
      <c r="B1386" s="4">
        <v>44339</v>
      </c>
      <c r="C1386" s="1" t="s">
        <v>529</v>
      </c>
      <c r="D1386" s="1" t="s">
        <v>28</v>
      </c>
      <c r="E1386" s="1" t="s">
        <v>43</v>
      </c>
      <c r="F1386" s="2">
        <v>2</v>
      </c>
      <c r="G1386" s="5">
        <v>330</v>
      </c>
      <c r="H1386" s="24">
        <f t="shared" si="105"/>
        <v>660</v>
      </c>
      <c r="I1386" s="7">
        <v>0.1</v>
      </c>
      <c r="J1386" s="5">
        <f t="shared" si="106"/>
        <v>66</v>
      </c>
      <c r="K1386" s="5">
        <f t="shared" si="107"/>
        <v>594</v>
      </c>
      <c r="L1386" s="5">
        <v>250</v>
      </c>
      <c r="M1386" s="5">
        <f t="shared" si="108"/>
        <v>94</v>
      </c>
      <c r="N1386" s="7">
        <f t="shared" si="109"/>
        <v>0.15824915824915825</v>
      </c>
      <c r="O1386" s="1" t="s">
        <v>54</v>
      </c>
      <c r="P1386" s="1" t="s">
        <v>31</v>
      </c>
      <c r="Q1386" s="1" t="s">
        <v>24</v>
      </c>
      <c r="R1386" s="1" t="s">
        <v>46</v>
      </c>
      <c r="S1386" s="1" t="s">
        <v>429</v>
      </c>
      <c r="T1386" s="15" t="s">
        <v>61</v>
      </c>
    </row>
    <row r="1387" spans="1:20" x14ac:dyDescent="0.3">
      <c r="A1387" s="14">
        <v>1386</v>
      </c>
      <c r="B1387" s="4">
        <v>44326</v>
      </c>
      <c r="C1387" s="1" t="s">
        <v>529</v>
      </c>
      <c r="D1387" s="1" t="s">
        <v>28</v>
      </c>
      <c r="E1387" s="1" t="s">
        <v>29</v>
      </c>
      <c r="F1387" s="2">
        <v>10</v>
      </c>
      <c r="G1387" s="5">
        <v>2320</v>
      </c>
      <c r="H1387" s="24">
        <f t="shared" si="105"/>
        <v>23200</v>
      </c>
      <c r="I1387" s="7">
        <v>0.05</v>
      </c>
      <c r="J1387" s="5">
        <f t="shared" si="106"/>
        <v>1160</v>
      </c>
      <c r="K1387" s="5">
        <f t="shared" si="107"/>
        <v>22040</v>
      </c>
      <c r="L1387" s="5">
        <v>1750</v>
      </c>
      <c r="M1387" s="5">
        <f t="shared" si="108"/>
        <v>4540</v>
      </c>
      <c r="N1387" s="7">
        <f t="shared" si="109"/>
        <v>0.20598911070780399</v>
      </c>
      <c r="O1387" s="1" t="s">
        <v>30</v>
      </c>
      <c r="P1387" s="1" t="s">
        <v>31</v>
      </c>
      <c r="Q1387" s="1" t="s">
        <v>37</v>
      </c>
      <c r="R1387" s="1" t="s">
        <v>88</v>
      </c>
      <c r="S1387" s="1" t="s">
        <v>379</v>
      </c>
      <c r="T1387" s="15" t="s">
        <v>35</v>
      </c>
    </row>
    <row r="1388" spans="1:20" x14ac:dyDescent="0.3">
      <c r="A1388" s="14">
        <v>1387</v>
      </c>
      <c r="B1388" s="4">
        <v>44525</v>
      </c>
      <c r="C1388" s="1" t="s">
        <v>534</v>
      </c>
      <c r="D1388" s="1" t="s">
        <v>82</v>
      </c>
      <c r="E1388" s="1" t="s">
        <v>36</v>
      </c>
      <c r="F1388" s="2">
        <v>8</v>
      </c>
      <c r="G1388" s="5">
        <v>1320</v>
      </c>
      <c r="H1388" s="24">
        <f t="shared" si="105"/>
        <v>10560</v>
      </c>
      <c r="I1388" s="7">
        <v>0</v>
      </c>
      <c r="J1388" s="5">
        <f t="shared" si="106"/>
        <v>0</v>
      </c>
      <c r="K1388" s="5">
        <f t="shared" si="107"/>
        <v>10560</v>
      </c>
      <c r="L1388" s="5">
        <v>930</v>
      </c>
      <c r="M1388" s="5">
        <f t="shared" si="108"/>
        <v>3120</v>
      </c>
      <c r="N1388" s="7">
        <f t="shared" si="109"/>
        <v>0.29545454545454547</v>
      </c>
      <c r="O1388" s="1" t="s">
        <v>59</v>
      </c>
      <c r="P1388" s="1" t="s">
        <v>62</v>
      </c>
      <c r="Q1388" s="1" t="s">
        <v>48</v>
      </c>
      <c r="R1388" s="1" t="s">
        <v>25</v>
      </c>
      <c r="S1388" s="1" t="s">
        <v>519</v>
      </c>
      <c r="T1388" s="15" t="s">
        <v>53</v>
      </c>
    </row>
    <row r="1389" spans="1:20" x14ac:dyDescent="0.3">
      <c r="A1389" s="14">
        <v>1388</v>
      </c>
      <c r="B1389" s="4">
        <v>44446</v>
      </c>
      <c r="C1389" s="1" t="s">
        <v>530</v>
      </c>
      <c r="D1389" s="1" t="s">
        <v>82</v>
      </c>
      <c r="E1389" s="1" t="s">
        <v>40</v>
      </c>
      <c r="F1389" s="2">
        <v>7</v>
      </c>
      <c r="G1389" s="5">
        <v>1460</v>
      </c>
      <c r="H1389" s="24">
        <f t="shared" si="105"/>
        <v>10220</v>
      </c>
      <c r="I1389" s="7">
        <v>0</v>
      </c>
      <c r="J1389" s="5">
        <f t="shared" si="106"/>
        <v>0</v>
      </c>
      <c r="K1389" s="5">
        <f t="shared" si="107"/>
        <v>10220</v>
      </c>
      <c r="L1389" s="5">
        <v>1140</v>
      </c>
      <c r="M1389" s="5">
        <f t="shared" si="108"/>
        <v>2240</v>
      </c>
      <c r="N1389" s="7">
        <f t="shared" si="109"/>
        <v>0.21917808219178081</v>
      </c>
      <c r="O1389" s="1" t="s">
        <v>30</v>
      </c>
      <c r="P1389" s="1" t="s">
        <v>76</v>
      </c>
      <c r="Q1389" s="1" t="s">
        <v>24</v>
      </c>
      <c r="R1389" s="1" t="s">
        <v>63</v>
      </c>
      <c r="S1389" s="1" t="s">
        <v>87</v>
      </c>
      <c r="T1389" s="15" t="s">
        <v>53</v>
      </c>
    </row>
    <row r="1390" spans="1:20" x14ac:dyDescent="0.3">
      <c r="A1390" s="14">
        <v>1389</v>
      </c>
      <c r="B1390" s="4">
        <v>44505</v>
      </c>
      <c r="C1390" s="1" t="s">
        <v>529</v>
      </c>
      <c r="D1390" s="1" t="s">
        <v>28</v>
      </c>
      <c r="E1390" s="1" t="s">
        <v>21</v>
      </c>
      <c r="F1390" s="2">
        <v>7</v>
      </c>
      <c r="G1390" s="5">
        <v>210</v>
      </c>
      <c r="H1390" s="24">
        <f t="shared" si="105"/>
        <v>1470</v>
      </c>
      <c r="I1390" s="7">
        <v>0.02</v>
      </c>
      <c r="J1390" s="5">
        <f t="shared" si="106"/>
        <v>29.400000000000002</v>
      </c>
      <c r="K1390" s="5">
        <f t="shared" si="107"/>
        <v>1440.6</v>
      </c>
      <c r="L1390" s="5">
        <v>130</v>
      </c>
      <c r="M1390" s="5">
        <f t="shared" si="108"/>
        <v>530.59999999999991</v>
      </c>
      <c r="N1390" s="7">
        <f t="shared" si="109"/>
        <v>0.36831875607385806</v>
      </c>
      <c r="O1390" s="1" t="s">
        <v>30</v>
      </c>
      <c r="P1390" s="1" t="s">
        <v>31</v>
      </c>
      <c r="Q1390" s="1" t="s">
        <v>48</v>
      </c>
      <c r="R1390" s="1" t="s">
        <v>49</v>
      </c>
      <c r="S1390" s="1" t="s">
        <v>202</v>
      </c>
      <c r="T1390" s="15" t="s">
        <v>53</v>
      </c>
    </row>
    <row r="1391" spans="1:20" x14ac:dyDescent="0.3">
      <c r="A1391" s="14">
        <v>1390</v>
      </c>
      <c r="B1391" s="4">
        <v>44492</v>
      </c>
      <c r="C1391" s="1" t="s">
        <v>534</v>
      </c>
      <c r="D1391" s="1" t="s">
        <v>28</v>
      </c>
      <c r="E1391" s="1" t="s">
        <v>29</v>
      </c>
      <c r="F1391" s="2">
        <v>6</v>
      </c>
      <c r="G1391" s="5">
        <v>1960</v>
      </c>
      <c r="H1391" s="24">
        <f t="shared" si="105"/>
        <v>11760</v>
      </c>
      <c r="I1391" s="7">
        <v>0</v>
      </c>
      <c r="J1391" s="5">
        <f t="shared" si="106"/>
        <v>0</v>
      </c>
      <c r="K1391" s="5">
        <f t="shared" si="107"/>
        <v>11760</v>
      </c>
      <c r="L1391" s="5">
        <v>1460</v>
      </c>
      <c r="M1391" s="5">
        <f t="shared" si="108"/>
        <v>3000</v>
      </c>
      <c r="N1391" s="7">
        <f t="shared" si="109"/>
        <v>0.25510204081632654</v>
      </c>
      <c r="O1391" s="1" t="s">
        <v>22</v>
      </c>
      <c r="P1391" s="1" t="s">
        <v>31</v>
      </c>
      <c r="Q1391" s="1" t="s">
        <v>37</v>
      </c>
      <c r="R1391" s="1" t="s">
        <v>49</v>
      </c>
      <c r="S1391" s="1" t="s">
        <v>376</v>
      </c>
      <c r="T1391" s="15" t="s">
        <v>53</v>
      </c>
    </row>
    <row r="1392" spans="1:20" x14ac:dyDescent="0.3">
      <c r="A1392" s="14">
        <v>1391</v>
      </c>
      <c r="B1392" s="4">
        <v>44480</v>
      </c>
      <c r="C1392" s="1" t="s">
        <v>534</v>
      </c>
      <c r="D1392" s="1" t="s">
        <v>20</v>
      </c>
      <c r="E1392" s="1" t="s">
        <v>36</v>
      </c>
      <c r="F1392" s="2">
        <v>7</v>
      </c>
      <c r="G1392" s="5">
        <v>2410</v>
      </c>
      <c r="H1392" s="24">
        <f t="shared" si="105"/>
        <v>16870</v>
      </c>
      <c r="I1392" s="7">
        <v>0</v>
      </c>
      <c r="J1392" s="5">
        <f t="shared" si="106"/>
        <v>0</v>
      </c>
      <c r="K1392" s="5">
        <f t="shared" si="107"/>
        <v>16870</v>
      </c>
      <c r="L1392" s="5">
        <v>1430</v>
      </c>
      <c r="M1392" s="5">
        <f t="shared" si="108"/>
        <v>6860</v>
      </c>
      <c r="N1392" s="7">
        <f t="shared" si="109"/>
        <v>0.40663900414937759</v>
      </c>
      <c r="O1392" s="1" t="s">
        <v>22</v>
      </c>
      <c r="P1392" s="1" t="s">
        <v>31</v>
      </c>
      <c r="Q1392" s="1" t="s">
        <v>37</v>
      </c>
      <c r="R1392" s="1" t="s">
        <v>63</v>
      </c>
      <c r="S1392" s="1" t="s">
        <v>247</v>
      </c>
      <c r="T1392" s="15" t="s">
        <v>53</v>
      </c>
    </row>
    <row r="1393" spans="1:20" x14ac:dyDescent="0.3">
      <c r="A1393" s="14">
        <v>1392</v>
      </c>
      <c r="B1393" s="4">
        <v>44451</v>
      </c>
      <c r="C1393" s="1" t="s">
        <v>533</v>
      </c>
      <c r="D1393" s="1" t="s">
        <v>28</v>
      </c>
      <c r="E1393" s="1" t="s">
        <v>21</v>
      </c>
      <c r="F1393" s="2">
        <v>9</v>
      </c>
      <c r="G1393" s="5">
        <v>200</v>
      </c>
      <c r="H1393" s="24">
        <f t="shared" si="105"/>
        <v>1800</v>
      </c>
      <c r="I1393" s="7">
        <v>0</v>
      </c>
      <c r="J1393" s="5">
        <f t="shared" si="106"/>
        <v>0</v>
      </c>
      <c r="K1393" s="5">
        <f t="shared" si="107"/>
        <v>1800</v>
      </c>
      <c r="L1393" s="5">
        <v>150</v>
      </c>
      <c r="M1393" s="5">
        <f t="shared" si="108"/>
        <v>450</v>
      </c>
      <c r="N1393" s="7">
        <f t="shared" si="109"/>
        <v>0.25</v>
      </c>
      <c r="O1393" s="1" t="s">
        <v>22</v>
      </c>
      <c r="P1393" s="1" t="s">
        <v>31</v>
      </c>
      <c r="Q1393" s="1" t="s">
        <v>32</v>
      </c>
      <c r="R1393" s="1" t="s">
        <v>56</v>
      </c>
      <c r="S1393" s="1" t="s">
        <v>376</v>
      </c>
      <c r="T1393" s="15" t="s">
        <v>53</v>
      </c>
    </row>
    <row r="1394" spans="1:20" x14ac:dyDescent="0.3">
      <c r="A1394" s="14">
        <v>1393</v>
      </c>
      <c r="B1394" s="4">
        <v>44466</v>
      </c>
      <c r="C1394" s="1" t="s">
        <v>534</v>
      </c>
      <c r="D1394" s="1" t="s">
        <v>20</v>
      </c>
      <c r="E1394" s="1" t="s">
        <v>45</v>
      </c>
      <c r="F1394" s="2">
        <v>2</v>
      </c>
      <c r="G1394" s="5">
        <v>200</v>
      </c>
      <c r="H1394" s="24">
        <f t="shared" si="105"/>
        <v>400</v>
      </c>
      <c r="I1394" s="7">
        <v>0</v>
      </c>
      <c r="J1394" s="5">
        <f t="shared" si="106"/>
        <v>0</v>
      </c>
      <c r="K1394" s="5">
        <f t="shared" si="107"/>
        <v>400</v>
      </c>
      <c r="L1394" s="5">
        <v>150</v>
      </c>
      <c r="M1394" s="5">
        <f t="shared" si="108"/>
        <v>100</v>
      </c>
      <c r="N1394" s="7">
        <f t="shared" si="109"/>
        <v>0.25</v>
      </c>
      <c r="O1394" s="1" t="s">
        <v>41</v>
      </c>
      <c r="P1394" s="1" t="s">
        <v>31</v>
      </c>
      <c r="Q1394" s="1" t="s">
        <v>37</v>
      </c>
      <c r="R1394" s="1" t="s">
        <v>46</v>
      </c>
      <c r="S1394" s="1" t="s">
        <v>325</v>
      </c>
      <c r="T1394" s="15" t="s">
        <v>61</v>
      </c>
    </row>
    <row r="1395" spans="1:20" x14ac:dyDescent="0.3">
      <c r="A1395" s="14">
        <v>1394</v>
      </c>
      <c r="B1395" s="4">
        <v>44326</v>
      </c>
      <c r="C1395" s="1" t="s">
        <v>533</v>
      </c>
      <c r="D1395" s="1" t="s">
        <v>82</v>
      </c>
      <c r="E1395" s="1" t="s">
        <v>40</v>
      </c>
      <c r="F1395" s="2">
        <v>10</v>
      </c>
      <c r="G1395" s="5">
        <v>1430</v>
      </c>
      <c r="H1395" s="24">
        <f t="shared" si="105"/>
        <v>14300</v>
      </c>
      <c r="I1395" s="7">
        <v>0.02</v>
      </c>
      <c r="J1395" s="5">
        <f t="shared" si="106"/>
        <v>286</v>
      </c>
      <c r="K1395" s="5">
        <f t="shared" si="107"/>
        <v>14014</v>
      </c>
      <c r="L1395" s="5">
        <v>1080</v>
      </c>
      <c r="M1395" s="5">
        <f t="shared" si="108"/>
        <v>3214</v>
      </c>
      <c r="N1395" s="7">
        <f t="shared" si="109"/>
        <v>0.22934208648494364</v>
      </c>
      <c r="O1395" s="1" t="s">
        <v>54</v>
      </c>
      <c r="P1395" s="1" t="s">
        <v>31</v>
      </c>
      <c r="Q1395" s="1" t="s">
        <v>48</v>
      </c>
      <c r="R1395" s="1" t="s">
        <v>50</v>
      </c>
      <c r="S1395" s="1" t="s">
        <v>195</v>
      </c>
      <c r="T1395" s="15" t="s">
        <v>61</v>
      </c>
    </row>
    <row r="1396" spans="1:20" x14ac:dyDescent="0.3">
      <c r="A1396" s="14">
        <v>1395</v>
      </c>
      <c r="B1396" s="4">
        <v>44312</v>
      </c>
      <c r="C1396" s="1" t="s">
        <v>530</v>
      </c>
      <c r="D1396" s="1" t="s">
        <v>20</v>
      </c>
      <c r="E1396" s="1" t="s">
        <v>45</v>
      </c>
      <c r="F1396" s="2">
        <v>1</v>
      </c>
      <c r="G1396" s="5">
        <v>190</v>
      </c>
      <c r="H1396" s="24">
        <f t="shared" si="105"/>
        <v>190</v>
      </c>
      <c r="I1396" s="7">
        <v>0.05</v>
      </c>
      <c r="J1396" s="5">
        <f t="shared" si="106"/>
        <v>9.5</v>
      </c>
      <c r="K1396" s="5">
        <f t="shared" si="107"/>
        <v>180.5</v>
      </c>
      <c r="L1396" s="5">
        <v>130</v>
      </c>
      <c r="M1396" s="5">
        <f t="shared" si="108"/>
        <v>50.5</v>
      </c>
      <c r="N1396" s="7">
        <f t="shared" si="109"/>
        <v>0.27977839335180055</v>
      </c>
      <c r="O1396" s="1" t="s">
        <v>59</v>
      </c>
      <c r="P1396" s="1" t="s">
        <v>31</v>
      </c>
      <c r="Q1396" s="1" t="s">
        <v>32</v>
      </c>
      <c r="R1396" s="1" t="s">
        <v>46</v>
      </c>
      <c r="S1396" s="1" t="s">
        <v>403</v>
      </c>
      <c r="T1396" s="15" t="s">
        <v>35</v>
      </c>
    </row>
    <row r="1397" spans="1:20" x14ac:dyDescent="0.3">
      <c r="A1397" s="14">
        <v>1396</v>
      </c>
      <c r="B1397" s="4">
        <v>44512</v>
      </c>
      <c r="C1397" s="1" t="s">
        <v>533</v>
      </c>
      <c r="D1397" s="1" t="s">
        <v>82</v>
      </c>
      <c r="E1397" s="1" t="s">
        <v>43</v>
      </c>
      <c r="F1397" s="2">
        <v>5</v>
      </c>
      <c r="G1397" s="5">
        <v>280</v>
      </c>
      <c r="H1397" s="24">
        <f t="shared" si="105"/>
        <v>1400</v>
      </c>
      <c r="I1397" s="7">
        <v>0</v>
      </c>
      <c r="J1397" s="5">
        <f t="shared" si="106"/>
        <v>0</v>
      </c>
      <c r="K1397" s="5">
        <f t="shared" si="107"/>
        <v>1400</v>
      </c>
      <c r="L1397" s="5">
        <v>210</v>
      </c>
      <c r="M1397" s="5">
        <f t="shared" si="108"/>
        <v>350</v>
      </c>
      <c r="N1397" s="7">
        <f t="shared" si="109"/>
        <v>0.25</v>
      </c>
      <c r="O1397" s="1" t="s">
        <v>30</v>
      </c>
      <c r="P1397" s="1" t="s">
        <v>62</v>
      </c>
      <c r="Q1397" s="1" t="s">
        <v>32</v>
      </c>
      <c r="R1397" s="1" t="s">
        <v>66</v>
      </c>
      <c r="S1397" s="1" t="s">
        <v>520</v>
      </c>
      <c r="T1397" s="15" t="s">
        <v>27</v>
      </c>
    </row>
    <row r="1398" spans="1:20" x14ac:dyDescent="0.3">
      <c r="A1398" s="14">
        <v>1397</v>
      </c>
      <c r="B1398" s="4">
        <v>44516</v>
      </c>
      <c r="C1398" s="1" t="s">
        <v>533</v>
      </c>
      <c r="D1398" s="1" t="s">
        <v>28</v>
      </c>
      <c r="E1398" s="1" t="s">
        <v>43</v>
      </c>
      <c r="F1398" s="2">
        <v>6</v>
      </c>
      <c r="G1398" s="5">
        <v>320</v>
      </c>
      <c r="H1398" s="24">
        <f t="shared" si="105"/>
        <v>1920</v>
      </c>
      <c r="I1398" s="7">
        <v>0</v>
      </c>
      <c r="J1398" s="5">
        <f t="shared" si="106"/>
        <v>0</v>
      </c>
      <c r="K1398" s="5">
        <f t="shared" si="107"/>
        <v>1920</v>
      </c>
      <c r="L1398" s="5">
        <v>250</v>
      </c>
      <c r="M1398" s="5">
        <f t="shared" si="108"/>
        <v>420</v>
      </c>
      <c r="N1398" s="7">
        <f t="shared" si="109"/>
        <v>0.21875</v>
      </c>
      <c r="O1398" s="1" t="s">
        <v>30</v>
      </c>
      <c r="P1398" s="1" t="s">
        <v>31</v>
      </c>
      <c r="Q1398" s="1" t="s">
        <v>37</v>
      </c>
      <c r="R1398" s="1" t="s">
        <v>38</v>
      </c>
      <c r="S1398" s="1" t="s">
        <v>204</v>
      </c>
      <c r="T1398" s="15" t="s">
        <v>53</v>
      </c>
    </row>
    <row r="1399" spans="1:20" x14ac:dyDescent="0.3">
      <c r="A1399" s="14">
        <v>1398</v>
      </c>
      <c r="B1399" s="4">
        <v>44296</v>
      </c>
      <c r="C1399" s="1" t="s">
        <v>533</v>
      </c>
      <c r="D1399" s="1" t="s">
        <v>28</v>
      </c>
      <c r="E1399" s="1" t="s">
        <v>36</v>
      </c>
      <c r="F1399" s="2">
        <v>6</v>
      </c>
      <c r="G1399" s="5">
        <v>1180</v>
      </c>
      <c r="H1399" s="24">
        <f t="shared" si="105"/>
        <v>7080</v>
      </c>
      <c r="I1399" s="7">
        <v>0.02</v>
      </c>
      <c r="J1399" s="5">
        <f t="shared" si="106"/>
        <v>141.6</v>
      </c>
      <c r="K1399" s="5">
        <f t="shared" si="107"/>
        <v>6938.4</v>
      </c>
      <c r="L1399" s="5">
        <v>900</v>
      </c>
      <c r="M1399" s="5">
        <f t="shared" si="108"/>
        <v>1538.3999999999996</v>
      </c>
      <c r="N1399" s="7">
        <f t="shared" si="109"/>
        <v>0.2217225873400207</v>
      </c>
      <c r="O1399" s="1" t="s">
        <v>22</v>
      </c>
      <c r="P1399" s="1" t="s">
        <v>31</v>
      </c>
      <c r="Q1399" s="1" t="s">
        <v>48</v>
      </c>
      <c r="R1399" s="1" t="s">
        <v>63</v>
      </c>
      <c r="S1399" s="1" t="s">
        <v>231</v>
      </c>
      <c r="T1399" s="15" t="s">
        <v>35</v>
      </c>
    </row>
    <row r="1400" spans="1:20" x14ac:dyDescent="0.3">
      <c r="A1400" s="14">
        <v>1399</v>
      </c>
      <c r="B1400" s="4">
        <v>44499</v>
      </c>
      <c r="C1400" s="1" t="s">
        <v>533</v>
      </c>
      <c r="D1400" s="1" t="s">
        <v>28</v>
      </c>
      <c r="E1400" s="1" t="s">
        <v>36</v>
      </c>
      <c r="F1400" s="2">
        <v>5</v>
      </c>
      <c r="G1400" s="5">
        <v>1320</v>
      </c>
      <c r="H1400" s="24">
        <f t="shared" si="105"/>
        <v>6600</v>
      </c>
      <c r="I1400" s="7">
        <v>0</v>
      </c>
      <c r="J1400" s="5">
        <f t="shared" si="106"/>
        <v>0</v>
      </c>
      <c r="K1400" s="5">
        <f t="shared" si="107"/>
        <v>6600</v>
      </c>
      <c r="L1400" s="5">
        <v>950</v>
      </c>
      <c r="M1400" s="5">
        <f t="shared" si="108"/>
        <v>1850</v>
      </c>
      <c r="N1400" s="7">
        <f t="shared" si="109"/>
        <v>0.28030303030303028</v>
      </c>
      <c r="O1400" s="1" t="s">
        <v>59</v>
      </c>
      <c r="P1400" s="1" t="s">
        <v>31</v>
      </c>
      <c r="Q1400" s="1" t="s">
        <v>37</v>
      </c>
      <c r="R1400" s="1" t="s">
        <v>56</v>
      </c>
      <c r="S1400" s="1" t="s">
        <v>122</v>
      </c>
      <c r="T1400" s="15" t="s">
        <v>27</v>
      </c>
    </row>
    <row r="1401" spans="1:20" x14ac:dyDescent="0.3">
      <c r="A1401" s="14">
        <v>1400</v>
      </c>
      <c r="B1401" s="4">
        <v>44456</v>
      </c>
      <c r="C1401" s="1" t="s">
        <v>530</v>
      </c>
      <c r="D1401" s="1" t="s">
        <v>28</v>
      </c>
      <c r="E1401" s="1" t="s">
        <v>43</v>
      </c>
      <c r="F1401" s="2">
        <v>6</v>
      </c>
      <c r="G1401" s="5">
        <v>310</v>
      </c>
      <c r="H1401" s="24">
        <f t="shared" si="105"/>
        <v>1860</v>
      </c>
      <c r="I1401" s="7">
        <v>0</v>
      </c>
      <c r="J1401" s="5">
        <f t="shared" si="106"/>
        <v>0</v>
      </c>
      <c r="K1401" s="5">
        <f t="shared" si="107"/>
        <v>1860</v>
      </c>
      <c r="L1401" s="5">
        <v>240</v>
      </c>
      <c r="M1401" s="5">
        <f t="shared" si="108"/>
        <v>420</v>
      </c>
      <c r="N1401" s="7">
        <f t="shared" si="109"/>
        <v>0.22580645161290322</v>
      </c>
      <c r="O1401" s="1" t="s">
        <v>41</v>
      </c>
      <c r="P1401" s="1" t="s">
        <v>31</v>
      </c>
      <c r="Q1401" s="1" t="s">
        <v>48</v>
      </c>
      <c r="R1401" s="1" t="s">
        <v>38</v>
      </c>
      <c r="S1401" s="1" t="s">
        <v>74</v>
      </c>
      <c r="T1401" s="15" t="s">
        <v>27</v>
      </c>
    </row>
    <row r="1402" spans="1:20" x14ac:dyDescent="0.3">
      <c r="A1402" s="14">
        <v>1401</v>
      </c>
      <c r="B1402" s="4">
        <v>44318</v>
      </c>
      <c r="C1402" s="1" t="s">
        <v>529</v>
      </c>
      <c r="D1402" s="1" t="s">
        <v>82</v>
      </c>
      <c r="E1402" s="1" t="s">
        <v>29</v>
      </c>
      <c r="F1402" s="2">
        <v>9</v>
      </c>
      <c r="G1402" s="5">
        <v>2410</v>
      </c>
      <c r="H1402" s="24">
        <f t="shared" si="105"/>
        <v>21690</v>
      </c>
      <c r="I1402" s="7">
        <v>0</v>
      </c>
      <c r="J1402" s="5">
        <f t="shared" si="106"/>
        <v>0</v>
      </c>
      <c r="K1402" s="5">
        <f t="shared" si="107"/>
        <v>21690</v>
      </c>
      <c r="L1402" s="5">
        <v>1430</v>
      </c>
      <c r="M1402" s="5">
        <f t="shared" si="108"/>
        <v>8820</v>
      </c>
      <c r="N1402" s="7">
        <f t="shared" si="109"/>
        <v>0.40663900414937759</v>
      </c>
      <c r="O1402" s="1" t="s">
        <v>22</v>
      </c>
      <c r="P1402" s="1" t="s">
        <v>31</v>
      </c>
      <c r="Q1402" s="1" t="s">
        <v>37</v>
      </c>
      <c r="R1402" s="1" t="s">
        <v>38</v>
      </c>
      <c r="S1402" s="1" t="s">
        <v>310</v>
      </c>
      <c r="T1402" s="15" t="s">
        <v>61</v>
      </c>
    </row>
    <row r="1403" spans="1:20" x14ac:dyDescent="0.3">
      <c r="A1403" s="14">
        <v>1402</v>
      </c>
      <c r="B1403" s="4">
        <v>44510</v>
      </c>
      <c r="C1403" s="1" t="s">
        <v>529</v>
      </c>
      <c r="D1403" s="1" t="s">
        <v>82</v>
      </c>
      <c r="E1403" s="1" t="s">
        <v>21</v>
      </c>
      <c r="F1403" s="2">
        <v>9</v>
      </c>
      <c r="G1403" s="5">
        <v>180</v>
      </c>
      <c r="H1403" s="24">
        <f t="shared" si="105"/>
        <v>1620</v>
      </c>
      <c r="I1403" s="7">
        <v>0.15</v>
      </c>
      <c r="J1403" s="5">
        <f t="shared" si="106"/>
        <v>243</v>
      </c>
      <c r="K1403" s="5">
        <f t="shared" si="107"/>
        <v>1377</v>
      </c>
      <c r="L1403" s="5">
        <v>140</v>
      </c>
      <c r="M1403" s="5">
        <f t="shared" si="108"/>
        <v>117</v>
      </c>
      <c r="N1403" s="7">
        <f t="shared" si="109"/>
        <v>8.4967320261437912E-2</v>
      </c>
      <c r="O1403" s="1" t="s">
        <v>59</v>
      </c>
      <c r="P1403" s="1" t="s">
        <v>31</v>
      </c>
      <c r="Q1403" s="1" t="s">
        <v>37</v>
      </c>
      <c r="R1403" s="1" t="s">
        <v>63</v>
      </c>
      <c r="S1403" s="1" t="s">
        <v>159</v>
      </c>
      <c r="T1403" s="15" t="s">
        <v>27</v>
      </c>
    </row>
    <row r="1404" spans="1:20" x14ac:dyDescent="0.3">
      <c r="A1404" s="14">
        <v>1403</v>
      </c>
      <c r="B1404" s="4">
        <v>44223</v>
      </c>
      <c r="C1404" s="1" t="s">
        <v>533</v>
      </c>
      <c r="D1404" s="1" t="s">
        <v>28</v>
      </c>
      <c r="E1404" s="1" t="s">
        <v>29</v>
      </c>
      <c r="F1404" s="2">
        <v>6</v>
      </c>
      <c r="G1404" s="5">
        <v>1980</v>
      </c>
      <c r="H1404" s="24">
        <f t="shared" si="105"/>
        <v>11880</v>
      </c>
      <c r="I1404" s="7">
        <v>0</v>
      </c>
      <c r="J1404" s="5">
        <f t="shared" si="106"/>
        <v>0</v>
      </c>
      <c r="K1404" s="5">
        <f t="shared" si="107"/>
        <v>11880</v>
      </c>
      <c r="L1404" s="5">
        <v>1490</v>
      </c>
      <c r="M1404" s="5">
        <f t="shared" si="108"/>
        <v>2940</v>
      </c>
      <c r="N1404" s="7">
        <f t="shared" si="109"/>
        <v>0.24747474747474749</v>
      </c>
      <c r="O1404" s="1" t="s">
        <v>41</v>
      </c>
      <c r="P1404" s="1" t="s">
        <v>31</v>
      </c>
      <c r="Q1404" s="1" t="s">
        <v>24</v>
      </c>
      <c r="R1404" s="1" t="s">
        <v>50</v>
      </c>
      <c r="S1404" s="1" t="s">
        <v>210</v>
      </c>
      <c r="T1404" s="15" t="s">
        <v>35</v>
      </c>
    </row>
    <row r="1405" spans="1:20" x14ac:dyDescent="0.3">
      <c r="A1405" s="14">
        <v>1404</v>
      </c>
      <c r="B1405" s="4">
        <v>44299</v>
      </c>
      <c r="C1405" s="1" t="s">
        <v>530</v>
      </c>
      <c r="D1405" s="1" t="s">
        <v>20</v>
      </c>
      <c r="E1405" s="1" t="s">
        <v>40</v>
      </c>
      <c r="F1405" s="2">
        <v>1</v>
      </c>
      <c r="G1405" s="5">
        <v>1610</v>
      </c>
      <c r="H1405" s="24">
        <f t="shared" si="105"/>
        <v>1610</v>
      </c>
      <c r="I1405" s="7">
        <v>0.05</v>
      </c>
      <c r="J1405" s="5">
        <f t="shared" si="106"/>
        <v>80.5</v>
      </c>
      <c r="K1405" s="5">
        <f t="shared" si="107"/>
        <v>1529.5</v>
      </c>
      <c r="L1405" s="5">
        <v>1070</v>
      </c>
      <c r="M1405" s="5">
        <f t="shared" si="108"/>
        <v>459.5</v>
      </c>
      <c r="N1405" s="7">
        <f t="shared" si="109"/>
        <v>0.30042497548218372</v>
      </c>
      <c r="O1405" s="1" t="s">
        <v>22</v>
      </c>
      <c r="P1405" s="1" t="s">
        <v>31</v>
      </c>
      <c r="Q1405" s="1" t="s">
        <v>37</v>
      </c>
      <c r="R1405" s="1" t="s">
        <v>66</v>
      </c>
      <c r="S1405" s="1" t="s">
        <v>441</v>
      </c>
      <c r="T1405" s="15" t="s">
        <v>61</v>
      </c>
    </row>
    <row r="1406" spans="1:20" x14ac:dyDescent="0.3">
      <c r="A1406" s="14">
        <v>1405</v>
      </c>
      <c r="B1406" s="4">
        <v>44353</v>
      </c>
      <c r="C1406" s="1" t="s">
        <v>533</v>
      </c>
      <c r="D1406" s="1" t="s">
        <v>28</v>
      </c>
      <c r="E1406" s="1" t="s">
        <v>45</v>
      </c>
      <c r="F1406" s="2">
        <v>2</v>
      </c>
      <c r="G1406" s="5">
        <v>180</v>
      </c>
      <c r="H1406" s="24">
        <f t="shared" si="105"/>
        <v>360</v>
      </c>
      <c r="I1406" s="7">
        <v>0.05</v>
      </c>
      <c r="J1406" s="5">
        <f t="shared" si="106"/>
        <v>18</v>
      </c>
      <c r="K1406" s="5">
        <f t="shared" si="107"/>
        <v>342</v>
      </c>
      <c r="L1406" s="5">
        <v>130</v>
      </c>
      <c r="M1406" s="5">
        <f t="shared" si="108"/>
        <v>82</v>
      </c>
      <c r="N1406" s="7">
        <f t="shared" si="109"/>
        <v>0.23976608187134502</v>
      </c>
      <c r="O1406" s="1" t="s">
        <v>30</v>
      </c>
      <c r="P1406" s="1" t="s">
        <v>31</v>
      </c>
      <c r="Q1406" s="1" t="s">
        <v>37</v>
      </c>
      <c r="R1406" s="1" t="s">
        <v>63</v>
      </c>
      <c r="S1406" s="1" t="s">
        <v>435</v>
      </c>
      <c r="T1406" s="15" t="s">
        <v>35</v>
      </c>
    </row>
    <row r="1407" spans="1:20" x14ac:dyDescent="0.3">
      <c r="A1407" s="14">
        <v>1406</v>
      </c>
      <c r="B1407" s="4">
        <v>44263</v>
      </c>
      <c r="C1407" s="1" t="s">
        <v>533</v>
      </c>
      <c r="D1407" s="1" t="s">
        <v>28</v>
      </c>
      <c r="E1407" s="1" t="s">
        <v>29</v>
      </c>
      <c r="F1407" s="2">
        <v>3</v>
      </c>
      <c r="G1407" s="5">
        <v>2040</v>
      </c>
      <c r="H1407" s="24">
        <f t="shared" si="105"/>
        <v>6120</v>
      </c>
      <c r="I1407" s="7">
        <v>0.02</v>
      </c>
      <c r="J1407" s="5">
        <f t="shared" si="106"/>
        <v>122.4</v>
      </c>
      <c r="K1407" s="5">
        <f t="shared" si="107"/>
        <v>5997.6</v>
      </c>
      <c r="L1407" s="5">
        <v>1570</v>
      </c>
      <c r="M1407" s="5">
        <f t="shared" si="108"/>
        <v>1287.6000000000004</v>
      </c>
      <c r="N1407" s="7">
        <f t="shared" si="109"/>
        <v>0.21468587434973993</v>
      </c>
      <c r="O1407" s="1" t="s">
        <v>41</v>
      </c>
      <c r="P1407" s="1" t="s">
        <v>31</v>
      </c>
      <c r="Q1407" s="1" t="s">
        <v>37</v>
      </c>
      <c r="R1407" s="1" t="s">
        <v>63</v>
      </c>
      <c r="S1407" s="1" t="s">
        <v>521</v>
      </c>
      <c r="T1407" s="15" t="s">
        <v>35</v>
      </c>
    </row>
    <row r="1408" spans="1:20" x14ac:dyDescent="0.3">
      <c r="A1408" s="14">
        <v>1407</v>
      </c>
      <c r="B1408" s="4">
        <v>44417</v>
      </c>
      <c r="C1408" s="1" t="s">
        <v>530</v>
      </c>
      <c r="D1408" s="1" t="s">
        <v>82</v>
      </c>
      <c r="E1408" s="1" t="s">
        <v>29</v>
      </c>
      <c r="F1408" s="2">
        <v>12</v>
      </c>
      <c r="G1408" s="5">
        <v>2070</v>
      </c>
      <c r="H1408" s="24">
        <f t="shared" si="105"/>
        <v>24840</v>
      </c>
      <c r="I1408" s="7">
        <v>0.1</v>
      </c>
      <c r="J1408" s="5">
        <f t="shared" si="106"/>
        <v>2484</v>
      </c>
      <c r="K1408" s="5">
        <f t="shared" si="107"/>
        <v>22356</v>
      </c>
      <c r="L1408" s="5">
        <v>1650</v>
      </c>
      <c r="M1408" s="5">
        <f t="shared" si="108"/>
        <v>2556</v>
      </c>
      <c r="N1408" s="7">
        <f t="shared" si="109"/>
        <v>0.1143317230273752</v>
      </c>
      <c r="O1408" s="1" t="s">
        <v>41</v>
      </c>
      <c r="P1408" s="1" t="s">
        <v>31</v>
      </c>
      <c r="Q1408" s="1" t="s">
        <v>32</v>
      </c>
      <c r="R1408" s="1" t="s">
        <v>25</v>
      </c>
      <c r="S1408" s="1" t="s">
        <v>221</v>
      </c>
      <c r="T1408" s="15" t="s">
        <v>53</v>
      </c>
    </row>
    <row r="1409" spans="1:20" x14ac:dyDescent="0.3">
      <c r="A1409" s="14">
        <v>1408</v>
      </c>
      <c r="B1409" s="4">
        <v>44334</v>
      </c>
      <c r="C1409" s="1" t="s">
        <v>532</v>
      </c>
      <c r="D1409" s="1" t="s">
        <v>20</v>
      </c>
      <c r="E1409" s="1" t="s">
        <v>29</v>
      </c>
      <c r="F1409" s="2">
        <v>11</v>
      </c>
      <c r="G1409" s="5">
        <v>2280</v>
      </c>
      <c r="H1409" s="24">
        <f t="shared" si="105"/>
        <v>25080</v>
      </c>
      <c r="I1409" s="7">
        <v>0.02</v>
      </c>
      <c r="J1409" s="5">
        <f t="shared" si="106"/>
        <v>501.6</v>
      </c>
      <c r="K1409" s="5">
        <f t="shared" si="107"/>
        <v>24578.400000000001</v>
      </c>
      <c r="L1409" s="5">
        <v>1730</v>
      </c>
      <c r="M1409" s="5">
        <f t="shared" si="108"/>
        <v>5548.4000000000015</v>
      </c>
      <c r="N1409" s="7">
        <f t="shared" si="109"/>
        <v>0.2257429287504476</v>
      </c>
      <c r="O1409" s="1" t="s">
        <v>41</v>
      </c>
      <c r="P1409" s="1" t="s">
        <v>31</v>
      </c>
      <c r="Q1409" s="1" t="s">
        <v>32</v>
      </c>
      <c r="R1409" s="1" t="s">
        <v>66</v>
      </c>
      <c r="S1409" s="1" t="s">
        <v>336</v>
      </c>
      <c r="T1409" s="15" t="s">
        <v>27</v>
      </c>
    </row>
    <row r="1410" spans="1:20" x14ac:dyDescent="0.3">
      <c r="A1410" s="14">
        <v>1409</v>
      </c>
      <c r="B1410" s="4">
        <v>44449</v>
      </c>
      <c r="C1410" s="1" t="s">
        <v>529</v>
      </c>
      <c r="D1410" s="1" t="s">
        <v>82</v>
      </c>
      <c r="E1410" s="1" t="s">
        <v>29</v>
      </c>
      <c r="F1410" s="2">
        <v>5</v>
      </c>
      <c r="G1410" s="5">
        <v>2030</v>
      </c>
      <c r="H1410" s="24">
        <f t="shared" ref="H1410:H1473" si="110">F1410*G1410</f>
        <v>10150</v>
      </c>
      <c r="I1410" s="7">
        <v>0.15</v>
      </c>
      <c r="J1410" s="5">
        <f t="shared" ref="J1410:J1473" si="111">H1410*I1410</f>
        <v>1522.5</v>
      </c>
      <c r="K1410" s="5">
        <f t="shared" ref="K1410:K1473" si="112">H1410-J1410</f>
        <v>8627.5</v>
      </c>
      <c r="L1410" s="5">
        <v>1220</v>
      </c>
      <c r="M1410" s="5">
        <f t="shared" ref="M1410:M1473" si="113">K1410-(F1410*L1410)</f>
        <v>2527.5</v>
      </c>
      <c r="N1410" s="7">
        <f t="shared" ref="N1410:N1473" si="114">IFERROR(M1410/K1410,0)</f>
        <v>0.29295856273543902</v>
      </c>
      <c r="O1410" s="1" t="s">
        <v>54</v>
      </c>
      <c r="P1410" s="1" t="s">
        <v>31</v>
      </c>
      <c r="Q1410" s="1" t="s">
        <v>48</v>
      </c>
      <c r="R1410" s="1" t="s">
        <v>49</v>
      </c>
      <c r="S1410" s="1" t="s">
        <v>47</v>
      </c>
      <c r="T1410" s="15" t="s">
        <v>61</v>
      </c>
    </row>
    <row r="1411" spans="1:20" x14ac:dyDescent="0.3">
      <c r="A1411" s="14">
        <v>1410</v>
      </c>
      <c r="B1411" s="4">
        <v>44306</v>
      </c>
      <c r="C1411" s="1" t="s">
        <v>530</v>
      </c>
      <c r="D1411" s="1" t="s">
        <v>20</v>
      </c>
      <c r="E1411" s="1" t="s">
        <v>21</v>
      </c>
      <c r="F1411" s="2">
        <v>8</v>
      </c>
      <c r="G1411" s="5">
        <v>180</v>
      </c>
      <c r="H1411" s="24">
        <f t="shared" si="110"/>
        <v>1440</v>
      </c>
      <c r="I1411" s="7">
        <v>0</v>
      </c>
      <c r="J1411" s="5">
        <f t="shared" si="111"/>
        <v>0</v>
      </c>
      <c r="K1411" s="5">
        <f t="shared" si="112"/>
        <v>1440</v>
      </c>
      <c r="L1411" s="5">
        <v>110</v>
      </c>
      <c r="M1411" s="5">
        <f t="shared" si="113"/>
        <v>560</v>
      </c>
      <c r="N1411" s="7">
        <f t="shared" si="114"/>
        <v>0.3888888888888889</v>
      </c>
      <c r="O1411" s="1" t="s">
        <v>22</v>
      </c>
      <c r="P1411" s="1" t="s">
        <v>31</v>
      </c>
      <c r="Q1411" s="1" t="s">
        <v>24</v>
      </c>
      <c r="R1411" s="1" t="s">
        <v>56</v>
      </c>
      <c r="S1411" s="1" t="s">
        <v>99</v>
      </c>
      <c r="T1411" s="15" t="s">
        <v>27</v>
      </c>
    </row>
    <row r="1412" spans="1:20" x14ac:dyDescent="0.3">
      <c r="A1412" s="14">
        <v>1411</v>
      </c>
      <c r="B1412" s="4">
        <v>44386</v>
      </c>
      <c r="C1412" s="1" t="s">
        <v>529</v>
      </c>
      <c r="D1412" s="1" t="s">
        <v>28</v>
      </c>
      <c r="E1412" s="1" t="s">
        <v>43</v>
      </c>
      <c r="F1412" s="2">
        <v>10</v>
      </c>
      <c r="G1412" s="5">
        <v>340</v>
      </c>
      <c r="H1412" s="24">
        <f t="shared" si="110"/>
        <v>3400</v>
      </c>
      <c r="I1412" s="7">
        <v>0</v>
      </c>
      <c r="J1412" s="5">
        <f t="shared" si="111"/>
        <v>0</v>
      </c>
      <c r="K1412" s="5">
        <f t="shared" si="112"/>
        <v>3400</v>
      </c>
      <c r="L1412" s="5">
        <v>220</v>
      </c>
      <c r="M1412" s="5">
        <f t="shared" si="113"/>
        <v>1200</v>
      </c>
      <c r="N1412" s="7">
        <f t="shared" si="114"/>
        <v>0.35294117647058826</v>
      </c>
      <c r="O1412" s="1" t="s">
        <v>59</v>
      </c>
      <c r="P1412" s="1" t="s">
        <v>31</v>
      </c>
      <c r="Q1412" s="1" t="s">
        <v>32</v>
      </c>
      <c r="R1412" s="1" t="s">
        <v>56</v>
      </c>
      <c r="S1412" s="1" t="s">
        <v>99</v>
      </c>
      <c r="T1412" s="15" t="s">
        <v>61</v>
      </c>
    </row>
    <row r="1413" spans="1:20" x14ac:dyDescent="0.3">
      <c r="A1413" s="14">
        <v>1412</v>
      </c>
      <c r="B1413" s="4">
        <v>44253</v>
      </c>
      <c r="C1413" s="1" t="s">
        <v>531</v>
      </c>
      <c r="D1413" s="1" t="s">
        <v>20</v>
      </c>
      <c r="E1413" s="1" t="s">
        <v>36</v>
      </c>
      <c r="F1413" s="2">
        <v>10</v>
      </c>
      <c r="G1413" s="5">
        <v>1210</v>
      </c>
      <c r="H1413" s="24">
        <f t="shared" si="110"/>
        <v>12100</v>
      </c>
      <c r="I1413" s="7">
        <v>0.15</v>
      </c>
      <c r="J1413" s="5">
        <f t="shared" si="111"/>
        <v>1815</v>
      </c>
      <c r="K1413" s="5">
        <f t="shared" si="112"/>
        <v>10285</v>
      </c>
      <c r="L1413" s="5">
        <v>880</v>
      </c>
      <c r="M1413" s="5">
        <f t="shared" si="113"/>
        <v>1485</v>
      </c>
      <c r="N1413" s="7">
        <f t="shared" si="114"/>
        <v>0.14438502673796791</v>
      </c>
      <c r="O1413" s="1" t="s">
        <v>41</v>
      </c>
      <c r="P1413" s="1" t="s">
        <v>31</v>
      </c>
      <c r="Q1413" s="1" t="s">
        <v>32</v>
      </c>
      <c r="R1413" s="1" t="s">
        <v>46</v>
      </c>
      <c r="S1413" s="1" t="s">
        <v>488</v>
      </c>
      <c r="T1413" s="15" t="s">
        <v>27</v>
      </c>
    </row>
    <row r="1414" spans="1:20" x14ac:dyDescent="0.3">
      <c r="A1414" s="14">
        <v>1413</v>
      </c>
      <c r="B1414" s="4">
        <v>44317</v>
      </c>
      <c r="C1414" s="1" t="s">
        <v>531</v>
      </c>
      <c r="D1414" s="1" t="s">
        <v>20</v>
      </c>
      <c r="E1414" s="1" t="s">
        <v>21</v>
      </c>
      <c r="F1414" s="2">
        <v>11</v>
      </c>
      <c r="G1414" s="5">
        <v>210</v>
      </c>
      <c r="H1414" s="24">
        <f t="shared" si="110"/>
        <v>2310</v>
      </c>
      <c r="I1414" s="7">
        <v>0.1</v>
      </c>
      <c r="J1414" s="5">
        <f t="shared" si="111"/>
        <v>231</v>
      </c>
      <c r="K1414" s="5">
        <f t="shared" si="112"/>
        <v>2079</v>
      </c>
      <c r="L1414" s="5">
        <v>130</v>
      </c>
      <c r="M1414" s="5">
        <f t="shared" si="113"/>
        <v>649</v>
      </c>
      <c r="N1414" s="7">
        <f t="shared" si="114"/>
        <v>0.31216931216931215</v>
      </c>
      <c r="O1414" s="1" t="s">
        <v>59</v>
      </c>
      <c r="P1414" s="1" t="s">
        <v>31</v>
      </c>
      <c r="Q1414" s="1" t="s">
        <v>37</v>
      </c>
      <c r="R1414" s="1" t="s">
        <v>50</v>
      </c>
      <c r="S1414" s="1" t="s">
        <v>201</v>
      </c>
      <c r="T1414" s="15" t="s">
        <v>53</v>
      </c>
    </row>
    <row r="1415" spans="1:20" x14ac:dyDescent="0.3">
      <c r="A1415" s="14">
        <v>1414</v>
      </c>
      <c r="B1415" s="4">
        <v>44417</v>
      </c>
      <c r="C1415" s="1" t="s">
        <v>530</v>
      </c>
      <c r="D1415" s="1" t="s">
        <v>20</v>
      </c>
      <c r="E1415" s="1" t="s">
        <v>40</v>
      </c>
      <c r="F1415" s="2">
        <v>4</v>
      </c>
      <c r="G1415" s="5">
        <v>1510</v>
      </c>
      <c r="H1415" s="24">
        <f t="shared" si="110"/>
        <v>6040</v>
      </c>
      <c r="I1415" s="7">
        <v>0.05</v>
      </c>
      <c r="J1415" s="5">
        <f t="shared" si="111"/>
        <v>302</v>
      </c>
      <c r="K1415" s="5">
        <f t="shared" si="112"/>
        <v>5738</v>
      </c>
      <c r="L1415" s="5">
        <v>930</v>
      </c>
      <c r="M1415" s="5">
        <f t="shared" si="113"/>
        <v>2018</v>
      </c>
      <c r="N1415" s="7">
        <f t="shared" si="114"/>
        <v>0.35169048448936913</v>
      </c>
      <c r="O1415" s="1" t="s">
        <v>41</v>
      </c>
      <c r="P1415" s="1" t="s">
        <v>31</v>
      </c>
      <c r="Q1415" s="1" t="s">
        <v>48</v>
      </c>
      <c r="R1415" s="1" t="s">
        <v>49</v>
      </c>
      <c r="S1415" s="1" t="s">
        <v>237</v>
      </c>
      <c r="T1415" s="15" t="s">
        <v>53</v>
      </c>
    </row>
    <row r="1416" spans="1:20" x14ac:dyDescent="0.3">
      <c r="A1416" s="14">
        <v>1415</v>
      </c>
      <c r="B1416" s="4">
        <v>44206</v>
      </c>
      <c r="C1416" s="1" t="s">
        <v>529</v>
      </c>
      <c r="D1416" s="1" t="s">
        <v>20</v>
      </c>
      <c r="E1416" s="1" t="s">
        <v>43</v>
      </c>
      <c r="F1416" s="2">
        <v>9</v>
      </c>
      <c r="G1416" s="5">
        <v>340</v>
      </c>
      <c r="H1416" s="24">
        <f t="shared" si="110"/>
        <v>3060</v>
      </c>
      <c r="I1416" s="7">
        <v>0.15</v>
      </c>
      <c r="J1416" s="5">
        <f t="shared" si="111"/>
        <v>459</v>
      </c>
      <c r="K1416" s="5">
        <f t="shared" si="112"/>
        <v>2601</v>
      </c>
      <c r="L1416" s="5">
        <v>260</v>
      </c>
      <c r="M1416" s="5">
        <f t="shared" si="113"/>
        <v>261</v>
      </c>
      <c r="N1416" s="7">
        <f t="shared" si="114"/>
        <v>0.10034602076124567</v>
      </c>
      <c r="O1416" s="1" t="s">
        <v>59</v>
      </c>
      <c r="P1416" s="1" t="s">
        <v>31</v>
      </c>
      <c r="Q1416" s="1" t="s">
        <v>48</v>
      </c>
      <c r="R1416" s="1" t="s">
        <v>63</v>
      </c>
      <c r="S1416" s="1" t="s">
        <v>414</v>
      </c>
      <c r="T1416" s="15" t="s">
        <v>27</v>
      </c>
    </row>
    <row r="1417" spans="1:20" x14ac:dyDescent="0.3">
      <c r="A1417" s="14">
        <v>1416</v>
      </c>
      <c r="B1417" s="4">
        <v>44379</v>
      </c>
      <c r="C1417" s="1" t="s">
        <v>533</v>
      </c>
      <c r="D1417" s="1" t="s">
        <v>28</v>
      </c>
      <c r="E1417" s="1" t="s">
        <v>40</v>
      </c>
      <c r="F1417" s="2">
        <v>3</v>
      </c>
      <c r="G1417" s="5">
        <v>1680</v>
      </c>
      <c r="H1417" s="24">
        <f t="shared" si="110"/>
        <v>5040</v>
      </c>
      <c r="I1417" s="7">
        <v>0.1</v>
      </c>
      <c r="J1417" s="5">
        <f t="shared" si="111"/>
        <v>504</v>
      </c>
      <c r="K1417" s="5">
        <f t="shared" si="112"/>
        <v>4536</v>
      </c>
      <c r="L1417" s="5">
        <v>1170</v>
      </c>
      <c r="M1417" s="5">
        <f t="shared" si="113"/>
        <v>1026</v>
      </c>
      <c r="N1417" s="7">
        <f t="shared" si="114"/>
        <v>0.22619047619047619</v>
      </c>
      <c r="O1417" s="1" t="s">
        <v>30</v>
      </c>
      <c r="P1417" s="1" t="s">
        <v>31</v>
      </c>
      <c r="Q1417" s="1" t="s">
        <v>24</v>
      </c>
      <c r="R1417" s="1" t="s">
        <v>33</v>
      </c>
      <c r="S1417" s="1" t="s">
        <v>474</v>
      </c>
      <c r="T1417" s="15" t="s">
        <v>61</v>
      </c>
    </row>
    <row r="1418" spans="1:20" x14ac:dyDescent="0.3">
      <c r="A1418" s="14">
        <v>1417</v>
      </c>
      <c r="B1418" s="4">
        <v>44545</v>
      </c>
      <c r="C1418" s="1" t="s">
        <v>533</v>
      </c>
      <c r="D1418" s="1" t="s">
        <v>20</v>
      </c>
      <c r="E1418" s="1" t="s">
        <v>45</v>
      </c>
      <c r="F1418" s="2">
        <v>7</v>
      </c>
      <c r="G1418" s="5">
        <v>220</v>
      </c>
      <c r="H1418" s="24">
        <f t="shared" si="110"/>
        <v>1540</v>
      </c>
      <c r="I1418" s="7">
        <v>0.05</v>
      </c>
      <c r="J1418" s="5">
        <f t="shared" si="111"/>
        <v>77</v>
      </c>
      <c r="K1418" s="5">
        <f t="shared" si="112"/>
        <v>1463</v>
      </c>
      <c r="L1418" s="5">
        <v>130</v>
      </c>
      <c r="M1418" s="5">
        <f t="shared" si="113"/>
        <v>553</v>
      </c>
      <c r="N1418" s="7">
        <f t="shared" si="114"/>
        <v>0.37799043062200954</v>
      </c>
      <c r="O1418" s="1" t="s">
        <v>59</v>
      </c>
      <c r="P1418" s="1" t="s">
        <v>31</v>
      </c>
      <c r="Q1418" s="1" t="s">
        <v>37</v>
      </c>
      <c r="R1418" s="1" t="s">
        <v>50</v>
      </c>
      <c r="S1418" s="1" t="s">
        <v>257</v>
      </c>
      <c r="T1418" s="15" t="s">
        <v>53</v>
      </c>
    </row>
    <row r="1419" spans="1:20" x14ac:dyDescent="0.3">
      <c r="A1419" s="14">
        <v>1418</v>
      </c>
      <c r="B1419" s="4">
        <v>44295</v>
      </c>
      <c r="C1419" s="1" t="s">
        <v>533</v>
      </c>
      <c r="D1419" s="1" t="s">
        <v>82</v>
      </c>
      <c r="E1419" s="1" t="s">
        <v>45</v>
      </c>
      <c r="F1419" s="2">
        <v>1</v>
      </c>
      <c r="G1419" s="5">
        <v>220</v>
      </c>
      <c r="H1419" s="24">
        <f t="shared" si="110"/>
        <v>220</v>
      </c>
      <c r="I1419" s="7">
        <v>0</v>
      </c>
      <c r="J1419" s="5">
        <f t="shared" si="111"/>
        <v>0</v>
      </c>
      <c r="K1419" s="5">
        <f t="shared" si="112"/>
        <v>220</v>
      </c>
      <c r="L1419" s="5">
        <v>170</v>
      </c>
      <c r="M1419" s="5">
        <f t="shared" si="113"/>
        <v>50</v>
      </c>
      <c r="N1419" s="7">
        <f t="shared" si="114"/>
        <v>0.22727272727272727</v>
      </c>
      <c r="O1419" s="1" t="s">
        <v>41</v>
      </c>
      <c r="P1419" s="1" t="s">
        <v>31</v>
      </c>
      <c r="Q1419" s="1" t="s">
        <v>37</v>
      </c>
      <c r="R1419" s="1" t="s">
        <v>66</v>
      </c>
      <c r="S1419" s="1" t="s">
        <v>141</v>
      </c>
      <c r="T1419" s="15" t="s">
        <v>61</v>
      </c>
    </row>
    <row r="1420" spans="1:20" x14ac:dyDescent="0.3">
      <c r="A1420" s="14">
        <v>1419</v>
      </c>
      <c r="B1420" s="4">
        <v>44453</v>
      </c>
      <c r="C1420" s="1" t="s">
        <v>534</v>
      </c>
      <c r="D1420" s="1" t="s">
        <v>28</v>
      </c>
      <c r="E1420" s="1" t="s">
        <v>29</v>
      </c>
      <c r="F1420" s="2">
        <v>8</v>
      </c>
      <c r="G1420" s="5">
        <v>2380</v>
      </c>
      <c r="H1420" s="24">
        <f t="shared" si="110"/>
        <v>19040</v>
      </c>
      <c r="I1420" s="7">
        <v>0</v>
      </c>
      <c r="J1420" s="5">
        <f t="shared" si="111"/>
        <v>0</v>
      </c>
      <c r="K1420" s="5">
        <f t="shared" si="112"/>
        <v>19040</v>
      </c>
      <c r="L1420" s="5">
        <v>1880</v>
      </c>
      <c r="M1420" s="5">
        <f t="shared" si="113"/>
        <v>4000</v>
      </c>
      <c r="N1420" s="7">
        <f t="shared" si="114"/>
        <v>0.21008403361344538</v>
      </c>
      <c r="O1420" s="1" t="s">
        <v>41</v>
      </c>
      <c r="P1420" s="1" t="s">
        <v>31</v>
      </c>
      <c r="Q1420" s="1" t="s">
        <v>37</v>
      </c>
      <c r="R1420" s="1" t="s">
        <v>25</v>
      </c>
      <c r="S1420" s="1" t="s">
        <v>273</v>
      </c>
      <c r="T1420" s="15" t="s">
        <v>61</v>
      </c>
    </row>
    <row r="1421" spans="1:20" x14ac:dyDescent="0.3">
      <c r="A1421" s="14">
        <v>1420</v>
      </c>
      <c r="B1421" s="4">
        <v>44434</v>
      </c>
      <c r="C1421" s="1" t="s">
        <v>529</v>
      </c>
      <c r="D1421" s="1" t="s">
        <v>80</v>
      </c>
      <c r="E1421" s="1" t="s">
        <v>21</v>
      </c>
      <c r="F1421" s="2">
        <v>5</v>
      </c>
      <c r="G1421" s="5">
        <v>190</v>
      </c>
      <c r="H1421" s="24">
        <f t="shared" si="110"/>
        <v>950</v>
      </c>
      <c r="I1421" s="7">
        <v>0.15</v>
      </c>
      <c r="J1421" s="5">
        <f t="shared" si="111"/>
        <v>142.5</v>
      </c>
      <c r="K1421" s="5">
        <f t="shared" si="112"/>
        <v>807.5</v>
      </c>
      <c r="L1421" s="5">
        <v>140</v>
      </c>
      <c r="M1421" s="5">
        <f t="shared" si="113"/>
        <v>107.5</v>
      </c>
      <c r="N1421" s="7">
        <f t="shared" si="114"/>
        <v>0.13312693498452013</v>
      </c>
      <c r="O1421" s="1" t="s">
        <v>54</v>
      </c>
      <c r="P1421" s="1" t="s">
        <v>31</v>
      </c>
      <c r="Q1421" s="1" t="s">
        <v>24</v>
      </c>
      <c r="R1421" s="1" t="s">
        <v>88</v>
      </c>
      <c r="S1421" s="1" t="s">
        <v>295</v>
      </c>
      <c r="T1421" s="15" t="s">
        <v>53</v>
      </c>
    </row>
    <row r="1422" spans="1:20" x14ac:dyDescent="0.3">
      <c r="A1422" s="14">
        <v>1421</v>
      </c>
      <c r="B1422" s="4">
        <v>44334</v>
      </c>
      <c r="C1422" s="1" t="s">
        <v>534</v>
      </c>
      <c r="D1422" s="1" t="s">
        <v>28</v>
      </c>
      <c r="E1422" s="1" t="s">
        <v>21</v>
      </c>
      <c r="F1422" s="2">
        <v>12</v>
      </c>
      <c r="G1422" s="5">
        <v>220</v>
      </c>
      <c r="H1422" s="24">
        <f t="shared" si="110"/>
        <v>2640</v>
      </c>
      <c r="I1422" s="7">
        <v>0.1</v>
      </c>
      <c r="J1422" s="5">
        <f t="shared" si="111"/>
        <v>264</v>
      </c>
      <c r="K1422" s="5">
        <f t="shared" si="112"/>
        <v>2376</v>
      </c>
      <c r="L1422" s="5">
        <v>180</v>
      </c>
      <c r="M1422" s="5">
        <f t="shared" si="113"/>
        <v>216</v>
      </c>
      <c r="N1422" s="7">
        <f t="shared" si="114"/>
        <v>9.0909090909090912E-2</v>
      </c>
      <c r="O1422" s="1" t="s">
        <v>54</v>
      </c>
      <c r="P1422" s="1" t="s">
        <v>31</v>
      </c>
      <c r="Q1422" s="1" t="s">
        <v>24</v>
      </c>
      <c r="R1422" s="1" t="s">
        <v>50</v>
      </c>
      <c r="S1422" s="1" t="s">
        <v>199</v>
      </c>
      <c r="T1422" s="15" t="s">
        <v>53</v>
      </c>
    </row>
    <row r="1423" spans="1:20" x14ac:dyDescent="0.3">
      <c r="A1423" s="14">
        <v>1422</v>
      </c>
      <c r="B1423" s="4">
        <v>44359</v>
      </c>
      <c r="C1423" s="1" t="s">
        <v>529</v>
      </c>
      <c r="D1423" s="1" t="s">
        <v>20</v>
      </c>
      <c r="E1423" s="1" t="s">
        <v>40</v>
      </c>
      <c r="F1423" s="2">
        <v>3</v>
      </c>
      <c r="G1423" s="5">
        <v>1530</v>
      </c>
      <c r="H1423" s="24">
        <f t="shared" si="110"/>
        <v>4590</v>
      </c>
      <c r="I1423" s="7">
        <v>0.02</v>
      </c>
      <c r="J1423" s="5">
        <f t="shared" si="111"/>
        <v>91.8</v>
      </c>
      <c r="K1423" s="5">
        <f t="shared" si="112"/>
        <v>4498.2</v>
      </c>
      <c r="L1423" s="5">
        <v>1150</v>
      </c>
      <c r="M1423" s="5">
        <f t="shared" si="113"/>
        <v>1048.1999999999998</v>
      </c>
      <c r="N1423" s="7">
        <f t="shared" si="114"/>
        <v>0.23302654395091366</v>
      </c>
      <c r="O1423" s="1" t="s">
        <v>59</v>
      </c>
      <c r="P1423" s="1" t="s">
        <v>76</v>
      </c>
      <c r="Q1423" s="1" t="s">
        <v>32</v>
      </c>
      <c r="R1423" s="1" t="s">
        <v>50</v>
      </c>
      <c r="S1423" s="1" t="s">
        <v>112</v>
      </c>
      <c r="T1423" s="15" t="s">
        <v>53</v>
      </c>
    </row>
    <row r="1424" spans="1:20" x14ac:dyDescent="0.3">
      <c r="A1424" s="14">
        <v>1423</v>
      </c>
      <c r="B1424" s="4">
        <v>44484</v>
      </c>
      <c r="C1424" s="1" t="s">
        <v>531</v>
      </c>
      <c r="D1424" s="1" t="s">
        <v>28</v>
      </c>
      <c r="E1424" s="1" t="s">
        <v>43</v>
      </c>
      <c r="F1424" s="2">
        <v>7</v>
      </c>
      <c r="G1424" s="5">
        <v>310</v>
      </c>
      <c r="H1424" s="24">
        <f t="shared" si="110"/>
        <v>2170</v>
      </c>
      <c r="I1424" s="7">
        <v>0.1</v>
      </c>
      <c r="J1424" s="5">
        <f t="shared" si="111"/>
        <v>217</v>
      </c>
      <c r="K1424" s="5">
        <f t="shared" si="112"/>
        <v>1953</v>
      </c>
      <c r="L1424" s="5">
        <v>190</v>
      </c>
      <c r="M1424" s="5">
        <f t="shared" si="113"/>
        <v>623</v>
      </c>
      <c r="N1424" s="7">
        <f t="shared" si="114"/>
        <v>0.31899641577060933</v>
      </c>
      <c r="O1424" s="1" t="s">
        <v>22</v>
      </c>
      <c r="P1424" s="1" t="s">
        <v>31</v>
      </c>
      <c r="Q1424" s="1" t="s">
        <v>48</v>
      </c>
      <c r="R1424" s="1" t="s">
        <v>49</v>
      </c>
      <c r="S1424" s="1" t="s">
        <v>292</v>
      </c>
      <c r="T1424" s="15" t="s">
        <v>27</v>
      </c>
    </row>
    <row r="1425" spans="1:20" x14ac:dyDescent="0.3">
      <c r="A1425" s="14">
        <v>1424</v>
      </c>
      <c r="B1425" s="4">
        <v>44206</v>
      </c>
      <c r="C1425" s="1" t="s">
        <v>533</v>
      </c>
      <c r="D1425" s="1" t="s">
        <v>20</v>
      </c>
      <c r="E1425" s="1" t="s">
        <v>43</v>
      </c>
      <c r="F1425" s="2">
        <v>5</v>
      </c>
      <c r="G1425" s="5">
        <v>290</v>
      </c>
      <c r="H1425" s="24">
        <f t="shared" si="110"/>
        <v>1450</v>
      </c>
      <c r="I1425" s="7">
        <v>0</v>
      </c>
      <c r="J1425" s="5">
        <f t="shared" si="111"/>
        <v>0</v>
      </c>
      <c r="K1425" s="5">
        <f t="shared" si="112"/>
        <v>1450</v>
      </c>
      <c r="L1425" s="5">
        <v>190</v>
      </c>
      <c r="M1425" s="5">
        <f t="shared" si="113"/>
        <v>500</v>
      </c>
      <c r="N1425" s="7">
        <f t="shared" si="114"/>
        <v>0.34482758620689657</v>
      </c>
      <c r="O1425" s="1" t="s">
        <v>22</v>
      </c>
      <c r="P1425" s="1" t="s">
        <v>31</v>
      </c>
      <c r="Q1425" s="1" t="s">
        <v>48</v>
      </c>
      <c r="R1425" s="1" t="s">
        <v>63</v>
      </c>
      <c r="S1425" s="1" t="s">
        <v>92</v>
      </c>
      <c r="T1425" s="15" t="s">
        <v>61</v>
      </c>
    </row>
    <row r="1426" spans="1:20" x14ac:dyDescent="0.3">
      <c r="A1426" s="14">
        <v>1425</v>
      </c>
      <c r="B1426" s="4">
        <v>44302</v>
      </c>
      <c r="C1426" s="1" t="s">
        <v>533</v>
      </c>
      <c r="D1426" s="1" t="s">
        <v>28</v>
      </c>
      <c r="E1426" s="1" t="s">
        <v>21</v>
      </c>
      <c r="F1426" s="2">
        <v>3</v>
      </c>
      <c r="G1426" s="5">
        <v>220</v>
      </c>
      <c r="H1426" s="24">
        <f t="shared" si="110"/>
        <v>660</v>
      </c>
      <c r="I1426" s="7">
        <v>0.15</v>
      </c>
      <c r="J1426" s="5">
        <f t="shared" si="111"/>
        <v>99</v>
      </c>
      <c r="K1426" s="5">
        <f t="shared" si="112"/>
        <v>561</v>
      </c>
      <c r="L1426" s="5">
        <v>160</v>
      </c>
      <c r="M1426" s="5">
        <f t="shared" si="113"/>
        <v>81</v>
      </c>
      <c r="N1426" s="7">
        <f t="shared" si="114"/>
        <v>0.14438502673796791</v>
      </c>
      <c r="O1426" s="1" t="s">
        <v>22</v>
      </c>
      <c r="P1426" s="1" t="s">
        <v>76</v>
      </c>
      <c r="Q1426" s="1" t="s">
        <v>37</v>
      </c>
      <c r="R1426" s="1" t="s">
        <v>46</v>
      </c>
      <c r="S1426" s="1" t="s">
        <v>405</v>
      </c>
      <c r="T1426" s="15" t="s">
        <v>61</v>
      </c>
    </row>
    <row r="1427" spans="1:20" x14ac:dyDescent="0.3">
      <c r="A1427" s="14">
        <v>1426</v>
      </c>
      <c r="B1427" s="4">
        <v>44353</v>
      </c>
      <c r="C1427" s="1" t="s">
        <v>533</v>
      </c>
      <c r="D1427" s="1" t="s">
        <v>20</v>
      </c>
      <c r="E1427" s="1" t="s">
        <v>29</v>
      </c>
      <c r="F1427" s="2">
        <v>11</v>
      </c>
      <c r="G1427" s="5">
        <v>2290</v>
      </c>
      <c r="H1427" s="24">
        <f t="shared" si="110"/>
        <v>25190</v>
      </c>
      <c r="I1427" s="7">
        <v>0.02</v>
      </c>
      <c r="J1427" s="5">
        <f t="shared" si="111"/>
        <v>503.8</v>
      </c>
      <c r="K1427" s="5">
        <f t="shared" si="112"/>
        <v>24686.2</v>
      </c>
      <c r="L1427" s="5">
        <v>1400</v>
      </c>
      <c r="M1427" s="5">
        <f t="shared" si="113"/>
        <v>9286.2000000000007</v>
      </c>
      <c r="N1427" s="7">
        <f t="shared" si="114"/>
        <v>0.37616968184653776</v>
      </c>
      <c r="O1427" s="1" t="s">
        <v>59</v>
      </c>
      <c r="P1427" s="1" t="s">
        <v>23</v>
      </c>
      <c r="Q1427" s="1" t="s">
        <v>37</v>
      </c>
      <c r="R1427" s="1" t="s">
        <v>49</v>
      </c>
      <c r="S1427" s="1" t="s">
        <v>436</v>
      </c>
      <c r="T1427" s="15" t="s">
        <v>61</v>
      </c>
    </row>
    <row r="1428" spans="1:20" x14ac:dyDescent="0.3">
      <c r="A1428" s="14">
        <v>1427</v>
      </c>
      <c r="B1428" s="4">
        <v>44442</v>
      </c>
      <c r="C1428" s="1" t="s">
        <v>532</v>
      </c>
      <c r="D1428" s="1" t="s">
        <v>28</v>
      </c>
      <c r="E1428" s="1" t="s">
        <v>29</v>
      </c>
      <c r="F1428" s="2">
        <v>7</v>
      </c>
      <c r="G1428" s="5">
        <v>2340</v>
      </c>
      <c r="H1428" s="24">
        <f t="shared" si="110"/>
        <v>16380</v>
      </c>
      <c r="I1428" s="7">
        <v>0.05</v>
      </c>
      <c r="J1428" s="5">
        <f t="shared" si="111"/>
        <v>819</v>
      </c>
      <c r="K1428" s="5">
        <f t="shared" si="112"/>
        <v>15561</v>
      </c>
      <c r="L1428" s="5">
        <v>1450</v>
      </c>
      <c r="M1428" s="5">
        <f t="shared" si="113"/>
        <v>5411</v>
      </c>
      <c r="N1428" s="7">
        <f t="shared" si="114"/>
        <v>0.34772829509671616</v>
      </c>
      <c r="O1428" s="1" t="s">
        <v>54</v>
      </c>
      <c r="P1428" s="1" t="s">
        <v>31</v>
      </c>
      <c r="Q1428" s="1" t="s">
        <v>37</v>
      </c>
      <c r="R1428" s="1" t="s">
        <v>88</v>
      </c>
      <c r="S1428" s="1" t="s">
        <v>503</v>
      </c>
      <c r="T1428" s="15" t="s">
        <v>35</v>
      </c>
    </row>
    <row r="1429" spans="1:20" x14ac:dyDescent="0.3">
      <c r="A1429" s="14">
        <v>1428</v>
      </c>
      <c r="B1429" s="4">
        <v>44208</v>
      </c>
      <c r="C1429" s="1" t="s">
        <v>532</v>
      </c>
      <c r="D1429" s="1" t="s">
        <v>20</v>
      </c>
      <c r="E1429" s="1" t="s">
        <v>29</v>
      </c>
      <c r="F1429" s="2">
        <v>8</v>
      </c>
      <c r="G1429" s="5">
        <v>1970</v>
      </c>
      <c r="H1429" s="24">
        <f t="shared" si="110"/>
        <v>15760</v>
      </c>
      <c r="I1429" s="7">
        <v>0</v>
      </c>
      <c r="J1429" s="5">
        <f t="shared" si="111"/>
        <v>0</v>
      </c>
      <c r="K1429" s="5">
        <f t="shared" si="112"/>
        <v>15760</v>
      </c>
      <c r="L1429" s="5">
        <v>1600</v>
      </c>
      <c r="M1429" s="5">
        <f t="shared" si="113"/>
        <v>2960</v>
      </c>
      <c r="N1429" s="7">
        <f t="shared" si="114"/>
        <v>0.18781725888324874</v>
      </c>
      <c r="O1429" s="1" t="s">
        <v>41</v>
      </c>
      <c r="P1429" s="1" t="s">
        <v>23</v>
      </c>
      <c r="Q1429" s="1" t="s">
        <v>48</v>
      </c>
      <c r="R1429" s="1" t="s">
        <v>46</v>
      </c>
      <c r="S1429" s="1" t="s">
        <v>414</v>
      </c>
      <c r="T1429" s="15" t="s">
        <v>53</v>
      </c>
    </row>
    <row r="1430" spans="1:20" x14ac:dyDescent="0.3">
      <c r="A1430" s="14">
        <v>1429</v>
      </c>
      <c r="B1430" s="4">
        <v>44366</v>
      </c>
      <c r="C1430" s="1" t="s">
        <v>534</v>
      </c>
      <c r="D1430" s="1" t="s">
        <v>28</v>
      </c>
      <c r="E1430" s="1" t="s">
        <v>43</v>
      </c>
      <c r="F1430" s="2">
        <v>7</v>
      </c>
      <c r="G1430" s="5">
        <v>280</v>
      </c>
      <c r="H1430" s="24">
        <f t="shared" si="110"/>
        <v>1960</v>
      </c>
      <c r="I1430" s="7">
        <v>0.15</v>
      </c>
      <c r="J1430" s="5">
        <f t="shared" si="111"/>
        <v>294</v>
      </c>
      <c r="K1430" s="5">
        <f t="shared" si="112"/>
        <v>1666</v>
      </c>
      <c r="L1430" s="5">
        <v>210</v>
      </c>
      <c r="M1430" s="5">
        <f t="shared" si="113"/>
        <v>196</v>
      </c>
      <c r="N1430" s="7">
        <f t="shared" si="114"/>
        <v>0.11764705882352941</v>
      </c>
      <c r="O1430" s="1" t="s">
        <v>30</v>
      </c>
      <c r="P1430" s="1" t="s">
        <v>31</v>
      </c>
      <c r="Q1430" s="1" t="s">
        <v>48</v>
      </c>
      <c r="R1430" s="1" t="s">
        <v>56</v>
      </c>
      <c r="S1430" s="1" t="s">
        <v>145</v>
      </c>
      <c r="T1430" s="15" t="s">
        <v>27</v>
      </c>
    </row>
    <row r="1431" spans="1:20" x14ac:dyDescent="0.3">
      <c r="A1431" s="14">
        <v>1430</v>
      </c>
      <c r="B1431" s="4">
        <v>44538</v>
      </c>
      <c r="C1431" s="1" t="s">
        <v>529</v>
      </c>
      <c r="D1431" s="1" t="s">
        <v>82</v>
      </c>
      <c r="E1431" s="1" t="s">
        <v>40</v>
      </c>
      <c r="F1431" s="2">
        <v>2</v>
      </c>
      <c r="G1431" s="5">
        <v>1560</v>
      </c>
      <c r="H1431" s="24">
        <f t="shared" si="110"/>
        <v>3120</v>
      </c>
      <c r="I1431" s="7">
        <v>0.05</v>
      </c>
      <c r="J1431" s="5">
        <f t="shared" si="111"/>
        <v>156</v>
      </c>
      <c r="K1431" s="5">
        <f t="shared" si="112"/>
        <v>2964</v>
      </c>
      <c r="L1431" s="5">
        <v>1160</v>
      </c>
      <c r="M1431" s="5">
        <f t="shared" si="113"/>
        <v>644</v>
      </c>
      <c r="N1431" s="7">
        <f t="shared" si="114"/>
        <v>0.21727395411605938</v>
      </c>
      <c r="O1431" s="1" t="s">
        <v>30</v>
      </c>
      <c r="P1431" s="1" t="s">
        <v>31</v>
      </c>
      <c r="Q1431" s="1" t="s">
        <v>32</v>
      </c>
      <c r="R1431" s="1" t="s">
        <v>49</v>
      </c>
      <c r="S1431" s="1" t="s">
        <v>333</v>
      </c>
      <c r="T1431" s="15" t="s">
        <v>53</v>
      </c>
    </row>
    <row r="1432" spans="1:20" x14ac:dyDescent="0.3">
      <c r="A1432" s="14">
        <v>1431</v>
      </c>
      <c r="B1432" s="4">
        <v>44397</v>
      </c>
      <c r="C1432" s="1" t="s">
        <v>531</v>
      </c>
      <c r="D1432" s="1" t="s">
        <v>28</v>
      </c>
      <c r="E1432" s="1" t="s">
        <v>45</v>
      </c>
      <c r="F1432" s="2">
        <v>8</v>
      </c>
      <c r="G1432" s="5">
        <v>180</v>
      </c>
      <c r="H1432" s="24">
        <f t="shared" si="110"/>
        <v>1440</v>
      </c>
      <c r="I1432" s="7">
        <v>0.15</v>
      </c>
      <c r="J1432" s="5">
        <f t="shared" si="111"/>
        <v>216</v>
      </c>
      <c r="K1432" s="5">
        <f t="shared" si="112"/>
        <v>1224</v>
      </c>
      <c r="L1432" s="5">
        <v>110</v>
      </c>
      <c r="M1432" s="5">
        <f t="shared" si="113"/>
        <v>344</v>
      </c>
      <c r="N1432" s="7">
        <f t="shared" si="114"/>
        <v>0.28104575163398693</v>
      </c>
      <c r="O1432" s="1" t="s">
        <v>41</v>
      </c>
      <c r="P1432" s="1" t="s">
        <v>31</v>
      </c>
      <c r="Q1432" s="1" t="s">
        <v>48</v>
      </c>
      <c r="R1432" s="1" t="s">
        <v>38</v>
      </c>
      <c r="S1432" s="1" t="s">
        <v>472</v>
      </c>
      <c r="T1432" s="15" t="s">
        <v>53</v>
      </c>
    </row>
    <row r="1433" spans="1:20" x14ac:dyDescent="0.3">
      <c r="A1433" s="14">
        <v>1432</v>
      </c>
      <c r="B1433" s="4">
        <v>44214</v>
      </c>
      <c r="C1433" s="1" t="s">
        <v>529</v>
      </c>
      <c r="D1433" s="1" t="s">
        <v>20</v>
      </c>
      <c r="E1433" s="1" t="s">
        <v>40</v>
      </c>
      <c r="F1433" s="2">
        <v>2</v>
      </c>
      <c r="G1433" s="5">
        <v>1380</v>
      </c>
      <c r="H1433" s="24">
        <f t="shared" si="110"/>
        <v>2760</v>
      </c>
      <c r="I1433" s="7">
        <v>0.15</v>
      </c>
      <c r="J1433" s="5">
        <f t="shared" si="111"/>
        <v>414</v>
      </c>
      <c r="K1433" s="5">
        <f t="shared" si="112"/>
        <v>2346</v>
      </c>
      <c r="L1433" s="5">
        <v>950</v>
      </c>
      <c r="M1433" s="5">
        <f t="shared" si="113"/>
        <v>446</v>
      </c>
      <c r="N1433" s="7">
        <f t="shared" si="114"/>
        <v>0.19011082693947143</v>
      </c>
      <c r="O1433" s="1" t="s">
        <v>22</v>
      </c>
      <c r="P1433" s="1" t="s">
        <v>31</v>
      </c>
      <c r="Q1433" s="1" t="s">
        <v>24</v>
      </c>
      <c r="R1433" s="1" t="s">
        <v>46</v>
      </c>
      <c r="S1433" s="1" t="s">
        <v>265</v>
      </c>
      <c r="T1433" s="15" t="s">
        <v>35</v>
      </c>
    </row>
    <row r="1434" spans="1:20" x14ac:dyDescent="0.3">
      <c r="A1434" s="14">
        <v>1433</v>
      </c>
      <c r="B1434" s="4">
        <v>44273</v>
      </c>
      <c r="C1434" s="1" t="s">
        <v>530</v>
      </c>
      <c r="D1434" s="1" t="s">
        <v>20</v>
      </c>
      <c r="E1434" s="1" t="s">
        <v>43</v>
      </c>
      <c r="F1434" s="2">
        <v>1</v>
      </c>
      <c r="G1434" s="5">
        <v>300</v>
      </c>
      <c r="H1434" s="24">
        <f t="shared" si="110"/>
        <v>300</v>
      </c>
      <c r="I1434" s="7">
        <v>0.05</v>
      </c>
      <c r="J1434" s="5">
        <f t="shared" si="111"/>
        <v>15</v>
      </c>
      <c r="K1434" s="5">
        <f t="shared" si="112"/>
        <v>285</v>
      </c>
      <c r="L1434" s="5">
        <v>230</v>
      </c>
      <c r="M1434" s="5">
        <f t="shared" si="113"/>
        <v>55</v>
      </c>
      <c r="N1434" s="7">
        <f t="shared" si="114"/>
        <v>0.19298245614035087</v>
      </c>
      <c r="O1434" s="1" t="s">
        <v>41</v>
      </c>
      <c r="P1434" s="1" t="s">
        <v>31</v>
      </c>
      <c r="Q1434" s="1" t="s">
        <v>48</v>
      </c>
      <c r="R1434" s="1" t="s">
        <v>38</v>
      </c>
      <c r="S1434" s="1" t="s">
        <v>44</v>
      </c>
      <c r="T1434" s="15" t="s">
        <v>27</v>
      </c>
    </row>
    <row r="1435" spans="1:20" x14ac:dyDescent="0.3">
      <c r="A1435" s="14">
        <v>1434</v>
      </c>
      <c r="B1435" s="4">
        <v>44351</v>
      </c>
      <c r="C1435" s="1" t="s">
        <v>529</v>
      </c>
      <c r="D1435" s="1" t="s">
        <v>28</v>
      </c>
      <c r="E1435" s="1" t="s">
        <v>43</v>
      </c>
      <c r="F1435" s="2">
        <v>7</v>
      </c>
      <c r="G1435" s="5">
        <v>320</v>
      </c>
      <c r="H1435" s="24">
        <f t="shared" si="110"/>
        <v>2240</v>
      </c>
      <c r="I1435" s="7">
        <v>0.1</v>
      </c>
      <c r="J1435" s="5">
        <f t="shared" si="111"/>
        <v>224</v>
      </c>
      <c r="K1435" s="5">
        <f t="shared" si="112"/>
        <v>2016</v>
      </c>
      <c r="L1435" s="5">
        <v>250</v>
      </c>
      <c r="M1435" s="5">
        <f t="shared" si="113"/>
        <v>266</v>
      </c>
      <c r="N1435" s="7">
        <f t="shared" si="114"/>
        <v>0.13194444444444445</v>
      </c>
      <c r="O1435" s="1" t="s">
        <v>54</v>
      </c>
      <c r="P1435" s="1" t="s">
        <v>31</v>
      </c>
      <c r="Q1435" s="1" t="s">
        <v>48</v>
      </c>
      <c r="R1435" s="1" t="s">
        <v>46</v>
      </c>
      <c r="S1435" s="1" t="s">
        <v>178</v>
      </c>
      <c r="T1435" s="15" t="s">
        <v>27</v>
      </c>
    </row>
    <row r="1436" spans="1:20" x14ac:dyDescent="0.3">
      <c r="A1436" s="14">
        <v>1435</v>
      </c>
      <c r="B1436" s="4">
        <v>44224</v>
      </c>
      <c r="C1436" s="1" t="s">
        <v>530</v>
      </c>
      <c r="D1436" s="1" t="s">
        <v>80</v>
      </c>
      <c r="E1436" s="1" t="s">
        <v>40</v>
      </c>
      <c r="F1436" s="2">
        <v>9</v>
      </c>
      <c r="G1436" s="5">
        <v>1470</v>
      </c>
      <c r="H1436" s="24">
        <f t="shared" si="110"/>
        <v>13230</v>
      </c>
      <c r="I1436" s="7">
        <v>0.15</v>
      </c>
      <c r="J1436" s="5">
        <f t="shared" si="111"/>
        <v>1984.5</v>
      </c>
      <c r="K1436" s="5">
        <f t="shared" si="112"/>
        <v>11245.5</v>
      </c>
      <c r="L1436" s="5">
        <v>1090</v>
      </c>
      <c r="M1436" s="5">
        <f t="shared" si="113"/>
        <v>1435.5</v>
      </c>
      <c r="N1436" s="7">
        <f t="shared" si="114"/>
        <v>0.12765106042416965</v>
      </c>
      <c r="O1436" s="1" t="s">
        <v>30</v>
      </c>
      <c r="P1436" s="1" t="s">
        <v>31</v>
      </c>
      <c r="Q1436" s="1" t="s">
        <v>32</v>
      </c>
      <c r="R1436" s="1" t="s">
        <v>50</v>
      </c>
      <c r="S1436" s="1" t="s">
        <v>199</v>
      </c>
      <c r="T1436" s="15" t="s">
        <v>35</v>
      </c>
    </row>
    <row r="1437" spans="1:20" x14ac:dyDescent="0.3">
      <c r="A1437" s="14">
        <v>1436</v>
      </c>
      <c r="B1437" s="4">
        <v>44233</v>
      </c>
      <c r="C1437" s="1" t="s">
        <v>533</v>
      </c>
      <c r="D1437" s="1" t="s">
        <v>20</v>
      </c>
      <c r="E1437" s="1" t="s">
        <v>21</v>
      </c>
      <c r="F1437" s="2">
        <v>9</v>
      </c>
      <c r="G1437" s="5">
        <v>200</v>
      </c>
      <c r="H1437" s="24">
        <f t="shared" si="110"/>
        <v>1800</v>
      </c>
      <c r="I1437" s="7">
        <v>0.05</v>
      </c>
      <c r="J1437" s="5">
        <f t="shared" si="111"/>
        <v>90</v>
      </c>
      <c r="K1437" s="5">
        <f t="shared" si="112"/>
        <v>1710</v>
      </c>
      <c r="L1437" s="5">
        <v>150</v>
      </c>
      <c r="M1437" s="5">
        <f t="shared" si="113"/>
        <v>360</v>
      </c>
      <c r="N1437" s="7">
        <f t="shared" si="114"/>
        <v>0.21052631578947367</v>
      </c>
      <c r="O1437" s="1" t="s">
        <v>30</v>
      </c>
      <c r="P1437" s="1" t="s">
        <v>31</v>
      </c>
      <c r="Q1437" s="1" t="s">
        <v>48</v>
      </c>
      <c r="R1437" s="1" t="s">
        <v>25</v>
      </c>
      <c r="S1437" s="1" t="s">
        <v>173</v>
      </c>
      <c r="T1437" s="15" t="s">
        <v>35</v>
      </c>
    </row>
    <row r="1438" spans="1:20" x14ac:dyDescent="0.3">
      <c r="A1438" s="14">
        <v>1437</v>
      </c>
      <c r="B1438" s="4">
        <v>44299</v>
      </c>
      <c r="C1438" s="1" t="s">
        <v>530</v>
      </c>
      <c r="D1438" s="1" t="s">
        <v>20</v>
      </c>
      <c r="E1438" s="1" t="s">
        <v>45</v>
      </c>
      <c r="F1438" s="2">
        <v>10</v>
      </c>
      <c r="G1438" s="5">
        <v>200</v>
      </c>
      <c r="H1438" s="24">
        <f t="shared" si="110"/>
        <v>2000</v>
      </c>
      <c r="I1438" s="7">
        <v>0</v>
      </c>
      <c r="J1438" s="5">
        <f t="shared" si="111"/>
        <v>0</v>
      </c>
      <c r="K1438" s="5">
        <f t="shared" si="112"/>
        <v>2000</v>
      </c>
      <c r="L1438" s="5">
        <v>130</v>
      </c>
      <c r="M1438" s="5">
        <f t="shared" si="113"/>
        <v>700</v>
      </c>
      <c r="N1438" s="7">
        <f t="shared" si="114"/>
        <v>0.35</v>
      </c>
      <c r="O1438" s="1" t="s">
        <v>22</v>
      </c>
      <c r="P1438" s="1" t="s">
        <v>23</v>
      </c>
      <c r="Q1438" s="1" t="s">
        <v>24</v>
      </c>
      <c r="R1438" s="1" t="s">
        <v>46</v>
      </c>
      <c r="S1438" s="1" t="s">
        <v>171</v>
      </c>
      <c r="T1438" s="15" t="s">
        <v>35</v>
      </c>
    </row>
    <row r="1439" spans="1:20" x14ac:dyDescent="0.3">
      <c r="A1439" s="14">
        <v>1438</v>
      </c>
      <c r="B1439" s="4">
        <v>44523</v>
      </c>
      <c r="C1439" s="1" t="s">
        <v>529</v>
      </c>
      <c r="D1439" s="1" t="s">
        <v>28</v>
      </c>
      <c r="E1439" s="1" t="s">
        <v>21</v>
      </c>
      <c r="F1439" s="2">
        <v>5</v>
      </c>
      <c r="G1439" s="5">
        <v>230</v>
      </c>
      <c r="H1439" s="24">
        <f t="shared" si="110"/>
        <v>1150</v>
      </c>
      <c r="I1439" s="7">
        <v>0.1</v>
      </c>
      <c r="J1439" s="5">
        <f t="shared" si="111"/>
        <v>115</v>
      </c>
      <c r="K1439" s="5">
        <f t="shared" si="112"/>
        <v>1035</v>
      </c>
      <c r="L1439" s="5">
        <v>150</v>
      </c>
      <c r="M1439" s="5">
        <f t="shared" si="113"/>
        <v>285</v>
      </c>
      <c r="N1439" s="7">
        <f t="shared" si="114"/>
        <v>0.27536231884057971</v>
      </c>
      <c r="O1439" s="1" t="s">
        <v>54</v>
      </c>
      <c r="P1439" s="1" t="s">
        <v>31</v>
      </c>
      <c r="Q1439" s="1" t="s">
        <v>48</v>
      </c>
      <c r="R1439" s="1" t="s">
        <v>38</v>
      </c>
      <c r="S1439" s="1" t="s">
        <v>373</v>
      </c>
      <c r="T1439" s="15" t="s">
        <v>35</v>
      </c>
    </row>
    <row r="1440" spans="1:20" x14ac:dyDescent="0.3">
      <c r="A1440" s="14">
        <v>1439</v>
      </c>
      <c r="B1440" s="4">
        <v>44305</v>
      </c>
      <c r="C1440" s="1" t="s">
        <v>530</v>
      </c>
      <c r="D1440" s="1" t="s">
        <v>82</v>
      </c>
      <c r="E1440" s="1" t="s">
        <v>29</v>
      </c>
      <c r="F1440" s="2">
        <v>10</v>
      </c>
      <c r="G1440" s="5">
        <v>2390</v>
      </c>
      <c r="H1440" s="24">
        <f t="shared" si="110"/>
        <v>23900</v>
      </c>
      <c r="I1440" s="7">
        <v>0</v>
      </c>
      <c r="J1440" s="5">
        <f t="shared" si="111"/>
        <v>0</v>
      </c>
      <c r="K1440" s="5">
        <f t="shared" si="112"/>
        <v>23900</v>
      </c>
      <c r="L1440" s="5">
        <v>1820</v>
      </c>
      <c r="M1440" s="5">
        <f t="shared" si="113"/>
        <v>5700</v>
      </c>
      <c r="N1440" s="7">
        <f t="shared" si="114"/>
        <v>0.2384937238493724</v>
      </c>
      <c r="O1440" s="1" t="s">
        <v>30</v>
      </c>
      <c r="P1440" s="1" t="s">
        <v>31</v>
      </c>
      <c r="Q1440" s="1" t="s">
        <v>37</v>
      </c>
      <c r="R1440" s="1" t="s">
        <v>66</v>
      </c>
      <c r="S1440" s="1" t="s">
        <v>522</v>
      </c>
      <c r="T1440" s="15" t="s">
        <v>53</v>
      </c>
    </row>
    <row r="1441" spans="1:20" x14ac:dyDescent="0.3">
      <c r="A1441" s="14">
        <v>1440</v>
      </c>
      <c r="B1441" s="4">
        <v>44206</v>
      </c>
      <c r="C1441" s="1" t="s">
        <v>529</v>
      </c>
      <c r="D1441" s="1" t="s">
        <v>20</v>
      </c>
      <c r="E1441" s="1" t="s">
        <v>40</v>
      </c>
      <c r="F1441" s="2">
        <v>8</v>
      </c>
      <c r="G1441" s="5">
        <v>1480</v>
      </c>
      <c r="H1441" s="24">
        <f t="shared" si="110"/>
        <v>11840</v>
      </c>
      <c r="I1441" s="7">
        <v>0.1</v>
      </c>
      <c r="J1441" s="5">
        <f t="shared" si="111"/>
        <v>1184</v>
      </c>
      <c r="K1441" s="5">
        <f t="shared" si="112"/>
        <v>10656</v>
      </c>
      <c r="L1441" s="5">
        <v>1060</v>
      </c>
      <c r="M1441" s="5">
        <f t="shared" si="113"/>
        <v>2176</v>
      </c>
      <c r="N1441" s="7">
        <f t="shared" si="114"/>
        <v>0.20420420420420421</v>
      </c>
      <c r="O1441" s="1" t="s">
        <v>41</v>
      </c>
      <c r="P1441" s="1" t="s">
        <v>31</v>
      </c>
      <c r="Q1441" s="1" t="s">
        <v>24</v>
      </c>
      <c r="R1441" s="1" t="s">
        <v>88</v>
      </c>
      <c r="S1441" s="1" t="s">
        <v>478</v>
      </c>
      <c r="T1441" s="15" t="s">
        <v>61</v>
      </c>
    </row>
    <row r="1442" spans="1:20" x14ac:dyDescent="0.3">
      <c r="A1442" s="14">
        <v>1441</v>
      </c>
      <c r="B1442" s="4">
        <v>44258</v>
      </c>
      <c r="C1442" s="1" t="s">
        <v>529</v>
      </c>
      <c r="D1442" s="1" t="s">
        <v>20</v>
      </c>
      <c r="E1442" s="1" t="s">
        <v>40</v>
      </c>
      <c r="F1442" s="2">
        <v>1</v>
      </c>
      <c r="G1442" s="5">
        <v>1660</v>
      </c>
      <c r="H1442" s="24">
        <f t="shared" si="110"/>
        <v>1660</v>
      </c>
      <c r="I1442" s="7">
        <v>0.02</v>
      </c>
      <c r="J1442" s="5">
        <f t="shared" si="111"/>
        <v>33.200000000000003</v>
      </c>
      <c r="K1442" s="5">
        <f t="shared" si="112"/>
        <v>1626.8</v>
      </c>
      <c r="L1442" s="5">
        <v>1020</v>
      </c>
      <c r="M1442" s="5">
        <f t="shared" si="113"/>
        <v>606.79999999999995</v>
      </c>
      <c r="N1442" s="7">
        <f t="shared" si="114"/>
        <v>0.37300221293336611</v>
      </c>
      <c r="O1442" s="1" t="s">
        <v>22</v>
      </c>
      <c r="P1442" s="1" t="s">
        <v>76</v>
      </c>
      <c r="Q1442" s="1" t="s">
        <v>24</v>
      </c>
      <c r="R1442" s="1" t="s">
        <v>49</v>
      </c>
      <c r="S1442" s="1" t="s">
        <v>477</v>
      </c>
      <c r="T1442" s="15" t="s">
        <v>27</v>
      </c>
    </row>
    <row r="1443" spans="1:20" x14ac:dyDescent="0.3">
      <c r="A1443" s="14">
        <v>1442</v>
      </c>
      <c r="B1443" s="4">
        <v>44239</v>
      </c>
      <c r="C1443" s="1" t="s">
        <v>531</v>
      </c>
      <c r="D1443" s="1" t="s">
        <v>20</v>
      </c>
      <c r="E1443" s="1" t="s">
        <v>29</v>
      </c>
      <c r="F1443" s="2">
        <v>6</v>
      </c>
      <c r="G1443" s="5">
        <v>2120</v>
      </c>
      <c r="H1443" s="24">
        <f t="shared" si="110"/>
        <v>12720</v>
      </c>
      <c r="I1443" s="7">
        <v>0</v>
      </c>
      <c r="J1443" s="5">
        <f t="shared" si="111"/>
        <v>0</v>
      </c>
      <c r="K1443" s="5">
        <f t="shared" si="112"/>
        <v>12720</v>
      </c>
      <c r="L1443" s="5">
        <v>1240</v>
      </c>
      <c r="M1443" s="5">
        <f t="shared" si="113"/>
        <v>5280</v>
      </c>
      <c r="N1443" s="7">
        <f t="shared" si="114"/>
        <v>0.41509433962264153</v>
      </c>
      <c r="O1443" s="1" t="s">
        <v>54</v>
      </c>
      <c r="P1443" s="1" t="s">
        <v>31</v>
      </c>
      <c r="Q1443" s="1" t="s">
        <v>32</v>
      </c>
      <c r="R1443" s="1" t="s">
        <v>88</v>
      </c>
      <c r="S1443" s="1" t="s">
        <v>217</v>
      </c>
      <c r="T1443" s="15" t="s">
        <v>35</v>
      </c>
    </row>
    <row r="1444" spans="1:20" x14ac:dyDescent="0.3">
      <c r="A1444" s="14">
        <v>1443</v>
      </c>
      <c r="B1444" s="4">
        <v>44525</v>
      </c>
      <c r="C1444" s="1" t="s">
        <v>534</v>
      </c>
      <c r="D1444" s="1" t="s">
        <v>28</v>
      </c>
      <c r="E1444" s="1" t="s">
        <v>43</v>
      </c>
      <c r="F1444" s="2">
        <v>10</v>
      </c>
      <c r="G1444" s="5">
        <v>300</v>
      </c>
      <c r="H1444" s="24">
        <f t="shared" si="110"/>
        <v>3000</v>
      </c>
      <c r="I1444" s="7">
        <v>0.15</v>
      </c>
      <c r="J1444" s="5">
        <f t="shared" si="111"/>
        <v>450</v>
      </c>
      <c r="K1444" s="5">
        <f t="shared" si="112"/>
        <v>2550</v>
      </c>
      <c r="L1444" s="5">
        <v>200</v>
      </c>
      <c r="M1444" s="5">
        <f t="shared" si="113"/>
        <v>550</v>
      </c>
      <c r="N1444" s="7">
        <f t="shared" si="114"/>
        <v>0.21568627450980393</v>
      </c>
      <c r="O1444" s="1" t="s">
        <v>54</v>
      </c>
      <c r="P1444" s="1" t="s">
        <v>31</v>
      </c>
      <c r="Q1444" s="1" t="s">
        <v>24</v>
      </c>
      <c r="R1444" s="1" t="s">
        <v>50</v>
      </c>
      <c r="S1444" s="1" t="s">
        <v>138</v>
      </c>
      <c r="T1444" s="15" t="s">
        <v>27</v>
      </c>
    </row>
    <row r="1445" spans="1:20" x14ac:dyDescent="0.3">
      <c r="A1445" s="14">
        <v>1444</v>
      </c>
      <c r="B1445" s="4">
        <v>44433</v>
      </c>
      <c r="C1445" s="1" t="s">
        <v>534</v>
      </c>
      <c r="D1445" s="1" t="s">
        <v>28</v>
      </c>
      <c r="E1445" s="1" t="s">
        <v>40</v>
      </c>
      <c r="F1445" s="2">
        <v>4</v>
      </c>
      <c r="G1445" s="5">
        <v>1440</v>
      </c>
      <c r="H1445" s="24">
        <f t="shared" si="110"/>
        <v>5760</v>
      </c>
      <c r="I1445" s="7">
        <v>0.05</v>
      </c>
      <c r="J1445" s="5">
        <f t="shared" si="111"/>
        <v>288</v>
      </c>
      <c r="K1445" s="5">
        <f t="shared" si="112"/>
        <v>5472</v>
      </c>
      <c r="L1445" s="5">
        <v>880</v>
      </c>
      <c r="M1445" s="5">
        <f t="shared" si="113"/>
        <v>1952</v>
      </c>
      <c r="N1445" s="7">
        <f t="shared" si="114"/>
        <v>0.35672514619883039</v>
      </c>
      <c r="O1445" s="1" t="s">
        <v>54</v>
      </c>
      <c r="P1445" s="1" t="s">
        <v>31</v>
      </c>
      <c r="Q1445" s="1" t="s">
        <v>32</v>
      </c>
      <c r="R1445" s="1" t="s">
        <v>38</v>
      </c>
      <c r="S1445" s="1" t="s">
        <v>159</v>
      </c>
      <c r="T1445" s="15" t="s">
        <v>27</v>
      </c>
    </row>
    <row r="1446" spans="1:20" x14ac:dyDescent="0.3">
      <c r="A1446" s="14">
        <v>1445</v>
      </c>
      <c r="B1446" s="4">
        <v>44445</v>
      </c>
      <c r="C1446" s="1" t="s">
        <v>529</v>
      </c>
      <c r="D1446" s="1" t="s">
        <v>82</v>
      </c>
      <c r="E1446" s="1" t="s">
        <v>43</v>
      </c>
      <c r="F1446" s="2">
        <v>10</v>
      </c>
      <c r="G1446" s="5">
        <v>330</v>
      </c>
      <c r="H1446" s="24">
        <f t="shared" si="110"/>
        <v>3300</v>
      </c>
      <c r="I1446" s="7">
        <v>0.1</v>
      </c>
      <c r="J1446" s="5">
        <f t="shared" si="111"/>
        <v>330</v>
      </c>
      <c r="K1446" s="5">
        <f t="shared" si="112"/>
        <v>2970</v>
      </c>
      <c r="L1446" s="5">
        <v>210</v>
      </c>
      <c r="M1446" s="5">
        <f t="shared" si="113"/>
        <v>870</v>
      </c>
      <c r="N1446" s="7">
        <f t="shared" si="114"/>
        <v>0.29292929292929293</v>
      </c>
      <c r="O1446" s="1" t="s">
        <v>41</v>
      </c>
      <c r="P1446" s="1" t="s">
        <v>31</v>
      </c>
      <c r="Q1446" s="1" t="s">
        <v>32</v>
      </c>
      <c r="R1446" s="1" t="s">
        <v>88</v>
      </c>
      <c r="S1446" s="1" t="s">
        <v>93</v>
      </c>
      <c r="T1446" s="15" t="s">
        <v>61</v>
      </c>
    </row>
    <row r="1447" spans="1:20" x14ac:dyDescent="0.3">
      <c r="A1447" s="14">
        <v>1446</v>
      </c>
      <c r="B1447" s="4">
        <v>44462</v>
      </c>
      <c r="C1447" s="1" t="s">
        <v>533</v>
      </c>
      <c r="D1447" s="1" t="s">
        <v>20</v>
      </c>
      <c r="E1447" s="1" t="s">
        <v>29</v>
      </c>
      <c r="F1447" s="2">
        <v>11</v>
      </c>
      <c r="G1447" s="5">
        <v>2200</v>
      </c>
      <c r="H1447" s="24">
        <f t="shared" si="110"/>
        <v>24200</v>
      </c>
      <c r="I1447" s="7">
        <v>0</v>
      </c>
      <c r="J1447" s="5">
        <f t="shared" si="111"/>
        <v>0</v>
      </c>
      <c r="K1447" s="5">
        <f t="shared" si="112"/>
        <v>24200</v>
      </c>
      <c r="L1447" s="5">
        <v>1390</v>
      </c>
      <c r="M1447" s="5">
        <f t="shared" si="113"/>
        <v>8910</v>
      </c>
      <c r="N1447" s="7">
        <f t="shared" si="114"/>
        <v>0.36818181818181817</v>
      </c>
      <c r="O1447" s="1" t="s">
        <v>59</v>
      </c>
      <c r="P1447" s="1" t="s">
        <v>31</v>
      </c>
      <c r="Q1447" s="1" t="s">
        <v>24</v>
      </c>
      <c r="R1447" s="1" t="s">
        <v>66</v>
      </c>
      <c r="S1447" s="1" t="s">
        <v>107</v>
      </c>
      <c r="T1447" s="15" t="s">
        <v>35</v>
      </c>
    </row>
    <row r="1448" spans="1:20" x14ac:dyDescent="0.3">
      <c r="A1448" s="14">
        <v>1447</v>
      </c>
      <c r="B1448" s="4">
        <v>44517</v>
      </c>
      <c r="C1448" s="1" t="s">
        <v>530</v>
      </c>
      <c r="D1448" s="1" t="s">
        <v>28</v>
      </c>
      <c r="E1448" s="1" t="s">
        <v>21</v>
      </c>
      <c r="F1448" s="2">
        <v>11</v>
      </c>
      <c r="G1448" s="5">
        <v>220</v>
      </c>
      <c r="H1448" s="24">
        <f t="shared" si="110"/>
        <v>2420</v>
      </c>
      <c r="I1448" s="7">
        <v>0.05</v>
      </c>
      <c r="J1448" s="5">
        <f t="shared" si="111"/>
        <v>121</v>
      </c>
      <c r="K1448" s="5">
        <f t="shared" si="112"/>
        <v>2299</v>
      </c>
      <c r="L1448" s="5">
        <v>130</v>
      </c>
      <c r="M1448" s="5">
        <f t="shared" si="113"/>
        <v>869</v>
      </c>
      <c r="N1448" s="7">
        <f t="shared" si="114"/>
        <v>0.37799043062200954</v>
      </c>
      <c r="O1448" s="1" t="s">
        <v>30</v>
      </c>
      <c r="P1448" s="1" t="s">
        <v>31</v>
      </c>
      <c r="Q1448" s="1" t="s">
        <v>37</v>
      </c>
      <c r="R1448" s="1" t="s">
        <v>63</v>
      </c>
      <c r="S1448" s="1" t="s">
        <v>270</v>
      </c>
      <c r="T1448" s="15" t="s">
        <v>27</v>
      </c>
    </row>
    <row r="1449" spans="1:20" x14ac:dyDescent="0.3">
      <c r="A1449" s="14">
        <v>1448</v>
      </c>
      <c r="B1449" s="4">
        <v>44476</v>
      </c>
      <c r="C1449" s="1" t="s">
        <v>534</v>
      </c>
      <c r="D1449" s="1" t="s">
        <v>20</v>
      </c>
      <c r="E1449" s="1" t="s">
        <v>45</v>
      </c>
      <c r="F1449" s="2">
        <v>10</v>
      </c>
      <c r="G1449" s="5">
        <v>180</v>
      </c>
      <c r="H1449" s="24">
        <f t="shared" si="110"/>
        <v>1800</v>
      </c>
      <c r="I1449" s="7">
        <v>0</v>
      </c>
      <c r="J1449" s="5">
        <f t="shared" si="111"/>
        <v>0</v>
      </c>
      <c r="K1449" s="5">
        <f t="shared" si="112"/>
        <v>1800</v>
      </c>
      <c r="L1449" s="5">
        <v>130</v>
      </c>
      <c r="M1449" s="5">
        <f t="shared" si="113"/>
        <v>500</v>
      </c>
      <c r="N1449" s="7">
        <f t="shared" si="114"/>
        <v>0.27777777777777779</v>
      </c>
      <c r="O1449" s="1" t="s">
        <v>30</v>
      </c>
      <c r="P1449" s="1" t="s">
        <v>31</v>
      </c>
      <c r="Q1449" s="1" t="s">
        <v>37</v>
      </c>
      <c r="R1449" s="1" t="s">
        <v>25</v>
      </c>
      <c r="S1449" s="1" t="s">
        <v>364</v>
      </c>
      <c r="T1449" s="15" t="s">
        <v>35</v>
      </c>
    </row>
    <row r="1450" spans="1:20" x14ac:dyDescent="0.3">
      <c r="A1450" s="14">
        <v>1449</v>
      </c>
      <c r="B1450" s="4">
        <v>44432</v>
      </c>
      <c r="C1450" s="1" t="s">
        <v>534</v>
      </c>
      <c r="D1450" s="1" t="s">
        <v>80</v>
      </c>
      <c r="E1450" s="1" t="s">
        <v>21</v>
      </c>
      <c r="F1450" s="2">
        <v>9</v>
      </c>
      <c r="G1450" s="5">
        <v>200</v>
      </c>
      <c r="H1450" s="24">
        <f t="shared" si="110"/>
        <v>1800</v>
      </c>
      <c r="I1450" s="7">
        <v>0.05</v>
      </c>
      <c r="J1450" s="5">
        <f t="shared" si="111"/>
        <v>90</v>
      </c>
      <c r="K1450" s="5">
        <f t="shared" si="112"/>
        <v>1710</v>
      </c>
      <c r="L1450" s="5">
        <v>120</v>
      </c>
      <c r="M1450" s="5">
        <f t="shared" si="113"/>
        <v>630</v>
      </c>
      <c r="N1450" s="7">
        <f t="shared" si="114"/>
        <v>0.36842105263157893</v>
      </c>
      <c r="O1450" s="1" t="s">
        <v>54</v>
      </c>
      <c r="P1450" s="1" t="s">
        <v>31</v>
      </c>
      <c r="Q1450" s="1" t="s">
        <v>24</v>
      </c>
      <c r="R1450" s="1" t="s">
        <v>46</v>
      </c>
      <c r="S1450" s="1" t="s">
        <v>499</v>
      </c>
      <c r="T1450" s="15" t="s">
        <v>35</v>
      </c>
    </row>
    <row r="1451" spans="1:20" x14ac:dyDescent="0.3">
      <c r="A1451" s="14">
        <v>1450</v>
      </c>
      <c r="B1451" s="4">
        <v>44360</v>
      </c>
      <c r="C1451" s="1" t="s">
        <v>533</v>
      </c>
      <c r="D1451" s="1" t="s">
        <v>20</v>
      </c>
      <c r="E1451" s="1" t="s">
        <v>29</v>
      </c>
      <c r="F1451" s="2">
        <v>3</v>
      </c>
      <c r="G1451" s="5">
        <v>2270</v>
      </c>
      <c r="H1451" s="24">
        <f t="shared" si="110"/>
        <v>6810</v>
      </c>
      <c r="I1451" s="7">
        <v>0</v>
      </c>
      <c r="J1451" s="5">
        <f t="shared" si="111"/>
        <v>0</v>
      </c>
      <c r="K1451" s="5">
        <f t="shared" si="112"/>
        <v>6810</v>
      </c>
      <c r="L1451" s="5">
        <v>1600</v>
      </c>
      <c r="M1451" s="5">
        <f t="shared" si="113"/>
        <v>2010</v>
      </c>
      <c r="N1451" s="7">
        <f t="shared" si="114"/>
        <v>0.29515418502202645</v>
      </c>
      <c r="O1451" s="1" t="s">
        <v>30</v>
      </c>
      <c r="P1451" s="1" t="s">
        <v>31</v>
      </c>
      <c r="Q1451" s="1" t="s">
        <v>24</v>
      </c>
      <c r="R1451" s="1" t="s">
        <v>25</v>
      </c>
      <c r="S1451" s="1" t="s">
        <v>493</v>
      </c>
      <c r="T1451" s="15" t="s">
        <v>61</v>
      </c>
    </row>
    <row r="1452" spans="1:20" x14ac:dyDescent="0.3">
      <c r="A1452" s="14">
        <v>1451</v>
      </c>
      <c r="B1452" s="4">
        <v>44552</v>
      </c>
      <c r="C1452" s="1" t="s">
        <v>530</v>
      </c>
      <c r="D1452" s="1" t="s">
        <v>20</v>
      </c>
      <c r="E1452" s="1" t="s">
        <v>36</v>
      </c>
      <c r="F1452" s="2">
        <v>10</v>
      </c>
      <c r="G1452" s="5">
        <v>2270</v>
      </c>
      <c r="H1452" s="24">
        <f t="shared" si="110"/>
        <v>22700</v>
      </c>
      <c r="I1452" s="7">
        <v>0.02</v>
      </c>
      <c r="J1452" s="5">
        <f t="shared" si="111"/>
        <v>454</v>
      </c>
      <c r="K1452" s="5">
        <f t="shared" si="112"/>
        <v>22246</v>
      </c>
      <c r="L1452" s="5">
        <v>1830</v>
      </c>
      <c r="M1452" s="5">
        <f t="shared" si="113"/>
        <v>3946</v>
      </c>
      <c r="N1452" s="7">
        <f t="shared" si="114"/>
        <v>0.17738020318259462</v>
      </c>
      <c r="O1452" s="1" t="s">
        <v>30</v>
      </c>
      <c r="P1452" s="1" t="s">
        <v>76</v>
      </c>
      <c r="Q1452" s="1" t="s">
        <v>37</v>
      </c>
      <c r="R1452" s="1" t="s">
        <v>33</v>
      </c>
      <c r="S1452" s="1" t="s">
        <v>523</v>
      </c>
      <c r="T1452" s="15" t="s">
        <v>53</v>
      </c>
    </row>
    <row r="1453" spans="1:20" x14ac:dyDescent="0.3">
      <c r="A1453" s="14">
        <v>1452</v>
      </c>
      <c r="B1453" s="4">
        <v>44473</v>
      </c>
      <c r="C1453" s="1" t="s">
        <v>533</v>
      </c>
      <c r="D1453" s="1" t="s">
        <v>28</v>
      </c>
      <c r="E1453" s="1" t="s">
        <v>36</v>
      </c>
      <c r="F1453" s="2">
        <v>10</v>
      </c>
      <c r="G1453" s="5">
        <v>1330</v>
      </c>
      <c r="H1453" s="24">
        <f t="shared" si="110"/>
        <v>13300</v>
      </c>
      <c r="I1453" s="7">
        <v>0</v>
      </c>
      <c r="J1453" s="5">
        <f t="shared" si="111"/>
        <v>0</v>
      </c>
      <c r="K1453" s="5">
        <f t="shared" si="112"/>
        <v>13300</v>
      </c>
      <c r="L1453" s="5">
        <v>1040</v>
      </c>
      <c r="M1453" s="5">
        <f t="shared" si="113"/>
        <v>2900</v>
      </c>
      <c r="N1453" s="7">
        <f t="shared" si="114"/>
        <v>0.21804511278195488</v>
      </c>
      <c r="O1453" s="1" t="s">
        <v>30</v>
      </c>
      <c r="P1453" s="1" t="s">
        <v>62</v>
      </c>
      <c r="Q1453" s="1" t="s">
        <v>24</v>
      </c>
      <c r="R1453" s="1" t="s">
        <v>46</v>
      </c>
      <c r="S1453" s="1" t="s">
        <v>463</v>
      </c>
      <c r="T1453" s="15" t="s">
        <v>61</v>
      </c>
    </row>
    <row r="1454" spans="1:20" x14ac:dyDescent="0.3">
      <c r="A1454" s="14">
        <v>1453</v>
      </c>
      <c r="B1454" s="4">
        <v>44455</v>
      </c>
      <c r="C1454" s="1" t="s">
        <v>529</v>
      </c>
      <c r="D1454" s="1" t="s">
        <v>82</v>
      </c>
      <c r="E1454" s="1" t="s">
        <v>40</v>
      </c>
      <c r="F1454" s="2">
        <v>2</v>
      </c>
      <c r="G1454" s="5">
        <v>1370</v>
      </c>
      <c r="H1454" s="24">
        <f t="shared" si="110"/>
        <v>2740</v>
      </c>
      <c r="I1454" s="7">
        <v>0</v>
      </c>
      <c r="J1454" s="5">
        <f t="shared" si="111"/>
        <v>0</v>
      </c>
      <c r="K1454" s="5">
        <f t="shared" si="112"/>
        <v>2740</v>
      </c>
      <c r="L1454" s="5">
        <v>870</v>
      </c>
      <c r="M1454" s="5">
        <f t="shared" si="113"/>
        <v>1000</v>
      </c>
      <c r="N1454" s="7">
        <f t="shared" si="114"/>
        <v>0.36496350364963503</v>
      </c>
      <c r="O1454" s="1" t="s">
        <v>41</v>
      </c>
      <c r="P1454" s="1" t="s">
        <v>31</v>
      </c>
      <c r="Q1454" s="1" t="s">
        <v>37</v>
      </c>
      <c r="R1454" s="1" t="s">
        <v>50</v>
      </c>
      <c r="S1454" s="1" t="s">
        <v>274</v>
      </c>
      <c r="T1454" s="15" t="s">
        <v>61</v>
      </c>
    </row>
    <row r="1455" spans="1:20" x14ac:dyDescent="0.3">
      <c r="A1455" s="14">
        <v>1454</v>
      </c>
      <c r="B1455" s="4">
        <v>44220</v>
      </c>
      <c r="C1455" s="1" t="s">
        <v>532</v>
      </c>
      <c r="D1455" s="1" t="s">
        <v>20</v>
      </c>
      <c r="E1455" s="1" t="s">
        <v>36</v>
      </c>
      <c r="F1455" s="2">
        <v>2</v>
      </c>
      <c r="G1455" s="5">
        <v>1350</v>
      </c>
      <c r="H1455" s="24">
        <f t="shared" si="110"/>
        <v>2700</v>
      </c>
      <c r="I1455" s="7">
        <v>0.02</v>
      </c>
      <c r="J1455" s="5">
        <f t="shared" si="111"/>
        <v>54</v>
      </c>
      <c r="K1455" s="5">
        <f t="shared" si="112"/>
        <v>2646</v>
      </c>
      <c r="L1455" s="5">
        <v>880</v>
      </c>
      <c r="M1455" s="5">
        <f t="shared" si="113"/>
        <v>886</v>
      </c>
      <c r="N1455" s="7">
        <f t="shared" si="114"/>
        <v>0.33484504913076341</v>
      </c>
      <c r="O1455" s="1" t="s">
        <v>59</v>
      </c>
      <c r="P1455" s="1" t="s">
        <v>62</v>
      </c>
      <c r="Q1455" s="1" t="s">
        <v>32</v>
      </c>
      <c r="R1455" s="1" t="s">
        <v>88</v>
      </c>
      <c r="S1455" s="1" t="s">
        <v>461</v>
      </c>
      <c r="T1455" s="15" t="s">
        <v>35</v>
      </c>
    </row>
    <row r="1456" spans="1:20" x14ac:dyDescent="0.3">
      <c r="A1456" s="14">
        <v>1455</v>
      </c>
      <c r="B1456" s="4">
        <v>44477</v>
      </c>
      <c r="C1456" s="1" t="s">
        <v>533</v>
      </c>
      <c r="D1456" s="1" t="s">
        <v>82</v>
      </c>
      <c r="E1456" s="1" t="s">
        <v>36</v>
      </c>
      <c r="F1456" s="2">
        <v>10</v>
      </c>
      <c r="G1456" s="5">
        <v>1190</v>
      </c>
      <c r="H1456" s="24">
        <f t="shared" si="110"/>
        <v>11900</v>
      </c>
      <c r="I1456" s="7">
        <v>0</v>
      </c>
      <c r="J1456" s="5">
        <f t="shared" si="111"/>
        <v>0</v>
      </c>
      <c r="K1456" s="5">
        <f t="shared" si="112"/>
        <v>11900</v>
      </c>
      <c r="L1456" s="5">
        <v>720</v>
      </c>
      <c r="M1456" s="5">
        <f t="shared" si="113"/>
        <v>4700</v>
      </c>
      <c r="N1456" s="7">
        <f t="shared" si="114"/>
        <v>0.3949579831932773</v>
      </c>
      <c r="O1456" s="1" t="s">
        <v>30</v>
      </c>
      <c r="P1456" s="1" t="s">
        <v>31</v>
      </c>
      <c r="Q1456" s="1" t="s">
        <v>32</v>
      </c>
      <c r="R1456" s="1" t="s">
        <v>46</v>
      </c>
      <c r="S1456" s="1" t="s">
        <v>271</v>
      </c>
      <c r="T1456" s="15" t="s">
        <v>27</v>
      </c>
    </row>
    <row r="1457" spans="1:20" x14ac:dyDescent="0.3">
      <c r="A1457" s="14">
        <v>1456</v>
      </c>
      <c r="B1457" s="4">
        <v>44287</v>
      </c>
      <c r="C1457" s="1" t="s">
        <v>530</v>
      </c>
      <c r="D1457" s="1" t="s">
        <v>20</v>
      </c>
      <c r="E1457" s="1" t="s">
        <v>29</v>
      </c>
      <c r="F1457" s="2">
        <v>8</v>
      </c>
      <c r="G1457" s="5">
        <v>2080</v>
      </c>
      <c r="H1457" s="24">
        <f t="shared" si="110"/>
        <v>16640</v>
      </c>
      <c r="I1457" s="7">
        <v>0</v>
      </c>
      <c r="J1457" s="5">
        <f t="shared" si="111"/>
        <v>0</v>
      </c>
      <c r="K1457" s="5">
        <f t="shared" si="112"/>
        <v>16640</v>
      </c>
      <c r="L1457" s="5">
        <v>1310</v>
      </c>
      <c r="M1457" s="5">
        <f t="shared" si="113"/>
        <v>6160</v>
      </c>
      <c r="N1457" s="7">
        <f t="shared" si="114"/>
        <v>0.37019230769230771</v>
      </c>
      <c r="O1457" s="1" t="s">
        <v>30</v>
      </c>
      <c r="P1457" s="1" t="s">
        <v>31</v>
      </c>
      <c r="Q1457" s="1" t="s">
        <v>37</v>
      </c>
      <c r="R1457" s="1" t="s">
        <v>56</v>
      </c>
      <c r="S1457" s="1" t="s">
        <v>349</v>
      </c>
      <c r="T1457" s="15" t="s">
        <v>27</v>
      </c>
    </row>
    <row r="1458" spans="1:20" x14ac:dyDescent="0.3">
      <c r="A1458" s="14">
        <v>1457</v>
      </c>
      <c r="B1458" s="4">
        <v>44507</v>
      </c>
      <c r="C1458" s="1" t="s">
        <v>530</v>
      </c>
      <c r="D1458" s="1" t="s">
        <v>20</v>
      </c>
      <c r="E1458" s="1" t="s">
        <v>21</v>
      </c>
      <c r="F1458" s="2">
        <v>6</v>
      </c>
      <c r="G1458" s="5">
        <v>200</v>
      </c>
      <c r="H1458" s="24">
        <f t="shared" si="110"/>
        <v>1200</v>
      </c>
      <c r="I1458" s="7">
        <v>0</v>
      </c>
      <c r="J1458" s="5">
        <f t="shared" si="111"/>
        <v>0</v>
      </c>
      <c r="K1458" s="5">
        <f t="shared" si="112"/>
        <v>1200</v>
      </c>
      <c r="L1458" s="5">
        <v>160</v>
      </c>
      <c r="M1458" s="5">
        <f t="shared" si="113"/>
        <v>240</v>
      </c>
      <c r="N1458" s="7">
        <f t="shared" si="114"/>
        <v>0.2</v>
      </c>
      <c r="O1458" s="1" t="s">
        <v>41</v>
      </c>
      <c r="P1458" s="1" t="s">
        <v>62</v>
      </c>
      <c r="Q1458" s="1" t="s">
        <v>48</v>
      </c>
      <c r="R1458" s="1" t="s">
        <v>63</v>
      </c>
      <c r="S1458" s="1" t="s">
        <v>447</v>
      </c>
      <c r="T1458" s="15" t="s">
        <v>61</v>
      </c>
    </row>
    <row r="1459" spans="1:20" x14ac:dyDescent="0.3">
      <c r="A1459" s="14">
        <v>1458</v>
      </c>
      <c r="B1459" s="4">
        <v>44389</v>
      </c>
      <c r="C1459" s="1" t="s">
        <v>534</v>
      </c>
      <c r="D1459" s="1" t="s">
        <v>20</v>
      </c>
      <c r="E1459" s="1" t="s">
        <v>40</v>
      </c>
      <c r="F1459" s="2">
        <v>12</v>
      </c>
      <c r="G1459" s="5">
        <v>1550</v>
      </c>
      <c r="H1459" s="24">
        <f t="shared" si="110"/>
        <v>18600</v>
      </c>
      <c r="I1459" s="7">
        <v>0.1</v>
      </c>
      <c r="J1459" s="5">
        <f t="shared" si="111"/>
        <v>1860</v>
      </c>
      <c r="K1459" s="5">
        <f t="shared" si="112"/>
        <v>16740</v>
      </c>
      <c r="L1459" s="5">
        <v>950</v>
      </c>
      <c r="M1459" s="5">
        <f t="shared" si="113"/>
        <v>5340</v>
      </c>
      <c r="N1459" s="7">
        <f t="shared" si="114"/>
        <v>0.31899641577060933</v>
      </c>
      <c r="O1459" s="1" t="s">
        <v>30</v>
      </c>
      <c r="P1459" s="1" t="s">
        <v>31</v>
      </c>
      <c r="Q1459" s="1" t="s">
        <v>24</v>
      </c>
      <c r="R1459" s="1" t="s">
        <v>50</v>
      </c>
      <c r="S1459" s="1" t="s">
        <v>47</v>
      </c>
      <c r="T1459" s="15" t="s">
        <v>53</v>
      </c>
    </row>
    <row r="1460" spans="1:20" x14ac:dyDescent="0.3">
      <c r="A1460" s="14">
        <v>1459</v>
      </c>
      <c r="B1460" s="4">
        <v>44344</v>
      </c>
      <c r="C1460" s="1" t="s">
        <v>533</v>
      </c>
      <c r="D1460" s="1" t="s">
        <v>20</v>
      </c>
      <c r="E1460" s="1" t="s">
        <v>43</v>
      </c>
      <c r="F1460" s="2">
        <v>8</v>
      </c>
      <c r="G1460" s="5">
        <v>290</v>
      </c>
      <c r="H1460" s="24">
        <f t="shared" si="110"/>
        <v>2320</v>
      </c>
      <c r="I1460" s="7">
        <v>0.02</v>
      </c>
      <c r="J1460" s="5">
        <f t="shared" si="111"/>
        <v>46.4</v>
      </c>
      <c r="K1460" s="5">
        <f t="shared" si="112"/>
        <v>2273.6</v>
      </c>
      <c r="L1460" s="5">
        <v>240</v>
      </c>
      <c r="M1460" s="5">
        <f t="shared" si="113"/>
        <v>353.59999999999991</v>
      </c>
      <c r="N1460" s="7">
        <f t="shared" si="114"/>
        <v>0.15552427867698801</v>
      </c>
      <c r="O1460" s="1" t="s">
        <v>30</v>
      </c>
      <c r="P1460" s="1" t="s">
        <v>76</v>
      </c>
      <c r="Q1460" s="1" t="s">
        <v>24</v>
      </c>
      <c r="R1460" s="1" t="s">
        <v>56</v>
      </c>
      <c r="S1460" s="1" t="s">
        <v>140</v>
      </c>
      <c r="T1460" s="15" t="s">
        <v>35</v>
      </c>
    </row>
    <row r="1461" spans="1:20" x14ac:dyDescent="0.3">
      <c r="A1461" s="14">
        <v>1460</v>
      </c>
      <c r="B1461" s="4">
        <v>44555</v>
      </c>
      <c r="C1461" s="1" t="s">
        <v>530</v>
      </c>
      <c r="D1461" s="1" t="s">
        <v>28</v>
      </c>
      <c r="E1461" s="1" t="s">
        <v>21</v>
      </c>
      <c r="F1461" s="2">
        <v>9</v>
      </c>
      <c r="G1461" s="5">
        <v>240</v>
      </c>
      <c r="H1461" s="24">
        <f t="shared" si="110"/>
        <v>2160</v>
      </c>
      <c r="I1461" s="7">
        <v>0</v>
      </c>
      <c r="J1461" s="5">
        <f t="shared" si="111"/>
        <v>0</v>
      </c>
      <c r="K1461" s="5">
        <f t="shared" si="112"/>
        <v>2160</v>
      </c>
      <c r="L1461" s="5">
        <v>180</v>
      </c>
      <c r="M1461" s="5">
        <f t="shared" si="113"/>
        <v>540</v>
      </c>
      <c r="N1461" s="7">
        <f t="shared" si="114"/>
        <v>0.25</v>
      </c>
      <c r="O1461" s="1" t="s">
        <v>54</v>
      </c>
      <c r="P1461" s="1" t="s">
        <v>31</v>
      </c>
      <c r="Q1461" s="1" t="s">
        <v>48</v>
      </c>
      <c r="R1461" s="1" t="s">
        <v>46</v>
      </c>
      <c r="S1461" s="1" t="s">
        <v>101</v>
      </c>
      <c r="T1461" s="15" t="s">
        <v>35</v>
      </c>
    </row>
    <row r="1462" spans="1:20" x14ac:dyDescent="0.3">
      <c r="A1462" s="14">
        <v>1461</v>
      </c>
      <c r="B1462" s="4">
        <v>44497</v>
      </c>
      <c r="C1462" s="1" t="s">
        <v>533</v>
      </c>
      <c r="D1462" s="1" t="s">
        <v>20</v>
      </c>
      <c r="E1462" s="1" t="s">
        <v>29</v>
      </c>
      <c r="F1462" s="2">
        <v>2</v>
      </c>
      <c r="G1462" s="5">
        <v>2250</v>
      </c>
      <c r="H1462" s="24">
        <f t="shared" si="110"/>
        <v>4500</v>
      </c>
      <c r="I1462" s="7">
        <v>0</v>
      </c>
      <c r="J1462" s="5">
        <f t="shared" si="111"/>
        <v>0</v>
      </c>
      <c r="K1462" s="5">
        <f t="shared" si="112"/>
        <v>4500</v>
      </c>
      <c r="L1462" s="5">
        <v>1520</v>
      </c>
      <c r="M1462" s="5">
        <f t="shared" si="113"/>
        <v>1460</v>
      </c>
      <c r="N1462" s="7">
        <f t="shared" si="114"/>
        <v>0.32444444444444442</v>
      </c>
      <c r="O1462" s="1" t="s">
        <v>41</v>
      </c>
      <c r="P1462" s="1" t="s">
        <v>31</v>
      </c>
      <c r="Q1462" s="1" t="s">
        <v>24</v>
      </c>
      <c r="R1462" s="1" t="s">
        <v>38</v>
      </c>
      <c r="S1462" s="1" t="s">
        <v>524</v>
      </c>
      <c r="T1462" s="15" t="s">
        <v>61</v>
      </c>
    </row>
    <row r="1463" spans="1:20" x14ac:dyDescent="0.3">
      <c r="A1463" s="14">
        <v>1462</v>
      </c>
      <c r="B1463" s="4">
        <v>44240</v>
      </c>
      <c r="C1463" s="1" t="s">
        <v>530</v>
      </c>
      <c r="D1463" s="1" t="s">
        <v>80</v>
      </c>
      <c r="E1463" s="1" t="s">
        <v>43</v>
      </c>
      <c r="F1463" s="2">
        <v>2</v>
      </c>
      <c r="G1463" s="5">
        <v>290</v>
      </c>
      <c r="H1463" s="24">
        <f t="shared" si="110"/>
        <v>580</v>
      </c>
      <c r="I1463" s="7">
        <v>0</v>
      </c>
      <c r="J1463" s="5">
        <f t="shared" si="111"/>
        <v>0</v>
      </c>
      <c r="K1463" s="5">
        <f t="shared" si="112"/>
        <v>580</v>
      </c>
      <c r="L1463" s="5">
        <v>230</v>
      </c>
      <c r="M1463" s="5">
        <f t="shared" si="113"/>
        <v>120</v>
      </c>
      <c r="N1463" s="7">
        <f t="shared" si="114"/>
        <v>0.20689655172413793</v>
      </c>
      <c r="O1463" s="1" t="s">
        <v>54</v>
      </c>
      <c r="P1463" s="1" t="s">
        <v>31</v>
      </c>
      <c r="Q1463" s="1" t="s">
        <v>48</v>
      </c>
      <c r="R1463" s="1" t="s">
        <v>25</v>
      </c>
      <c r="S1463" s="1" t="s">
        <v>402</v>
      </c>
      <c r="T1463" s="15" t="s">
        <v>53</v>
      </c>
    </row>
    <row r="1464" spans="1:20" x14ac:dyDescent="0.3">
      <c r="A1464" s="14">
        <v>1463</v>
      </c>
      <c r="B1464" s="4">
        <v>44461</v>
      </c>
      <c r="C1464" s="1" t="s">
        <v>530</v>
      </c>
      <c r="D1464" s="1" t="s">
        <v>20</v>
      </c>
      <c r="E1464" s="1" t="s">
        <v>21</v>
      </c>
      <c r="F1464" s="2">
        <v>6</v>
      </c>
      <c r="G1464" s="5">
        <v>190</v>
      </c>
      <c r="H1464" s="24">
        <f t="shared" si="110"/>
        <v>1140</v>
      </c>
      <c r="I1464" s="7">
        <v>0.1</v>
      </c>
      <c r="J1464" s="5">
        <f t="shared" si="111"/>
        <v>114</v>
      </c>
      <c r="K1464" s="5">
        <f t="shared" si="112"/>
        <v>1026</v>
      </c>
      <c r="L1464" s="5">
        <v>140</v>
      </c>
      <c r="M1464" s="5">
        <f t="shared" si="113"/>
        <v>186</v>
      </c>
      <c r="N1464" s="7">
        <f t="shared" si="114"/>
        <v>0.18128654970760233</v>
      </c>
      <c r="O1464" s="1" t="s">
        <v>41</v>
      </c>
      <c r="P1464" s="1" t="s">
        <v>31</v>
      </c>
      <c r="Q1464" s="1" t="s">
        <v>37</v>
      </c>
      <c r="R1464" s="1" t="s">
        <v>25</v>
      </c>
      <c r="S1464" s="1" t="s">
        <v>515</v>
      </c>
      <c r="T1464" s="15" t="s">
        <v>27</v>
      </c>
    </row>
    <row r="1465" spans="1:20" x14ac:dyDescent="0.3">
      <c r="A1465" s="14">
        <v>1464</v>
      </c>
      <c r="B1465" s="4">
        <v>44513</v>
      </c>
      <c r="C1465" s="1" t="s">
        <v>529</v>
      </c>
      <c r="D1465" s="1" t="s">
        <v>28</v>
      </c>
      <c r="E1465" s="1" t="s">
        <v>29</v>
      </c>
      <c r="F1465" s="2">
        <v>12</v>
      </c>
      <c r="G1465" s="5">
        <v>1980</v>
      </c>
      <c r="H1465" s="24">
        <f t="shared" si="110"/>
        <v>23760</v>
      </c>
      <c r="I1465" s="7">
        <v>0.15</v>
      </c>
      <c r="J1465" s="5">
        <f t="shared" si="111"/>
        <v>3564</v>
      </c>
      <c r="K1465" s="5">
        <f t="shared" si="112"/>
        <v>20196</v>
      </c>
      <c r="L1465" s="5">
        <v>1440</v>
      </c>
      <c r="M1465" s="5">
        <f t="shared" si="113"/>
        <v>2916</v>
      </c>
      <c r="N1465" s="7">
        <f t="shared" si="114"/>
        <v>0.14438502673796791</v>
      </c>
      <c r="O1465" s="1" t="s">
        <v>30</v>
      </c>
      <c r="P1465" s="1" t="s">
        <v>31</v>
      </c>
      <c r="Q1465" s="1" t="s">
        <v>48</v>
      </c>
      <c r="R1465" s="1" t="s">
        <v>50</v>
      </c>
      <c r="S1465" s="1" t="s">
        <v>466</v>
      </c>
      <c r="T1465" s="15" t="s">
        <v>35</v>
      </c>
    </row>
    <row r="1466" spans="1:20" x14ac:dyDescent="0.3">
      <c r="A1466" s="14">
        <v>1465</v>
      </c>
      <c r="B1466" s="4">
        <v>44410</v>
      </c>
      <c r="C1466" s="1" t="s">
        <v>532</v>
      </c>
      <c r="D1466" s="1" t="s">
        <v>80</v>
      </c>
      <c r="E1466" s="1" t="s">
        <v>29</v>
      </c>
      <c r="F1466" s="2">
        <v>9</v>
      </c>
      <c r="G1466" s="5">
        <v>2170</v>
      </c>
      <c r="H1466" s="24">
        <f t="shared" si="110"/>
        <v>19530</v>
      </c>
      <c r="I1466" s="7">
        <v>0.15</v>
      </c>
      <c r="J1466" s="5">
        <f t="shared" si="111"/>
        <v>2929.5</v>
      </c>
      <c r="K1466" s="5">
        <f t="shared" si="112"/>
        <v>16600.5</v>
      </c>
      <c r="L1466" s="5">
        <v>1560</v>
      </c>
      <c r="M1466" s="5">
        <f t="shared" si="113"/>
        <v>2560.5</v>
      </c>
      <c r="N1466" s="7">
        <f t="shared" si="114"/>
        <v>0.15424234209812956</v>
      </c>
      <c r="O1466" s="1" t="s">
        <v>59</v>
      </c>
      <c r="P1466" s="1" t="s">
        <v>31</v>
      </c>
      <c r="Q1466" s="1" t="s">
        <v>48</v>
      </c>
      <c r="R1466" s="1" t="s">
        <v>88</v>
      </c>
      <c r="S1466" s="1" t="s">
        <v>60</v>
      </c>
      <c r="T1466" s="15" t="s">
        <v>35</v>
      </c>
    </row>
    <row r="1467" spans="1:20" x14ac:dyDescent="0.3">
      <c r="A1467" s="14">
        <v>1466</v>
      </c>
      <c r="B1467" s="4">
        <v>44542</v>
      </c>
      <c r="C1467" s="1" t="s">
        <v>529</v>
      </c>
      <c r="D1467" s="1" t="s">
        <v>82</v>
      </c>
      <c r="E1467" s="1" t="s">
        <v>43</v>
      </c>
      <c r="F1467" s="2">
        <v>5</v>
      </c>
      <c r="G1467" s="5">
        <v>330</v>
      </c>
      <c r="H1467" s="24">
        <f t="shared" si="110"/>
        <v>1650</v>
      </c>
      <c r="I1467" s="7">
        <v>0</v>
      </c>
      <c r="J1467" s="5">
        <f t="shared" si="111"/>
        <v>0</v>
      </c>
      <c r="K1467" s="5">
        <f t="shared" si="112"/>
        <v>1650</v>
      </c>
      <c r="L1467" s="5">
        <v>230</v>
      </c>
      <c r="M1467" s="5">
        <f t="shared" si="113"/>
        <v>500</v>
      </c>
      <c r="N1467" s="7">
        <f t="shared" si="114"/>
        <v>0.30303030303030304</v>
      </c>
      <c r="O1467" s="1" t="s">
        <v>54</v>
      </c>
      <c r="P1467" s="1" t="s">
        <v>31</v>
      </c>
      <c r="Q1467" s="1" t="s">
        <v>48</v>
      </c>
      <c r="R1467" s="1" t="s">
        <v>38</v>
      </c>
      <c r="S1467" s="1" t="s">
        <v>463</v>
      </c>
      <c r="T1467" s="15" t="s">
        <v>35</v>
      </c>
    </row>
    <row r="1468" spans="1:20" x14ac:dyDescent="0.3">
      <c r="A1468" s="14">
        <v>1467</v>
      </c>
      <c r="B1468" s="4">
        <v>44261</v>
      </c>
      <c r="C1468" s="1" t="s">
        <v>530</v>
      </c>
      <c r="D1468" s="1" t="s">
        <v>20</v>
      </c>
      <c r="E1468" s="1" t="s">
        <v>29</v>
      </c>
      <c r="F1468" s="2">
        <v>10</v>
      </c>
      <c r="G1468" s="5">
        <v>1920</v>
      </c>
      <c r="H1468" s="24">
        <f t="shared" si="110"/>
        <v>19200</v>
      </c>
      <c r="I1468" s="7">
        <v>0.05</v>
      </c>
      <c r="J1468" s="5">
        <f t="shared" si="111"/>
        <v>960</v>
      </c>
      <c r="K1468" s="5">
        <f t="shared" si="112"/>
        <v>18240</v>
      </c>
      <c r="L1468" s="5">
        <v>1510</v>
      </c>
      <c r="M1468" s="5">
        <f t="shared" si="113"/>
        <v>3140</v>
      </c>
      <c r="N1468" s="7">
        <f t="shared" si="114"/>
        <v>0.17214912280701755</v>
      </c>
      <c r="O1468" s="1" t="s">
        <v>41</v>
      </c>
      <c r="P1468" s="1" t="s">
        <v>31</v>
      </c>
      <c r="Q1468" s="1" t="s">
        <v>48</v>
      </c>
      <c r="R1468" s="1" t="s">
        <v>33</v>
      </c>
      <c r="S1468" s="1" t="s">
        <v>128</v>
      </c>
      <c r="T1468" s="15" t="s">
        <v>53</v>
      </c>
    </row>
    <row r="1469" spans="1:20" x14ac:dyDescent="0.3">
      <c r="A1469" s="14">
        <v>1468</v>
      </c>
      <c r="B1469" s="4">
        <v>44432</v>
      </c>
      <c r="C1469" s="1" t="s">
        <v>531</v>
      </c>
      <c r="D1469" s="1" t="s">
        <v>20</v>
      </c>
      <c r="E1469" s="1" t="s">
        <v>43</v>
      </c>
      <c r="F1469" s="2">
        <v>6</v>
      </c>
      <c r="G1469" s="5">
        <v>290</v>
      </c>
      <c r="H1469" s="24">
        <f t="shared" si="110"/>
        <v>1740</v>
      </c>
      <c r="I1469" s="7">
        <v>0</v>
      </c>
      <c r="J1469" s="5">
        <f t="shared" si="111"/>
        <v>0</v>
      </c>
      <c r="K1469" s="5">
        <f t="shared" si="112"/>
        <v>1740</v>
      </c>
      <c r="L1469" s="5">
        <v>210</v>
      </c>
      <c r="M1469" s="5">
        <f t="shared" si="113"/>
        <v>480</v>
      </c>
      <c r="N1469" s="7">
        <f t="shared" si="114"/>
        <v>0.27586206896551724</v>
      </c>
      <c r="O1469" s="1" t="s">
        <v>54</v>
      </c>
      <c r="P1469" s="1" t="s">
        <v>31</v>
      </c>
      <c r="Q1469" s="1" t="s">
        <v>37</v>
      </c>
      <c r="R1469" s="1" t="s">
        <v>46</v>
      </c>
      <c r="S1469" s="1" t="s">
        <v>108</v>
      </c>
      <c r="T1469" s="15" t="s">
        <v>61</v>
      </c>
    </row>
    <row r="1470" spans="1:20" x14ac:dyDescent="0.3">
      <c r="A1470" s="14">
        <v>1469</v>
      </c>
      <c r="B1470" s="4">
        <v>44491</v>
      </c>
      <c r="C1470" s="1" t="s">
        <v>530</v>
      </c>
      <c r="D1470" s="1" t="s">
        <v>20</v>
      </c>
      <c r="E1470" s="1" t="s">
        <v>29</v>
      </c>
      <c r="F1470" s="2">
        <v>4</v>
      </c>
      <c r="G1470" s="5">
        <v>2120</v>
      </c>
      <c r="H1470" s="24">
        <f t="shared" si="110"/>
        <v>8480</v>
      </c>
      <c r="I1470" s="7">
        <v>0.15</v>
      </c>
      <c r="J1470" s="5">
        <f t="shared" si="111"/>
        <v>1272</v>
      </c>
      <c r="K1470" s="5">
        <f t="shared" si="112"/>
        <v>7208</v>
      </c>
      <c r="L1470" s="5">
        <v>1280</v>
      </c>
      <c r="M1470" s="5">
        <f t="shared" si="113"/>
        <v>2088</v>
      </c>
      <c r="N1470" s="7">
        <f t="shared" si="114"/>
        <v>0.28967813540510545</v>
      </c>
      <c r="O1470" s="1" t="s">
        <v>59</v>
      </c>
      <c r="P1470" s="1" t="s">
        <v>23</v>
      </c>
      <c r="Q1470" s="1" t="s">
        <v>48</v>
      </c>
      <c r="R1470" s="1" t="s">
        <v>50</v>
      </c>
      <c r="S1470" s="1" t="s">
        <v>233</v>
      </c>
      <c r="T1470" s="15" t="s">
        <v>61</v>
      </c>
    </row>
    <row r="1471" spans="1:20" x14ac:dyDescent="0.3">
      <c r="A1471" s="14">
        <v>1470</v>
      </c>
      <c r="B1471" s="4">
        <v>44458</v>
      </c>
      <c r="C1471" s="1" t="s">
        <v>533</v>
      </c>
      <c r="D1471" s="1" t="s">
        <v>28</v>
      </c>
      <c r="E1471" s="1" t="s">
        <v>43</v>
      </c>
      <c r="F1471" s="2">
        <v>8</v>
      </c>
      <c r="G1471" s="5">
        <v>290</v>
      </c>
      <c r="H1471" s="24">
        <f t="shared" si="110"/>
        <v>2320</v>
      </c>
      <c r="I1471" s="7">
        <v>0.05</v>
      </c>
      <c r="J1471" s="5">
        <f t="shared" si="111"/>
        <v>116</v>
      </c>
      <c r="K1471" s="5">
        <f t="shared" si="112"/>
        <v>2204</v>
      </c>
      <c r="L1471" s="5">
        <v>230</v>
      </c>
      <c r="M1471" s="5">
        <f t="shared" si="113"/>
        <v>364</v>
      </c>
      <c r="N1471" s="7">
        <f t="shared" si="114"/>
        <v>0.16515426497277677</v>
      </c>
      <c r="O1471" s="1" t="s">
        <v>41</v>
      </c>
      <c r="P1471" s="1" t="s">
        <v>31</v>
      </c>
      <c r="Q1471" s="1" t="s">
        <v>37</v>
      </c>
      <c r="R1471" s="1" t="s">
        <v>56</v>
      </c>
      <c r="S1471" s="1" t="s">
        <v>135</v>
      </c>
      <c r="T1471" s="15" t="s">
        <v>53</v>
      </c>
    </row>
    <row r="1472" spans="1:20" x14ac:dyDescent="0.3">
      <c r="A1472" s="14">
        <v>1471</v>
      </c>
      <c r="B1472" s="4">
        <v>44396</v>
      </c>
      <c r="C1472" s="1" t="s">
        <v>529</v>
      </c>
      <c r="D1472" s="1" t="s">
        <v>20</v>
      </c>
      <c r="E1472" s="1" t="s">
        <v>29</v>
      </c>
      <c r="F1472" s="2">
        <v>11</v>
      </c>
      <c r="G1472" s="5">
        <v>2170</v>
      </c>
      <c r="H1472" s="24">
        <f t="shared" si="110"/>
        <v>23870</v>
      </c>
      <c r="I1472" s="7">
        <v>0.1</v>
      </c>
      <c r="J1472" s="5">
        <f t="shared" si="111"/>
        <v>2387</v>
      </c>
      <c r="K1472" s="5">
        <f t="shared" si="112"/>
        <v>21483</v>
      </c>
      <c r="L1472" s="5">
        <v>1350</v>
      </c>
      <c r="M1472" s="5">
        <f t="shared" si="113"/>
        <v>6633</v>
      </c>
      <c r="N1472" s="7">
        <f t="shared" si="114"/>
        <v>0.30875576036866359</v>
      </c>
      <c r="O1472" s="1" t="s">
        <v>41</v>
      </c>
      <c r="P1472" s="1" t="s">
        <v>31</v>
      </c>
      <c r="Q1472" s="1" t="s">
        <v>48</v>
      </c>
      <c r="R1472" s="1" t="s">
        <v>25</v>
      </c>
      <c r="S1472" s="1" t="s">
        <v>271</v>
      </c>
      <c r="T1472" s="15" t="s">
        <v>27</v>
      </c>
    </row>
    <row r="1473" spans="1:20" x14ac:dyDescent="0.3">
      <c r="A1473" s="14">
        <v>1472</v>
      </c>
      <c r="B1473" s="4">
        <v>44281</v>
      </c>
      <c r="C1473" s="1" t="s">
        <v>530</v>
      </c>
      <c r="D1473" s="1" t="s">
        <v>80</v>
      </c>
      <c r="E1473" s="1" t="s">
        <v>36</v>
      </c>
      <c r="F1473" s="2">
        <v>11</v>
      </c>
      <c r="G1473" s="5">
        <v>1350</v>
      </c>
      <c r="H1473" s="24">
        <f t="shared" si="110"/>
        <v>14850</v>
      </c>
      <c r="I1473" s="7">
        <v>0</v>
      </c>
      <c r="J1473" s="5">
        <f t="shared" si="111"/>
        <v>0</v>
      </c>
      <c r="K1473" s="5">
        <f t="shared" si="112"/>
        <v>14850</v>
      </c>
      <c r="L1473" s="5">
        <v>1100</v>
      </c>
      <c r="M1473" s="5">
        <f t="shared" si="113"/>
        <v>2750</v>
      </c>
      <c r="N1473" s="7">
        <f t="shared" si="114"/>
        <v>0.18518518518518517</v>
      </c>
      <c r="O1473" s="1" t="s">
        <v>30</v>
      </c>
      <c r="P1473" s="1" t="s">
        <v>31</v>
      </c>
      <c r="Q1473" s="1" t="s">
        <v>37</v>
      </c>
      <c r="R1473" s="1" t="s">
        <v>38</v>
      </c>
      <c r="S1473" s="1" t="s">
        <v>123</v>
      </c>
      <c r="T1473" s="15" t="s">
        <v>61</v>
      </c>
    </row>
    <row r="1474" spans="1:20" x14ac:dyDescent="0.3">
      <c r="A1474" s="14">
        <v>1473</v>
      </c>
      <c r="B1474" s="4">
        <v>44258</v>
      </c>
      <c r="C1474" s="1" t="s">
        <v>530</v>
      </c>
      <c r="D1474" s="1" t="s">
        <v>20</v>
      </c>
      <c r="E1474" s="1" t="s">
        <v>36</v>
      </c>
      <c r="F1474" s="2">
        <v>6</v>
      </c>
      <c r="G1474" s="5">
        <v>1290</v>
      </c>
      <c r="H1474" s="24">
        <f t="shared" ref="H1474:H1537" si="115">F1474*G1474</f>
        <v>7740</v>
      </c>
      <c r="I1474" s="7">
        <v>0</v>
      </c>
      <c r="J1474" s="5">
        <f t="shared" ref="J1474:J1537" si="116">H1474*I1474</f>
        <v>0</v>
      </c>
      <c r="K1474" s="5">
        <f t="shared" ref="K1474:K1537" si="117">H1474-J1474</f>
        <v>7740</v>
      </c>
      <c r="L1474" s="5">
        <v>1050</v>
      </c>
      <c r="M1474" s="5">
        <f t="shared" ref="M1474:M1537" si="118">K1474-(F1474*L1474)</f>
        <v>1440</v>
      </c>
      <c r="N1474" s="7">
        <f t="shared" ref="N1474:N1537" si="119">IFERROR(M1474/K1474,0)</f>
        <v>0.18604651162790697</v>
      </c>
      <c r="O1474" s="1" t="s">
        <v>54</v>
      </c>
      <c r="P1474" s="1" t="s">
        <v>31</v>
      </c>
      <c r="Q1474" s="1" t="s">
        <v>32</v>
      </c>
      <c r="R1474" s="1" t="s">
        <v>66</v>
      </c>
      <c r="S1474" s="1" t="s">
        <v>276</v>
      </c>
      <c r="T1474" s="15" t="s">
        <v>35</v>
      </c>
    </row>
    <row r="1475" spans="1:20" x14ac:dyDescent="0.3">
      <c r="A1475" s="14">
        <v>1474</v>
      </c>
      <c r="B1475" s="4">
        <v>44222</v>
      </c>
      <c r="C1475" s="1" t="s">
        <v>530</v>
      </c>
      <c r="D1475" s="1" t="s">
        <v>20</v>
      </c>
      <c r="E1475" s="1" t="s">
        <v>21</v>
      </c>
      <c r="F1475" s="2">
        <v>5</v>
      </c>
      <c r="G1475" s="5">
        <v>210</v>
      </c>
      <c r="H1475" s="24">
        <f t="shared" si="115"/>
        <v>1050</v>
      </c>
      <c r="I1475" s="7">
        <v>0</v>
      </c>
      <c r="J1475" s="5">
        <f t="shared" si="116"/>
        <v>0</v>
      </c>
      <c r="K1475" s="5">
        <f t="shared" si="117"/>
        <v>1050</v>
      </c>
      <c r="L1475" s="5">
        <v>150</v>
      </c>
      <c r="M1475" s="5">
        <f t="shared" si="118"/>
        <v>300</v>
      </c>
      <c r="N1475" s="7">
        <f t="shared" si="119"/>
        <v>0.2857142857142857</v>
      </c>
      <c r="O1475" s="1" t="s">
        <v>54</v>
      </c>
      <c r="P1475" s="1" t="s">
        <v>31</v>
      </c>
      <c r="Q1475" s="1" t="s">
        <v>32</v>
      </c>
      <c r="R1475" s="1" t="s">
        <v>25</v>
      </c>
      <c r="S1475" s="1" t="s">
        <v>446</v>
      </c>
      <c r="T1475" s="15" t="s">
        <v>53</v>
      </c>
    </row>
    <row r="1476" spans="1:20" x14ac:dyDescent="0.3">
      <c r="A1476" s="14">
        <v>1475</v>
      </c>
      <c r="B1476" s="4">
        <v>44545</v>
      </c>
      <c r="C1476" s="1" t="s">
        <v>530</v>
      </c>
      <c r="D1476" s="1" t="s">
        <v>20</v>
      </c>
      <c r="E1476" s="1" t="s">
        <v>29</v>
      </c>
      <c r="F1476" s="2">
        <v>2</v>
      </c>
      <c r="G1476" s="5">
        <v>2000</v>
      </c>
      <c r="H1476" s="24">
        <f t="shared" si="115"/>
        <v>4000</v>
      </c>
      <c r="I1476" s="7">
        <v>0.1</v>
      </c>
      <c r="J1476" s="5">
        <f t="shared" si="116"/>
        <v>400</v>
      </c>
      <c r="K1476" s="5">
        <f t="shared" si="117"/>
        <v>3600</v>
      </c>
      <c r="L1476" s="5">
        <v>1590</v>
      </c>
      <c r="M1476" s="5">
        <f t="shared" si="118"/>
        <v>420</v>
      </c>
      <c r="N1476" s="7">
        <f t="shared" si="119"/>
        <v>0.11666666666666667</v>
      </c>
      <c r="O1476" s="1" t="s">
        <v>54</v>
      </c>
      <c r="P1476" s="1" t="s">
        <v>31</v>
      </c>
      <c r="Q1476" s="1" t="s">
        <v>37</v>
      </c>
      <c r="R1476" s="1" t="s">
        <v>25</v>
      </c>
      <c r="S1476" s="1" t="s">
        <v>283</v>
      </c>
      <c r="T1476" s="15" t="s">
        <v>35</v>
      </c>
    </row>
    <row r="1477" spans="1:20" x14ac:dyDescent="0.3">
      <c r="A1477" s="14">
        <v>1476</v>
      </c>
      <c r="B1477" s="4">
        <v>44459</v>
      </c>
      <c r="C1477" s="1" t="s">
        <v>529</v>
      </c>
      <c r="D1477" s="1" t="s">
        <v>82</v>
      </c>
      <c r="E1477" s="1" t="s">
        <v>40</v>
      </c>
      <c r="F1477" s="2">
        <v>11</v>
      </c>
      <c r="G1477" s="5">
        <v>1640</v>
      </c>
      <c r="H1477" s="24">
        <f t="shared" si="115"/>
        <v>18040</v>
      </c>
      <c r="I1477" s="7">
        <v>0.05</v>
      </c>
      <c r="J1477" s="5">
        <f t="shared" si="116"/>
        <v>902</v>
      </c>
      <c r="K1477" s="5">
        <f t="shared" si="117"/>
        <v>17138</v>
      </c>
      <c r="L1477" s="5">
        <v>1330</v>
      </c>
      <c r="M1477" s="5">
        <f t="shared" si="118"/>
        <v>2508</v>
      </c>
      <c r="N1477" s="7">
        <f t="shared" si="119"/>
        <v>0.14634146341463414</v>
      </c>
      <c r="O1477" s="1" t="s">
        <v>22</v>
      </c>
      <c r="P1477" s="1" t="s">
        <v>31</v>
      </c>
      <c r="Q1477" s="1" t="s">
        <v>24</v>
      </c>
      <c r="R1477" s="1" t="s">
        <v>63</v>
      </c>
      <c r="S1477" s="1" t="s">
        <v>396</v>
      </c>
      <c r="T1477" s="15" t="s">
        <v>53</v>
      </c>
    </row>
    <row r="1478" spans="1:20" x14ac:dyDescent="0.3">
      <c r="A1478" s="14">
        <v>1477</v>
      </c>
      <c r="B1478" s="4">
        <v>44505</v>
      </c>
      <c r="C1478" s="1" t="s">
        <v>529</v>
      </c>
      <c r="D1478" s="1" t="s">
        <v>20</v>
      </c>
      <c r="E1478" s="1" t="s">
        <v>29</v>
      </c>
      <c r="F1478" s="2">
        <v>2</v>
      </c>
      <c r="G1478" s="5">
        <v>2330</v>
      </c>
      <c r="H1478" s="24">
        <f t="shared" si="115"/>
        <v>4660</v>
      </c>
      <c r="I1478" s="7">
        <v>0.05</v>
      </c>
      <c r="J1478" s="5">
        <f t="shared" si="116"/>
        <v>233</v>
      </c>
      <c r="K1478" s="5">
        <f t="shared" si="117"/>
        <v>4427</v>
      </c>
      <c r="L1478" s="5">
        <v>1540</v>
      </c>
      <c r="M1478" s="5">
        <f t="shared" si="118"/>
        <v>1347</v>
      </c>
      <c r="N1478" s="7">
        <f t="shared" si="119"/>
        <v>0.30426925683306982</v>
      </c>
      <c r="O1478" s="1" t="s">
        <v>30</v>
      </c>
      <c r="P1478" s="1" t="s">
        <v>31</v>
      </c>
      <c r="Q1478" s="1" t="s">
        <v>48</v>
      </c>
      <c r="R1478" s="1" t="s">
        <v>46</v>
      </c>
      <c r="S1478" s="1" t="s">
        <v>144</v>
      </c>
      <c r="T1478" s="15" t="s">
        <v>35</v>
      </c>
    </row>
    <row r="1479" spans="1:20" x14ac:dyDescent="0.3">
      <c r="A1479" s="14">
        <v>1478</v>
      </c>
      <c r="B1479" s="4">
        <v>44198</v>
      </c>
      <c r="C1479" s="1" t="s">
        <v>530</v>
      </c>
      <c r="D1479" s="1" t="s">
        <v>80</v>
      </c>
      <c r="E1479" s="1" t="s">
        <v>29</v>
      </c>
      <c r="F1479" s="2">
        <v>8</v>
      </c>
      <c r="G1479" s="5">
        <v>2320</v>
      </c>
      <c r="H1479" s="24">
        <f t="shared" si="115"/>
        <v>18560</v>
      </c>
      <c r="I1479" s="7">
        <v>0.05</v>
      </c>
      <c r="J1479" s="5">
        <f t="shared" si="116"/>
        <v>928</v>
      </c>
      <c r="K1479" s="5">
        <f t="shared" si="117"/>
        <v>17632</v>
      </c>
      <c r="L1479" s="5">
        <v>1620</v>
      </c>
      <c r="M1479" s="5">
        <f t="shared" si="118"/>
        <v>4672</v>
      </c>
      <c r="N1479" s="7">
        <f t="shared" si="119"/>
        <v>0.26497277676950998</v>
      </c>
      <c r="O1479" s="1" t="s">
        <v>22</v>
      </c>
      <c r="P1479" s="1" t="s">
        <v>31</v>
      </c>
      <c r="Q1479" s="1" t="s">
        <v>24</v>
      </c>
      <c r="R1479" s="1" t="s">
        <v>33</v>
      </c>
      <c r="S1479" s="1" t="s">
        <v>514</v>
      </c>
      <c r="T1479" s="15" t="s">
        <v>27</v>
      </c>
    </row>
    <row r="1480" spans="1:20" x14ac:dyDescent="0.3">
      <c r="A1480" s="14">
        <v>1479</v>
      </c>
      <c r="B1480" s="4">
        <v>44341</v>
      </c>
      <c r="C1480" s="1" t="s">
        <v>533</v>
      </c>
      <c r="D1480" s="1" t="s">
        <v>28</v>
      </c>
      <c r="E1480" s="1" t="s">
        <v>43</v>
      </c>
      <c r="F1480" s="2">
        <v>3</v>
      </c>
      <c r="G1480" s="5">
        <v>320</v>
      </c>
      <c r="H1480" s="24">
        <f t="shared" si="115"/>
        <v>960</v>
      </c>
      <c r="I1480" s="7">
        <v>0</v>
      </c>
      <c r="J1480" s="5">
        <f t="shared" si="116"/>
        <v>0</v>
      </c>
      <c r="K1480" s="5">
        <f t="shared" si="117"/>
        <v>960</v>
      </c>
      <c r="L1480" s="5">
        <v>200</v>
      </c>
      <c r="M1480" s="5">
        <f t="shared" si="118"/>
        <v>360</v>
      </c>
      <c r="N1480" s="7">
        <f t="shared" si="119"/>
        <v>0.375</v>
      </c>
      <c r="O1480" s="1" t="s">
        <v>22</v>
      </c>
      <c r="P1480" s="1" t="s">
        <v>31</v>
      </c>
      <c r="Q1480" s="1" t="s">
        <v>48</v>
      </c>
      <c r="R1480" s="1" t="s">
        <v>88</v>
      </c>
      <c r="S1480" s="1" t="s">
        <v>235</v>
      </c>
      <c r="T1480" s="15" t="s">
        <v>61</v>
      </c>
    </row>
    <row r="1481" spans="1:20" x14ac:dyDescent="0.3">
      <c r="A1481" s="14">
        <v>1480</v>
      </c>
      <c r="B1481" s="4">
        <v>44327</v>
      </c>
      <c r="C1481" s="1" t="s">
        <v>534</v>
      </c>
      <c r="D1481" s="1" t="s">
        <v>20</v>
      </c>
      <c r="E1481" s="1" t="s">
        <v>45</v>
      </c>
      <c r="F1481" s="2">
        <v>12</v>
      </c>
      <c r="G1481" s="5">
        <v>210</v>
      </c>
      <c r="H1481" s="24">
        <f t="shared" si="115"/>
        <v>2520</v>
      </c>
      <c r="I1481" s="7">
        <v>0.15</v>
      </c>
      <c r="J1481" s="5">
        <f t="shared" si="116"/>
        <v>378</v>
      </c>
      <c r="K1481" s="5">
        <f t="shared" si="117"/>
        <v>2142</v>
      </c>
      <c r="L1481" s="5">
        <v>170</v>
      </c>
      <c r="M1481" s="5">
        <f t="shared" si="118"/>
        <v>102</v>
      </c>
      <c r="N1481" s="7">
        <f t="shared" si="119"/>
        <v>4.7619047619047616E-2</v>
      </c>
      <c r="O1481" s="1" t="s">
        <v>59</v>
      </c>
      <c r="P1481" s="1" t="s">
        <v>31</v>
      </c>
      <c r="Q1481" s="1" t="s">
        <v>24</v>
      </c>
      <c r="R1481" s="1" t="s">
        <v>33</v>
      </c>
      <c r="S1481" s="1" t="s">
        <v>283</v>
      </c>
      <c r="T1481" s="15" t="s">
        <v>61</v>
      </c>
    </row>
    <row r="1482" spans="1:20" x14ac:dyDescent="0.3">
      <c r="A1482" s="14">
        <v>1481</v>
      </c>
      <c r="B1482" s="4">
        <v>44285</v>
      </c>
      <c r="C1482" s="1" t="s">
        <v>533</v>
      </c>
      <c r="D1482" s="1" t="s">
        <v>82</v>
      </c>
      <c r="E1482" s="1" t="s">
        <v>45</v>
      </c>
      <c r="F1482" s="2">
        <v>9</v>
      </c>
      <c r="G1482" s="5">
        <v>170</v>
      </c>
      <c r="H1482" s="24">
        <f t="shared" si="115"/>
        <v>1530</v>
      </c>
      <c r="I1482" s="7">
        <v>0</v>
      </c>
      <c r="J1482" s="5">
        <f t="shared" si="116"/>
        <v>0</v>
      </c>
      <c r="K1482" s="5">
        <f t="shared" si="117"/>
        <v>1530</v>
      </c>
      <c r="L1482" s="5">
        <v>130</v>
      </c>
      <c r="M1482" s="5">
        <f t="shared" si="118"/>
        <v>360</v>
      </c>
      <c r="N1482" s="7">
        <f t="shared" si="119"/>
        <v>0.23529411764705882</v>
      </c>
      <c r="O1482" s="1" t="s">
        <v>54</v>
      </c>
      <c r="P1482" s="1" t="s">
        <v>31</v>
      </c>
      <c r="Q1482" s="1" t="s">
        <v>24</v>
      </c>
      <c r="R1482" s="1" t="s">
        <v>50</v>
      </c>
      <c r="S1482" s="1" t="s">
        <v>469</v>
      </c>
      <c r="T1482" s="15" t="s">
        <v>27</v>
      </c>
    </row>
    <row r="1483" spans="1:20" x14ac:dyDescent="0.3">
      <c r="A1483" s="14">
        <v>1482</v>
      </c>
      <c r="B1483" s="4">
        <v>44554</v>
      </c>
      <c r="C1483" s="1" t="s">
        <v>533</v>
      </c>
      <c r="D1483" s="1" t="s">
        <v>80</v>
      </c>
      <c r="E1483" s="1" t="s">
        <v>40</v>
      </c>
      <c r="F1483" s="2">
        <v>11</v>
      </c>
      <c r="G1483" s="5">
        <v>1690</v>
      </c>
      <c r="H1483" s="24">
        <f t="shared" si="115"/>
        <v>18590</v>
      </c>
      <c r="I1483" s="7">
        <v>0.15</v>
      </c>
      <c r="J1483" s="5">
        <f t="shared" si="116"/>
        <v>2788.5</v>
      </c>
      <c r="K1483" s="5">
        <f t="shared" si="117"/>
        <v>15801.5</v>
      </c>
      <c r="L1483" s="5">
        <v>1230</v>
      </c>
      <c r="M1483" s="5">
        <f t="shared" si="118"/>
        <v>2271.5</v>
      </c>
      <c r="N1483" s="7">
        <f t="shared" si="119"/>
        <v>0.14375217542638358</v>
      </c>
      <c r="O1483" s="1" t="s">
        <v>54</v>
      </c>
      <c r="P1483" s="1" t="s">
        <v>62</v>
      </c>
      <c r="Q1483" s="1" t="s">
        <v>37</v>
      </c>
      <c r="R1483" s="1" t="s">
        <v>49</v>
      </c>
      <c r="S1483" s="1" t="s">
        <v>489</v>
      </c>
      <c r="T1483" s="15" t="s">
        <v>27</v>
      </c>
    </row>
    <row r="1484" spans="1:20" x14ac:dyDescent="0.3">
      <c r="A1484" s="14">
        <v>1483</v>
      </c>
      <c r="B1484" s="4">
        <v>44429</v>
      </c>
      <c r="C1484" s="1" t="s">
        <v>534</v>
      </c>
      <c r="D1484" s="1" t="s">
        <v>82</v>
      </c>
      <c r="E1484" s="1" t="s">
        <v>21</v>
      </c>
      <c r="F1484" s="2">
        <v>3</v>
      </c>
      <c r="G1484" s="5">
        <v>200</v>
      </c>
      <c r="H1484" s="24">
        <f t="shared" si="115"/>
        <v>600</v>
      </c>
      <c r="I1484" s="7">
        <v>0.15</v>
      </c>
      <c r="J1484" s="5">
        <f t="shared" si="116"/>
        <v>90</v>
      </c>
      <c r="K1484" s="5">
        <f t="shared" si="117"/>
        <v>510</v>
      </c>
      <c r="L1484" s="5">
        <v>130</v>
      </c>
      <c r="M1484" s="5">
        <f t="shared" si="118"/>
        <v>120</v>
      </c>
      <c r="N1484" s="7">
        <f t="shared" si="119"/>
        <v>0.23529411764705882</v>
      </c>
      <c r="O1484" s="1" t="s">
        <v>54</v>
      </c>
      <c r="P1484" s="1" t="s">
        <v>31</v>
      </c>
      <c r="Q1484" s="1" t="s">
        <v>37</v>
      </c>
      <c r="R1484" s="1" t="s">
        <v>25</v>
      </c>
      <c r="S1484" s="1" t="s">
        <v>64</v>
      </c>
      <c r="T1484" s="15" t="s">
        <v>27</v>
      </c>
    </row>
    <row r="1485" spans="1:20" x14ac:dyDescent="0.3">
      <c r="A1485" s="14">
        <v>1484</v>
      </c>
      <c r="B1485" s="4">
        <v>44213</v>
      </c>
      <c r="C1485" s="1" t="s">
        <v>529</v>
      </c>
      <c r="D1485" s="1" t="s">
        <v>20</v>
      </c>
      <c r="E1485" s="1" t="s">
        <v>45</v>
      </c>
      <c r="F1485" s="2">
        <v>4</v>
      </c>
      <c r="G1485" s="5">
        <v>190</v>
      </c>
      <c r="H1485" s="24">
        <f t="shared" si="115"/>
        <v>760</v>
      </c>
      <c r="I1485" s="7">
        <v>0.1</v>
      </c>
      <c r="J1485" s="5">
        <f t="shared" si="116"/>
        <v>76</v>
      </c>
      <c r="K1485" s="5">
        <f t="shared" si="117"/>
        <v>684</v>
      </c>
      <c r="L1485" s="5">
        <v>140</v>
      </c>
      <c r="M1485" s="5">
        <f t="shared" si="118"/>
        <v>124</v>
      </c>
      <c r="N1485" s="7">
        <f t="shared" si="119"/>
        <v>0.18128654970760233</v>
      </c>
      <c r="O1485" s="1" t="s">
        <v>54</v>
      </c>
      <c r="P1485" s="1" t="s">
        <v>31</v>
      </c>
      <c r="Q1485" s="1" t="s">
        <v>37</v>
      </c>
      <c r="R1485" s="1" t="s">
        <v>46</v>
      </c>
      <c r="S1485" s="1" t="s">
        <v>206</v>
      </c>
      <c r="T1485" s="15" t="s">
        <v>61</v>
      </c>
    </row>
    <row r="1486" spans="1:20" x14ac:dyDescent="0.3">
      <c r="A1486" s="14">
        <v>1485</v>
      </c>
      <c r="B1486" s="4">
        <v>44235</v>
      </c>
      <c r="C1486" s="1" t="s">
        <v>533</v>
      </c>
      <c r="D1486" s="1" t="s">
        <v>80</v>
      </c>
      <c r="E1486" s="1" t="s">
        <v>36</v>
      </c>
      <c r="F1486" s="2">
        <v>12</v>
      </c>
      <c r="G1486" s="5">
        <v>1320</v>
      </c>
      <c r="H1486" s="24">
        <f t="shared" si="115"/>
        <v>15840</v>
      </c>
      <c r="I1486" s="7">
        <v>0.02</v>
      </c>
      <c r="J1486" s="5">
        <f t="shared" si="116"/>
        <v>316.8</v>
      </c>
      <c r="K1486" s="5">
        <f t="shared" si="117"/>
        <v>15523.2</v>
      </c>
      <c r="L1486" s="5">
        <v>960</v>
      </c>
      <c r="M1486" s="5">
        <f t="shared" si="118"/>
        <v>4003.2000000000007</v>
      </c>
      <c r="N1486" s="7">
        <f t="shared" si="119"/>
        <v>0.25788497217068651</v>
      </c>
      <c r="O1486" s="1" t="s">
        <v>59</v>
      </c>
      <c r="P1486" s="1" t="s">
        <v>31</v>
      </c>
      <c r="Q1486" s="1" t="s">
        <v>48</v>
      </c>
      <c r="R1486" s="1" t="s">
        <v>56</v>
      </c>
      <c r="S1486" s="1" t="s">
        <v>525</v>
      </c>
      <c r="T1486" s="15" t="s">
        <v>35</v>
      </c>
    </row>
    <row r="1487" spans="1:20" x14ac:dyDescent="0.3">
      <c r="A1487" s="14">
        <v>1486</v>
      </c>
      <c r="B1487" s="4">
        <v>44505</v>
      </c>
      <c r="C1487" s="1" t="s">
        <v>529</v>
      </c>
      <c r="D1487" s="1" t="s">
        <v>80</v>
      </c>
      <c r="E1487" s="1" t="s">
        <v>43</v>
      </c>
      <c r="F1487" s="2">
        <v>9</v>
      </c>
      <c r="G1487" s="5">
        <v>300</v>
      </c>
      <c r="H1487" s="24">
        <f t="shared" si="115"/>
        <v>2700</v>
      </c>
      <c r="I1487" s="7">
        <v>0.02</v>
      </c>
      <c r="J1487" s="5">
        <f t="shared" si="116"/>
        <v>54</v>
      </c>
      <c r="K1487" s="5">
        <f t="shared" si="117"/>
        <v>2646</v>
      </c>
      <c r="L1487" s="5">
        <v>240</v>
      </c>
      <c r="M1487" s="5">
        <f t="shared" si="118"/>
        <v>486</v>
      </c>
      <c r="N1487" s="7">
        <f t="shared" si="119"/>
        <v>0.18367346938775511</v>
      </c>
      <c r="O1487" s="1" t="s">
        <v>22</v>
      </c>
      <c r="P1487" s="1" t="s">
        <v>31</v>
      </c>
      <c r="Q1487" s="1" t="s">
        <v>32</v>
      </c>
      <c r="R1487" s="1" t="s">
        <v>46</v>
      </c>
      <c r="S1487" s="1" t="s">
        <v>341</v>
      </c>
      <c r="T1487" s="15" t="s">
        <v>53</v>
      </c>
    </row>
    <row r="1488" spans="1:20" x14ac:dyDescent="0.3">
      <c r="A1488" s="14">
        <v>1487</v>
      </c>
      <c r="B1488" s="4">
        <v>44313</v>
      </c>
      <c r="C1488" s="1" t="s">
        <v>533</v>
      </c>
      <c r="D1488" s="1" t="s">
        <v>28</v>
      </c>
      <c r="E1488" s="1" t="s">
        <v>21</v>
      </c>
      <c r="F1488" s="2">
        <v>2</v>
      </c>
      <c r="G1488" s="5">
        <v>210</v>
      </c>
      <c r="H1488" s="24">
        <f t="shared" si="115"/>
        <v>420</v>
      </c>
      <c r="I1488" s="7">
        <v>0.05</v>
      </c>
      <c r="J1488" s="5">
        <f t="shared" si="116"/>
        <v>21</v>
      </c>
      <c r="K1488" s="5">
        <f t="shared" si="117"/>
        <v>399</v>
      </c>
      <c r="L1488" s="5">
        <v>120</v>
      </c>
      <c r="M1488" s="5">
        <f t="shared" si="118"/>
        <v>159</v>
      </c>
      <c r="N1488" s="7">
        <f t="shared" si="119"/>
        <v>0.39849624060150374</v>
      </c>
      <c r="O1488" s="1" t="s">
        <v>41</v>
      </c>
      <c r="P1488" s="1" t="s">
        <v>31</v>
      </c>
      <c r="Q1488" s="1" t="s">
        <v>24</v>
      </c>
      <c r="R1488" s="1" t="s">
        <v>49</v>
      </c>
      <c r="S1488" s="1" t="s">
        <v>177</v>
      </c>
      <c r="T1488" s="15" t="s">
        <v>53</v>
      </c>
    </row>
    <row r="1489" spans="1:20" x14ac:dyDescent="0.3">
      <c r="A1489" s="14">
        <v>1488</v>
      </c>
      <c r="B1489" s="4">
        <v>44370</v>
      </c>
      <c r="C1489" s="1" t="s">
        <v>530</v>
      </c>
      <c r="D1489" s="1" t="s">
        <v>20</v>
      </c>
      <c r="E1489" s="1" t="s">
        <v>45</v>
      </c>
      <c r="F1489" s="2">
        <v>4</v>
      </c>
      <c r="G1489" s="5">
        <v>180</v>
      </c>
      <c r="H1489" s="24">
        <f t="shared" si="115"/>
        <v>720</v>
      </c>
      <c r="I1489" s="7">
        <v>0</v>
      </c>
      <c r="J1489" s="5">
        <f t="shared" si="116"/>
        <v>0</v>
      </c>
      <c r="K1489" s="5">
        <f t="shared" si="117"/>
        <v>720</v>
      </c>
      <c r="L1489" s="5">
        <v>140</v>
      </c>
      <c r="M1489" s="5">
        <f t="shared" si="118"/>
        <v>160</v>
      </c>
      <c r="N1489" s="7">
        <f t="shared" si="119"/>
        <v>0.22222222222222221</v>
      </c>
      <c r="O1489" s="1" t="s">
        <v>54</v>
      </c>
      <c r="P1489" s="1" t="s">
        <v>76</v>
      </c>
      <c r="Q1489" s="1" t="s">
        <v>32</v>
      </c>
      <c r="R1489" s="1" t="s">
        <v>25</v>
      </c>
      <c r="S1489" s="1" t="s">
        <v>378</v>
      </c>
      <c r="T1489" s="15" t="s">
        <v>61</v>
      </c>
    </row>
    <row r="1490" spans="1:20" x14ac:dyDescent="0.3">
      <c r="A1490" s="14">
        <v>1489</v>
      </c>
      <c r="B1490" s="4">
        <v>44212</v>
      </c>
      <c r="C1490" s="1" t="s">
        <v>530</v>
      </c>
      <c r="D1490" s="1" t="s">
        <v>20</v>
      </c>
      <c r="E1490" s="1" t="s">
        <v>21</v>
      </c>
      <c r="F1490" s="2">
        <v>11</v>
      </c>
      <c r="G1490" s="5">
        <v>220</v>
      </c>
      <c r="H1490" s="24">
        <f t="shared" si="115"/>
        <v>2420</v>
      </c>
      <c r="I1490" s="7">
        <v>0</v>
      </c>
      <c r="J1490" s="5">
        <f t="shared" si="116"/>
        <v>0</v>
      </c>
      <c r="K1490" s="5">
        <f t="shared" si="117"/>
        <v>2420</v>
      </c>
      <c r="L1490" s="5">
        <v>140</v>
      </c>
      <c r="M1490" s="5">
        <f t="shared" si="118"/>
        <v>880</v>
      </c>
      <c r="N1490" s="7">
        <f t="shared" si="119"/>
        <v>0.36363636363636365</v>
      </c>
      <c r="O1490" s="1" t="s">
        <v>41</v>
      </c>
      <c r="P1490" s="1" t="s">
        <v>31</v>
      </c>
      <c r="Q1490" s="1" t="s">
        <v>48</v>
      </c>
      <c r="R1490" s="1" t="s">
        <v>46</v>
      </c>
      <c r="S1490" s="1" t="s">
        <v>477</v>
      </c>
      <c r="T1490" s="15" t="s">
        <v>61</v>
      </c>
    </row>
    <row r="1491" spans="1:20" x14ac:dyDescent="0.3">
      <c r="A1491" s="14">
        <v>1490</v>
      </c>
      <c r="B1491" s="4">
        <v>44561</v>
      </c>
      <c r="C1491" s="1" t="s">
        <v>530</v>
      </c>
      <c r="D1491" s="1" t="s">
        <v>28</v>
      </c>
      <c r="E1491" s="1" t="s">
        <v>40</v>
      </c>
      <c r="F1491" s="2">
        <v>3</v>
      </c>
      <c r="G1491" s="5">
        <v>1140</v>
      </c>
      <c r="H1491" s="24">
        <f t="shared" si="115"/>
        <v>3420</v>
      </c>
      <c r="I1491" s="7">
        <v>0</v>
      </c>
      <c r="J1491" s="5">
        <f t="shared" si="116"/>
        <v>0</v>
      </c>
      <c r="K1491" s="5">
        <f t="shared" si="117"/>
        <v>3420</v>
      </c>
      <c r="L1491" s="5">
        <v>870</v>
      </c>
      <c r="M1491" s="5">
        <f t="shared" si="118"/>
        <v>810</v>
      </c>
      <c r="N1491" s="7">
        <f t="shared" si="119"/>
        <v>0.23684210526315788</v>
      </c>
      <c r="O1491" s="1" t="s">
        <v>41</v>
      </c>
      <c r="P1491" s="1" t="s">
        <v>31</v>
      </c>
      <c r="Q1491" s="1" t="s">
        <v>48</v>
      </c>
      <c r="R1491" s="1" t="s">
        <v>56</v>
      </c>
      <c r="S1491" s="1" t="s">
        <v>294</v>
      </c>
      <c r="T1491" s="15" t="s">
        <v>53</v>
      </c>
    </row>
    <row r="1492" spans="1:20" x14ac:dyDescent="0.3">
      <c r="A1492" s="14">
        <v>1491</v>
      </c>
      <c r="B1492" s="4">
        <v>44382</v>
      </c>
      <c r="C1492" s="1" t="s">
        <v>530</v>
      </c>
      <c r="D1492" s="1" t="s">
        <v>20</v>
      </c>
      <c r="E1492" s="1" t="s">
        <v>43</v>
      </c>
      <c r="F1492" s="2">
        <v>10</v>
      </c>
      <c r="G1492" s="5">
        <v>300</v>
      </c>
      <c r="H1492" s="24">
        <f t="shared" si="115"/>
        <v>3000</v>
      </c>
      <c r="I1492" s="7">
        <v>0</v>
      </c>
      <c r="J1492" s="5">
        <f t="shared" si="116"/>
        <v>0</v>
      </c>
      <c r="K1492" s="5">
        <f t="shared" si="117"/>
        <v>3000</v>
      </c>
      <c r="L1492" s="5">
        <v>200</v>
      </c>
      <c r="M1492" s="5">
        <f t="shared" si="118"/>
        <v>1000</v>
      </c>
      <c r="N1492" s="7">
        <f t="shared" si="119"/>
        <v>0.33333333333333331</v>
      </c>
      <c r="O1492" s="1" t="s">
        <v>54</v>
      </c>
      <c r="P1492" s="1" t="s">
        <v>31</v>
      </c>
      <c r="Q1492" s="1" t="s">
        <v>32</v>
      </c>
      <c r="R1492" s="1" t="s">
        <v>49</v>
      </c>
      <c r="S1492" s="1" t="s">
        <v>166</v>
      </c>
      <c r="T1492" s="15" t="s">
        <v>61</v>
      </c>
    </row>
    <row r="1493" spans="1:20" x14ac:dyDescent="0.3">
      <c r="A1493" s="14">
        <v>1492</v>
      </c>
      <c r="B1493" s="4">
        <v>44218</v>
      </c>
      <c r="C1493" s="1" t="s">
        <v>532</v>
      </c>
      <c r="D1493" s="1" t="s">
        <v>20</v>
      </c>
      <c r="E1493" s="1" t="s">
        <v>21</v>
      </c>
      <c r="F1493" s="2">
        <v>4</v>
      </c>
      <c r="G1493" s="5">
        <v>230</v>
      </c>
      <c r="H1493" s="24">
        <f t="shared" si="115"/>
        <v>920</v>
      </c>
      <c r="I1493" s="7">
        <v>0.05</v>
      </c>
      <c r="J1493" s="5">
        <f t="shared" si="116"/>
        <v>46</v>
      </c>
      <c r="K1493" s="5">
        <f t="shared" si="117"/>
        <v>874</v>
      </c>
      <c r="L1493" s="5">
        <v>180</v>
      </c>
      <c r="M1493" s="5">
        <f t="shared" si="118"/>
        <v>154</v>
      </c>
      <c r="N1493" s="7">
        <f t="shared" si="119"/>
        <v>0.17620137299771166</v>
      </c>
      <c r="O1493" s="1" t="s">
        <v>41</v>
      </c>
      <c r="P1493" s="1" t="s">
        <v>31</v>
      </c>
      <c r="Q1493" s="1" t="s">
        <v>32</v>
      </c>
      <c r="R1493" s="1" t="s">
        <v>46</v>
      </c>
      <c r="S1493" s="1" t="s">
        <v>449</v>
      </c>
      <c r="T1493" s="15" t="s">
        <v>35</v>
      </c>
    </row>
    <row r="1494" spans="1:20" x14ac:dyDescent="0.3">
      <c r="A1494" s="14">
        <v>1493</v>
      </c>
      <c r="B1494" s="4">
        <v>44419</v>
      </c>
      <c r="C1494" s="1" t="s">
        <v>529</v>
      </c>
      <c r="D1494" s="1" t="s">
        <v>28</v>
      </c>
      <c r="E1494" s="1" t="s">
        <v>29</v>
      </c>
      <c r="F1494" s="2">
        <v>11</v>
      </c>
      <c r="G1494" s="5">
        <v>2030</v>
      </c>
      <c r="H1494" s="24">
        <f t="shared" si="115"/>
        <v>22330</v>
      </c>
      <c r="I1494" s="7">
        <v>0.05</v>
      </c>
      <c r="J1494" s="5">
        <f t="shared" si="116"/>
        <v>1116.5</v>
      </c>
      <c r="K1494" s="5">
        <f t="shared" si="117"/>
        <v>21213.5</v>
      </c>
      <c r="L1494" s="5">
        <v>1370</v>
      </c>
      <c r="M1494" s="5">
        <f t="shared" si="118"/>
        <v>6143.5</v>
      </c>
      <c r="N1494" s="7">
        <f t="shared" si="119"/>
        <v>0.28960331864143118</v>
      </c>
      <c r="O1494" s="1" t="s">
        <v>30</v>
      </c>
      <c r="P1494" s="1" t="s">
        <v>31</v>
      </c>
      <c r="Q1494" s="1" t="s">
        <v>24</v>
      </c>
      <c r="R1494" s="1" t="s">
        <v>88</v>
      </c>
      <c r="S1494" s="1" t="s">
        <v>275</v>
      </c>
      <c r="T1494" s="15" t="s">
        <v>27</v>
      </c>
    </row>
    <row r="1495" spans="1:20" x14ac:dyDescent="0.3">
      <c r="A1495" s="14">
        <v>1494</v>
      </c>
      <c r="B1495" s="4">
        <v>44468</v>
      </c>
      <c r="C1495" s="1" t="s">
        <v>533</v>
      </c>
      <c r="D1495" s="1" t="s">
        <v>28</v>
      </c>
      <c r="E1495" s="1" t="s">
        <v>45</v>
      </c>
      <c r="F1495" s="2">
        <v>10</v>
      </c>
      <c r="G1495" s="5">
        <v>180</v>
      </c>
      <c r="H1495" s="24">
        <f t="shared" si="115"/>
        <v>1800</v>
      </c>
      <c r="I1495" s="7">
        <v>0</v>
      </c>
      <c r="J1495" s="5">
        <f t="shared" si="116"/>
        <v>0</v>
      </c>
      <c r="K1495" s="5">
        <f t="shared" si="117"/>
        <v>1800</v>
      </c>
      <c r="L1495" s="5">
        <v>150</v>
      </c>
      <c r="M1495" s="5">
        <f t="shared" si="118"/>
        <v>300</v>
      </c>
      <c r="N1495" s="7">
        <f t="shared" si="119"/>
        <v>0.16666666666666666</v>
      </c>
      <c r="O1495" s="1" t="s">
        <v>30</v>
      </c>
      <c r="P1495" s="1" t="s">
        <v>31</v>
      </c>
      <c r="Q1495" s="1" t="s">
        <v>32</v>
      </c>
      <c r="R1495" s="1" t="s">
        <v>56</v>
      </c>
      <c r="S1495" s="1" t="s">
        <v>383</v>
      </c>
      <c r="T1495" s="15" t="s">
        <v>53</v>
      </c>
    </row>
    <row r="1496" spans="1:20" x14ac:dyDescent="0.3">
      <c r="A1496" s="14">
        <v>1495</v>
      </c>
      <c r="B1496" s="4">
        <v>44240</v>
      </c>
      <c r="C1496" s="1" t="s">
        <v>530</v>
      </c>
      <c r="D1496" s="1" t="s">
        <v>28</v>
      </c>
      <c r="E1496" s="1" t="s">
        <v>43</v>
      </c>
      <c r="F1496" s="2">
        <v>12</v>
      </c>
      <c r="G1496" s="5">
        <v>280</v>
      </c>
      <c r="H1496" s="24">
        <f t="shared" si="115"/>
        <v>3360</v>
      </c>
      <c r="I1496" s="7">
        <v>0.15</v>
      </c>
      <c r="J1496" s="5">
        <f t="shared" si="116"/>
        <v>504</v>
      </c>
      <c r="K1496" s="5">
        <f t="shared" si="117"/>
        <v>2856</v>
      </c>
      <c r="L1496" s="5">
        <v>170</v>
      </c>
      <c r="M1496" s="5">
        <f t="shared" si="118"/>
        <v>816</v>
      </c>
      <c r="N1496" s="7">
        <f t="shared" si="119"/>
        <v>0.2857142857142857</v>
      </c>
      <c r="O1496" s="1" t="s">
        <v>41</v>
      </c>
      <c r="P1496" s="1" t="s">
        <v>76</v>
      </c>
      <c r="Q1496" s="1" t="s">
        <v>37</v>
      </c>
      <c r="R1496" s="1" t="s">
        <v>50</v>
      </c>
      <c r="S1496" s="1" t="s">
        <v>454</v>
      </c>
      <c r="T1496" s="15" t="s">
        <v>35</v>
      </c>
    </row>
    <row r="1497" spans="1:20" x14ac:dyDescent="0.3">
      <c r="A1497" s="14">
        <v>1496</v>
      </c>
      <c r="B1497" s="4">
        <v>44396</v>
      </c>
      <c r="C1497" s="1" t="s">
        <v>529</v>
      </c>
      <c r="D1497" s="1" t="s">
        <v>80</v>
      </c>
      <c r="E1497" s="1" t="s">
        <v>40</v>
      </c>
      <c r="F1497" s="2">
        <v>8</v>
      </c>
      <c r="G1497" s="5">
        <v>1520</v>
      </c>
      <c r="H1497" s="24">
        <f t="shared" si="115"/>
        <v>12160</v>
      </c>
      <c r="I1497" s="7">
        <v>0.15</v>
      </c>
      <c r="J1497" s="5">
        <f t="shared" si="116"/>
        <v>1824</v>
      </c>
      <c r="K1497" s="5">
        <f t="shared" si="117"/>
        <v>10336</v>
      </c>
      <c r="L1497" s="5">
        <v>920</v>
      </c>
      <c r="M1497" s="5">
        <f t="shared" si="118"/>
        <v>2976</v>
      </c>
      <c r="N1497" s="7">
        <f t="shared" si="119"/>
        <v>0.28792569659442724</v>
      </c>
      <c r="O1497" s="1" t="s">
        <v>54</v>
      </c>
      <c r="P1497" s="1" t="s">
        <v>31</v>
      </c>
      <c r="Q1497" s="1" t="s">
        <v>32</v>
      </c>
      <c r="R1497" s="1" t="s">
        <v>38</v>
      </c>
      <c r="S1497" s="1" t="s">
        <v>375</v>
      </c>
      <c r="T1497" s="15" t="s">
        <v>27</v>
      </c>
    </row>
    <row r="1498" spans="1:20" x14ac:dyDescent="0.3">
      <c r="A1498" s="14">
        <v>1497</v>
      </c>
      <c r="B1498" s="4">
        <v>44228</v>
      </c>
      <c r="C1498" s="1" t="s">
        <v>533</v>
      </c>
      <c r="D1498" s="1" t="s">
        <v>80</v>
      </c>
      <c r="E1498" s="1" t="s">
        <v>21</v>
      </c>
      <c r="F1498" s="2">
        <v>3</v>
      </c>
      <c r="G1498" s="5">
        <v>210</v>
      </c>
      <c r="H1498" s="24">
        <f t="shared" si="115"/>
        <v>630</v>
      </c>
      <c r="I1498" s="7">
        <v>0</v>
      </c>
      <c r="J1498" s="5">
        <f t="shared" si="116"/>
        <v>0</v>
      </c>
      <c r="K1498" s="5">
        <f t="shared" si="117"/>
        <v>630</v>
      </c>
      <c r="L1498" s="5">
        <v>120</v>
      </c>
      <c r="M1498" s="5">
        <f t="shared" si="118"/>
        <v>270</v>
      </c>
      <c r="N1498" s="7">
        <f t="shared" si="119"/>
        <v>0.42857142857142855</v>
      </c>
      <c r="O1498" s="1" t="s">
        <v>41</v>
      </c>
      <c r="P1498" s="1" t="s">
        <v>31</v>
      </c>
      <c r="Q1498" s="1" t="s">
        <v>48</v>
      </c>
      <c r="R1498" s="1" t="s">
        <v>38</v>
      </c>
      <c r="S1498" s="1" t="s">
        <v>421</v>
      </c>
      <c r="T1498" s="15" t="s">
        <v>27</v>
      </c>
    </row>
    <row r="1499" spans="1:20" x14ac:dyDescent="0.3">
      <c r="A1499" s="14">
        <v>1498</v>
      </c>
      <c r="B1499" s="4">
        <v>44199</v>
      </c>
      <c r="C1499" s="1" t="s">
        <v>529</v>
      </c>
      <c r="D1499" s="1" t="s">
        <v>28</v>
      </c>
      <c r="E1499" s="1" t="s">
        <v>21</v>
      </c>
      <c r="F1499" s="2">
        <v>11</v>
      </c>
      <c r="G1499" s="5">
        <v>200</v>
      </c>
      <c r="H1499" s="24">
        <f t="shared" si="115"/>
        <v>2200</v>
      </c>
      <c r="I1499" s="7">
        <v>0.1</v>
      </c>
      <c r="J1499" s="5">
        <f t="shared" si="116"/>
        <v>220</v>
      </c>
      <c r="K1499" s="5">
        <f t="shared" si="117"/>
        <v>1980</v>
      </c>
      <c r="L1499" s="5">
        <v>130</v>
      </c>
      <c r="M1499" s="5">
        <f t="shared" si="118"/>
        <v>550</v>
      </c>
      <c r="N1499" s="7">
        <f t="shared" si="119"/>
        <v>0.27777777777777779</v>
      </c>
      <c r="O1499" s="1" t="s">
        <v>22</v>
      </c>
      <c r="P1499" s="1" t="s">
        <v>31</v>
      </c>
      <c r="Q1499" s="1" t="s">
        <v>24</v>
      </c>
      <c r="R1499" s="1" t="s">
        <v>50</v>
      </c>
      <c r="S1499" s="1" t="s">
        <v>110</v>
      </c>
      <c r="T1499" s="15" t="s">
        <v>53</v>
      </c>
    </row>
    <row r="1500" spans="1:20" x14ac:dyDescent="0.3">
      <c r="A1500" s="14">
        <v>1499</v>
      </c>
      <c r="B1500" s="4">
        <v>44546</v>
      </c>
      <c r="C1500" s="1" t="s">
        <v>533</v>
      </c>
      <c r="D1500" s="1" t="s">
        <v>28</v>
      </c>
      <c r="E1500" s="1" t="s">
        <v>21</v>
      </c>
      <c r="F1500" s="2">
        <v>12</v>
      </c>
      <c r="G1500" s="5">
        <v>210</v>
      </c>
      <c r="H1500" s="24">
        <f t="shared" si="115"/>
        <v>2520</v>
      </c>
      <c r="I1500" s="7">
        <v>0.02</v>
      </c>
      <c r="J1500" s="5">
        <f t="shared" si="116"/>
        <v>50.4</v>
      </c>
      <c r="K1500" s="5">
        <f t="shared" si="117"/>
        <v>2469.6</v>
      </c>
      <c r="L1500" s="5">
        <v>150</v>
      </c>
      <c r="M1500" s="5">
        <f t="shared" si="118"/>
        <v>669.59999999999991</v>
      </c>
      <c r="N1500" s="7">
        <f t="shared" si="119"/>
        <v>0.27113702623906705</v>
      </c>
      <c r="O1500" s="1" t="s">
        <v>41</v>
      </c>
      <c r="P1500" s="1" t="s">
        <v>31</v>
      </c>
      <c r="Q1500" s="1" t="s">
        <v>32</v>
      </c>
      <c r="R1500" s="1" t="s">
        <v>46</v>
      </c>
      <c r="S1500" s="1" t="s">
        <v>402</v>
      </c>
      <c r="T1500" s="15" t="s">
        <v>53</v>
      </c>
    </row>
    <row r="1501" spans="1:20" x14ac:dyDescent="0.3">
      <c r="A1501" s="14">
        <v>1500</v>
      </c>
      <c r="B1501" s="4">
        <v>44531</v>
      </c>
      <c r="C1501" s="1" t="s">
        <v>529</v>
      </c>
      <c r="D1501" s="1" t="s">
        <v>20</v>
      </c>
      <c r="E1501" s="1" t="s">
        <v>21</v>
      </c>
      <c r="F1501" s="2">
        <v>6</v>
      </c>
      <c r="G1501" s="5">
        <v>240</v>
      </c>
      <c r="H1501" s="24">
        <f t="shared" si="115"/>
        <v>1440</v>
      </c>
      <c r="I1501" s="7">
        <v>0</v>
      </c>
      <c r="J1501" s="5">
        <f t="shared" si="116"/>
        <v>0</v>
      </c>
      <c r="K1501" s="5">
        <f t="shared" si="117"/>
        <v>1440</v>
      </c>
      <c r="L1501" s="5">
        <v>150</v>
      </c>
      <c r="M1501" s="5">
        <f t="shared" si="118"/>
        <v>540</v>
      </c>
      <c r="N1501" s="7">
        <f t="shared" si="119"/>
        <v>0.375</v>
      </c>
      <c r="O1501" s="1" t="s">
        <v>30</v>
      </c>
      <c r="P1501" s="1" t="s">
        <v>31</v>
      </c>
      <c r="Q1501" s="1" t="s">
        <v>32</v>
      </c>
      <c r="R1501" s="1" t="s">
        <v>49</v>
      </c>
      <c r="S1501" s="1" t="s">
        <v>107</v>
      </c>
      <c r="T1501" s="15" t="s">
        <v>27</v>
      </c>
    </row>
    <row r="1502" spans="1:20" x14ac:dyDescent="0.3">
      <c r="A1502" s="14">
        <v>1501</v>
      </c>
      <c r="B1502" s="4">
        <v>44391</v>
      </c>
      <c r="C1502" s="1" t="s">
        <v>529</v>
      </c>
      <c r="D1502" s="1" t="s">
        <v>20</v>
      </c>
      <c r="E1502" s="1" t="s">
        <v>29</v>
      </c>
      <c r="F1502" s="2">
        <v>12</v>
      </c>
      <c r="G1502" s="5">
        <v>2160</v>
      </c>
      <c r="H1502" s="24">
        <f t="shared" si="115"/>
        <v>25920</v>
      </c>
      <c r="I1502" s="7">
        <v>0.02</v>
      </c>
      <c r="J1502" s="5">
        <f t="shared" si="116"/>
        <v>518.4</v>
      </c>
      <c r="K1502" s="5">
        <f t="shared" si="117"/>
        <v>25401.599999999999</v>
      </c>
      <c r="L1502" s="5">
        <v>1340</v>
      </c>
      <c r="M1502" s="5">
        <f t="shared" si="118"/>
        <v>9321.5999999999985</v>
      </c>
      <c r="N1502" s="7">
        <f t="shared" si="119"/>
        <v>0.36696900982615266</v>
      </c>
      <c r="O1502" s="1" t="s">
        <v>54</v>
      </c>
      <c r="P1502" s="1" t="s">
        <v>31</v>
      </c>
      <c r="Q1502" s="1" t="s">
        <v>32</v>
      </c>
      <c r="R1502" s="1" t="s">
        <v>88</v>
      </c>
      <c r="S1502" s="1" t="s">
        <v>253</v>
      </c>
      <c r="T1502" s="15" t="s">
        <v>35</v>
      </c>
    </row>
    <row r="1503" spans="1:20" x14ac:dyDescent="0.3">
      <c r="A1503" s="14">
        <v>1502</v>
      </c>
      <c r="B1503" s="4">
        <v>44203</v>
      </c>
      <c r="C1503" s="1" t="s">
        <v>529</v>
      </c>
      <c r="D1503" s="1" t="s">
        <v>28</v>
      </c>
      <c r="E1503" s="1" t="s">
        <v>36</v>
      </c>
      <c r="F1503" s="2">
        <v>3</v>
      </c>
      <c r="G1503" s="5">
        <v>1210</v>
      </c>
      <c r="H1503" s="24">
        <f t="shared" si="115"/>
        <v>3630</v>
      </c>
      <c r="I1503" s="7">
        <v>0.15</v>
      </c>
      <c r="J1503" s="5">
        <f t="shared" si="116"/>
        <v>544.5</v>
      </c>
      <c r="K1503" s="5">
        <f t="shared" si="117"/>
        <v>3085.5</v>
      </c>
      <c r="L1503" s="5">
        <v>910</v>
      </c>
      <c r="M1503" s="5">
        <f t="shared" si="118"/>
        <v>355.5</v>
      </c>
      <c r="N1503" s="7">
        <f t="shared" si="119"/>
        <v>0.11521633446767136</v>
      </c>
      <c r="O1503" s="1" t="s">
        <v>54</v>
      </c>
      <c r="P1503" s="1" t="s">
        <v>31</v>
      </c>
      <c r="Q1503" s="1" t="s">
        <v>37</v>
      </c>
      <c r="R1503" s="1" t="s">
        <v>56</v>
      </c>
      <c r="S1503" s="1" t="s">
        <v>79</v>
      </c>
      <c r="T1503" s="15" t="s">
        <v>53</v>
      </c>
    </row>
    <row r="1504" spans="1:20" x14ac:dyDescent="0.3">
      <c r="A1504" s="14">
        <v>1503</v>
      </c>
      <c r="B1504" s="4">
        <v>44323</v>
      </c>
      <c r="C1504" s="1" t="s">
        <v>531</v>
      </c>
      <c r="D1504" s="1" t="s">
        <v>20</v>
      </c>
      <c r="E1504" s="1" t="s">
        <v>29</v>
      </c>
      <c r="F1504" s="2">
        <v>7</v>
      </c>
      <c r="G1504" s="5">
        <v>2330</v>
      </c>
      <c r="H1504" s="24">
        <f t="shared" si="115"/>
        <v>16310</v>
      </c>
      <c r="I1504" s="7">
        <v>0</v>
      </c>
      <c r="J1504" s="5">
        <f t="shared" si="116"/>
        <v>0</v>
      </c>
      <c r="K1504" s="5">
        <f t="shared" si="117"/>
        <v>16310</v>
      </c>
      <c r="L1504" s="5">
        <v>1880</v>
      </c>
      <c r="M1504" s="5">
        <f t="shared" si="118"/>
        <v>3150</v>
      </c>
      <c r="N1504" s="7">
        <f t="shared" si="119"/>
        <v>0.19313304721030042</v>
      </c>
      <c r="O1504" s="1" t="s">
        <v>22</v>
      </c>
      <c r="P1504" s="1" t="s">
        <v>31</v>
      </c>
      <c r="Q1504" s="1" t="s">
        <v>37</v>
      </c>
      <c r="R1504" s="1" t="s">
        <v>50</v>
      </c>
      <c r="S1504" s="1" t="s">
        <v>270</v>
      </c>
      <c r="T1504" s="15" t="s">
        <v>53</v>
      </c>
    </row>
    <row r="1505" spans="1:20" x14ac:dyDescent="0.3">
      <c r="A1505" s="14">
        <v>1504</v>
      </c>
      <c r="B1505" s="4">
        <v>44216</v>
      </c>
      <c r="C1505" s="1" t="s">
        <v>530</v>
      </c>
      <c r="D1505" s="1" t="s">
        <v>20</v>
      </c>
      <c r="E1505" s="1" t="s">
        <v>29</v>
      </c>
      <c r="F1505" s="2">
        <v>12</v>
      </c>
      <c r="G1505" s="5">
        <v>2380</v>
      </c>
      <c r="H1505" s="24">
        <f t="shared" si="115"/>
        <v>28560</v>
      </c>
      <c r="I1505" s="7">
        <v>0.05</v>
      </c>
      <c r="J1505" s="5">
        <f t="shared" si="116"/>
        <v>1428</v>
      </c>
      <c r="K1505" s="5">
        <f t="shared" si="117"/>
        <v>27132</v>
      </c>
      <c r="L1505" s="5">
        <v>1420</v>
      </c>
      <c r="M1505" s="5">
        <f t="shared" si="118"/>
        <v>10092</v>
      </c>
      <c r="N1505" s="7">
        <f t="shared" si="119"/>
        <v>0.37195931003980537</v>
      </c>
      <c r="O1505" s="1" t="s">
        <v>54</v>
      </c>
      <c r="P1505" s="1" t="s">
        <v>31</v>
      </c>
      <c r="Q1505" s="1" t="s">
        <v>24</v>
      </c>
      <c r="R1505" s="1" t="s">
        <v>63</v>
      </c>
      <c r="S1505" s="1" t="s">
        <v>87</v>
      </c>
      <c r="T1505" s="15" t="s">
        <v>53</v>
      </c>
    </row>
    <row r="1506" spans="1:20" x14ac:dyDescent="0.3">
      <c r="A1506" s="14">
        <v>1505</v>
      </c>
      <c r="B1506" s="4">
        <v>44489</v>
      </c>
      <c r="C1506" s="1" t="s">
        <v>533</v>
      </c>
      <c r="D1506" s="1" t="s">
        <v>28</v>
      </c>
      <c r="E1506" s="1" t="s">
        <v>29</v>
      </c>
      <c r="F1506" s="2">
        <v>8</v>
      </c>
      <c r="G1506" s="5">
        <v>2390</v>
      </c>
      <c r="H1506" s="24">
        <f t="shared" si="115"/>
        <v>19120</v>
      </c>
      <c r="I1506" s="7">
        <v>0</v>
      </c>
      <c r="J1506" s="5">
        <f t="shared" si="116"/>
        <v>0</v>
      </c>
      <c r="K1506" s="5">
        <f t="shared" si="117"/>
        <v>19120</v>
      </c>
      <c r="L1506" s="5">
        <v>1510</v>
      </c>
      <c r="M1506" s="5">
        <f t="shared" si="118"/>
        <v>7040</v>
      </c>
      <c r="N1506" s="7">
        <f t="shared" si="119"/>
        <v>0.3682008368200837</v>
      </c>
      <c r="O1506" s="1" t="s">
        <v>54</v>
      </c>
      <c r="P1506" s="1" t="s">
        <v>23</v>
      </c>
      <c r="Q1506" s="1" t="s">
        <v>24</v>
      </c>
      <c r="R1506" s="1" t="s">
        <v>33</v>
      </c>
      <c r="S1506" s="1" t="s">
        <v>170</v>
      </c>
      <c r="T1506" s="15" t="s">
        <v>61</v>
      </c>
    </row>
    <row r="1507" spans="1:20" x14ac:dyDescent="0.3">
      <c r="A1507" s="14">
        <v>1506</v>
      </c>
      <c r="B1507" s="4">
        <v>44414</v>
      </c>
      <c r="C1507" s="1" t="s">
        <v>530</v>
      </c>
      <c r="D1507" s="1" t="s">
        <v>20</v>
      </c>
      <c r="E1507" s="1" t="s">
        <v>29</v>
      </c>
      <c r="F1507" s="2">
        <v>12</v>
      </c>
      <c r="G1507" s="5">
        <v>2060</v>
      </c>
      <c r="H1507" s="24">
        <f t="shared" si="115"/>
        <v>24720</v>
      </c>
      <c r="I1507" s="7">
        <v>0</v>
      </c>
      <c r="J1507" s="5">
        <f t="shared" si="116"/>
        <v>0</v>
      </c>
      <c r="K1507" s="5">
        <f t="shared" si="117"/>
        <v>24720</v>
      </c>
      <c r="L1507" s="5">
        <v>1370</v>
      </c>
      <c r="M1507" s="5">
        <f t="shared" si="118"/>
        <v>8280</v>
      </c>
      <c r="N1507" s="7">
        <f t="shared" si="119"/>
        <v>0.33495145631067963</v>
      </c>
      <c r="O1507" s="1" t="s">
        <v>30</v>
      </c>
      <c r="P1507" s="1" t="s">
        <v>23</v>
      </c>
      <c r="Q1507" s="1" t="s">
        <v>32</v>
      </c>
      <c r="R1507" s="1" t="s">
        <v>50</v>
      </c>
      <c r="S1507" s="1" t="s">
        <v>228</v>
      </c>
      <c r="T1507" s="15" t="s">
        <v>53</v>
      </c>
    </row>
    <row r="1508" spans="1:20" x14ac:dyDescent="0.3">
      <c r="A1508" s="14">
        <v>1507</v>
      </c>
      <c r="B1508" s="4">
        <v>44420</v>
      </c>
      <c r="C1508" s="1" t="s">
        <v>529</v>
      </c>
      <c r="D1508" s="1" t="s">
        <v>82</v>
      </c>
      <c r="E1508" s="1" t="s">
        <v>29</v>
      </c>
      <c r="F1508" s="2">
        <v>8</v>
      </c>
      <c r="G1508" s="5">
        <v>2180</v>
      </c>
      <c r="H1508" s="24">
        <f t="shared" si="115"/>
        <v>17440</v>
      </c>
      <c r="I1508" s="7">
        <v>0.15</v>
      </c>
      <c r="J1508" s="5">
        <f t="shared" si="116"/>
        <v>2616</v>
      </c>
      <c r="K1508" s="5">
        <f t="shared" si="117"/>
        <v>14824</v>
      </c>
      <c r="L1508" s="5">
        <v>1630</v>
      </c>
      <c r="M1508" s="5">
        <f t="shared" si="118"/>
        <v>1784</v>
      </c>
      <c r="N1508" s="7">
        <f t="shared" si="119"/>
        <v>0.12034538586076632</v>
      </c>
      <c r="O1508" s="1" t="s">
        <v>41</v>
      </c>
      <c r="P1508" s="1" t="s">
        <v>62</v>
      </c>
      <c r="Q1508" s="1" t="s">
        <v>32</v>
      </c>
      <c r="R1508" s="1" t="s">
        <v>49</v>
      </c>
      <c r="S1508" s="1" t="s">
        <v>323</v>
      </c>
      <c r="T1508" s="15" t="s">
        <v>53</v>
      </c>
    </row>
    <row r="1509" spans="1:20" x14ac:dyDescent="0.3">
      <c r="A1509" s="14">
        <v>1508</v>
      </c>
      <c r="B1509" s="4">
        <v>44293</v>
      </c>
      <c r="C1509" s="1" t="s">
        <v>531</v>
      </c>
      <c r="D1509" s="1" t="s">
        <v>82</v>
      </c>
      <c r="E1509" s="1" t="s">
        <v>21</v>
      </c>
      <c r="F1509" s="2">
        <v>4</v>
      </c>
      <c r="G1509" s="5">
        <v>210</v>
      </c>
      <c r="H1509" s="24">
        <f t="shared" si="115"/>
        <v>840</v>
      </c>
      <c r="I1509" s="7">
        <v>0</v>
      </c>
      <c r="J1509" s="5">
        <f t="shared" si="116"/>
        <v>0</v>
      </c>
      <c r="K1509" s="5">
        <f t="shared" si="117"/>
        <v>840</v>
      </c>
      <c r="L1509" s="5">
        <v>140</v>
      </c>
      <c r="M1509" s="5">
        <f t="shared" si="118"/>
        <v>280</v>
      </c>
      <c r="N1509" s="7">
        <f t="shared" si="119"/>
        <v>0.33333333333333331</v>
      </c>
      <c r="O1509" s="1" t="s">
        <v>30</v>
      </c>
      <c r="P1509" s="1" t="s">
        <v>31</v>
      </c>
      <c r="Q1509" s="1" t="s">
        <v>37</v>
      </c>
      <c r="R1509" s="1" t="s">
        <v>50</v>
      </c>
      <c r="S1509" s="1" t="s">
        <v>428</v>
      </c>
      <c r="T1509" s="15" t="s">
        <v>35</v>
      </c>
    </row>
    <row r="1510" spans="1:20" x14ac:dyDescent="0.3">
      <c r="A1510" s="14">
        <v>1509</v>
      </c>
      <c r="B1510" s="4">
        <v>44257</v>
      </c>
      <c r="C1510" s="1" t="s">
        <v>529</v>
      </c>
      <c r="D1510" s="1" t="s">
        <v>28</v>
      </c>
      <c r="E1510" s="1" t="s">
        <v>36</v>
      </c>
      <c r="F1510" s="2">
        <v>8</v>
      </c>
      <c r="G1510" s="5">
        <v>1290</v>
      </c>
      <c r="H1510" s="24">
        <f t="shared" si="115"/>
        <v>10320</v>
      </c>
      <c r="I1510" s="7">
        <v>0.02</v>
      </c>
      <c r="J1510" s="5">
        <f t="shared" si="116"/>
        <v>206.4</v>
      </c>
      <c r="K1510" s="5">
        <f t="shared" si="117"/>
        <v>10113.6</v>
      </c>
      <c r="L1510" s="5">
        <v>830</v>
      </c>
      <c r="M1510" s="5">
        <f t="shared" si="118"/>
        <v>3473.6000000000004</v>
      </c>
      <c r="N1510" s="7">
        <f t="shared" si="119"/>
        <v>0.34345831355798134</v>
      </c>
      <c r="O1510" s="1" t="s">
        <v>22</v>
      </c>
      <c r="P1510" s="1" t="s">
        <v>31</v>
      </c>
      <c r="Q1510" s="1" t="s">
        <v>32</v>
      </c>
      <c r="R1510" s="1" t="s">
        <v>49</v>
      </c>
      <c r="S1510" s="1" t="s">
        <v>234</v>
      </c>
      <c r="T1510" s="15" t="s">
        <v>35</v>
      </c>
    </row>
    <row r="1511" spans="1:20" x14ac:dyDescent="0.3">
      <c r="A1511" s="14">
        <v>1510</v>
      </c>
      <c r="B1511" s="4">
        <v>44387</v>
      </c>
      <c r="C1511" s="1" t="s">
        <v>530</v>
      </c>
      <c r="D1511" s="1" t="s">
        <v>80</v>
      </c>
      <c r="E1511" s="1" t="s">
        <v>36</v>
      </c>
      <c r="F1511" s="2">
        <v>7</v>
      </c>
      <c r="G1511" s="5">
        <v>1360</v>
      </c>
      <c r="H1511" s="24">
        <f t="shared" si="115"/>
        <v>9520</v>
      </c>
      <c r="I1511" s="7">
        <v>0</v>
      </c>
      <c r="J1511" s="5">
        <f t="shared" si="116"/>
        <v>0</v>
      </c>
      <c r="K1511" s="5">
        <f t="shared" si="117"/>
        <v>9520</v>
      </c>
      <c r="L1511" s="5">
        <v>1040</v>
      </c>
      <c r="M1511" s="5">
        <f t="shared" si="118"/>
        <v>2240</v>
      </c>
      <c r="N1511" s="7">
        <f t="shared" si="119"/>
        <v>0.23529411764705882</v>
      </c>
      <c r="O1511" s="1" t="s">
        <v>22</v>
      </c>
      <c r="P1511" s="1" t="s">
        <v>31</v>
      </c>
      <c r="Q1511" s="1" t="s">
        <v>24</v>
      </c>
      <c r="R1511" s="1" t="s">
        <v>46</v>
      </c>
      <c r="S1511" s="1" t="s">
        <v>272</v>
      </c>
      <c r="T1511" s="15" t="s">
        <v>53</v>
      </c>
    </row>
    <row r="1512" spans="1:20" x14ac:dyDescent="0.3">
      <c r="A1512" s="14">
        <v>1511</v>
      </c>
      <c r="B1512" s="4">
        <v>44390</v>
      </c>
      <c r="C1512" s="1" t="s">
        <v>533</v>
      </c>
      <c r="D1512" s="1" t="s">
        <v>28</v>
      </c>
      <c r="E1512" s="1" t="s">
        <v>43</v>
      </c>
      <c r="F1512" s="2">
        <v>1</v>
      </c>
      <c r="G1512" s="5">
        <v>330</v>
      </c>
      <c r="H1512" s="24">
        <f t="shared" si="115"/>
        <v>330</v>
      </c>
      <c r="I1512" s="7">
        <v>0.15</v>
      </c>
      <c r="J1512" s="5">
        <f t="shared" si="116"/>
        <v>49.5</v>
      </c>
      <c r="K1512" s="5">
        <f t="shared" si="117"/>
        <v>280.5</v>
      </c>
      <c r="L1512" s="5">
        <v>260</v>
      </c>
      <c r="M1512" s="5">
        <f t="shared" si="118"/>
        <v>20.5</v>
      </c>
      <c r="N1512" s="7">
        <f t="shared" si="119"/>
        <v>7.3083778966131913E-2</v>
      </c>
      <c r="O1512" s="1" t="s">
        <v>22</v>
      </c>
      <c r="P1512" s="1" t="s">
        <v>31</v>
      </c>
      <c r="Q1512" s="1" t="s">
        <v>24</v>
      </c>
      <c r="R1512" s="1" t="s">
        <v>49</v>
      </c>
      <c r="S1512" s="1" t="s">
        <v>359</v>
      </c>
      <c r="T1512" s="15" t="s">
        <v>27</v>
      </c>
    </row>
    <row r="1513" spans="1:20" x14ac:dyDescent="0.3">
      <c r="A1513" s="14">
        <v>1512</v>
      </c>
      <c r="B1513" s="4">
        <v>44503</v>
      </c>
      <c r="C1513" s="1" t="s">
        <v>533</v>
      </c>
      <c r="D1513" s="1" t="s">
        <v>28</v>
      </c>
      <c r="E1513" s="1" t="s">
        <v>21</v>
      </c>
      <c r="F1513" s="2">
        <v>12</v>
      </c>
      <c r="G1513" s="5">
        <v>200</v>
      </c>
      <c r="H1513" s="24">
        <f t="shared" si="115"/>
        <v>2400</v>
      </c>
      <c r="I1513" s="7">
        <v>0.1</v>
      </c>
      <c r="J1513" s="5">
        <f t="shared" si="116"/>
        <v>240</v>
      </c>
      <c r="K1513" s="5">
        <f t="shared" si="117"/>
        <v>2160</v>
      </c>
      <c r="L1513" s="5">
        <v>120</v>
      </c>
      <c r="M1513" s="5">
        <f t="shared" si="118"/>
        <v>720</v>
      </c>
      <c r="N1513" s="7">
        <f t="shared" si="119"/>
        <v>0.33333333333333331</v>
      </c>
      <c r="O1513" s="1" t="s">
        <v>59</v>
      </c>
      <c r="P1513" s="1" t="s">
        <v>31</v>
      </c>
      <c r="Q1513" s="1" t="s">
        <v>37</v>
      </c>
      <c r="R1513" s="1" t="s">
        <v>66</v>
      </c>
      <c r="S1513" s="1" t="s">
        <v>151</v>
      </c>
      <c r="T1513" s="15" t="s">
        <v>53</v>
      </c>
    </row>
    <row r="1514" spans="1:20" x14ac:dyDescent="0.3">
      <c r="A1514" s="14">
        <v>1513</v>
      </c>
      <c r="B1514" s="4">
        <v>44282</v>
      </c>
      <c r="C1514" s="1" t="s">
        <v>529</v>
      </c>
      <c r="D1514" s="1" t="s">
        <v>20</v>
      </c>
      <c r="E1514" s="1" t="s">
        <v>40</v>
      </c>
      <c r="F1514" s="2">
        <v>12</v>
      </c>
      <c r="G1514" s="5">
        <v>1580</v>
      </c>
      <c r="H1514" s="24">
        <f t="shared" si="115"/>
        <v>18960</v>
      </c>
      <c r="I1514" s="7">
        <v>0.05</v>
      </c>
      <c r="J1514" s="5">
        <f t="shared" si="116"/>
        <v>948</v>
      </c>
      <c r="K1514" s="5">
        <f t="shared" si="117"/>
        <v>18012</v>
      </c>
      <c r="L1514" s="5">
        <v>1250</v>
      </c>
      <c r="M1514" s="5">
        <f t="shared" si="118"/>
        <v>3012</v>
      </c>
      <c r="N1514" s="7">
        <f t="shared" si="119"/>
        <v>0.16722185209860094</v>
      </c>
      <c r="O1514" s="1" t="s">
        <v>54</v>
      </c>
      <c r="P1514" s="1" t="s">
        <v>31</v>
      </c>
      <c r="Q1514" s="1" t="s">
        <v>37</v>
      </c>
      <c r="R1514" s="1" t="s">
        <v>49</v>
      </c>
      <c r="S1514" s="1" t="s">
        <v>204</v>
      </c>
      <c r="T1514" s="15" t="s">
        <v>53</v>
      </c>
    </row>
    <row r="1515" spans="1:20" x14ac:dyDescent="0.3">
      <c r="A1515" s="14">
        <v>1514</v>
      </c>
      <c r="B1515" s="4">
        <v>44254</v>
      </c>
      <c r="C1515" s="1" t="s">
        <v>529</v>
      </c>
      <c r="D1515" s="1" t="s">
        <v>20</v>
      </c>
      <c r="E1515" s="1" t="s">
        <v>43</v>
      </c>
      <c r="F1515" s="2">
        <v>5</v>
      </c>
      <c r="G1515" s="5">
        <v>290</v>
      </c>
      <c r="H1515" s="24">
        <f t="shared" si="115"/>
        <v>1450</v>
      </c>
      <c r="I1515" s="7">
        <v>0</v>
      </c>
      <c r="J1515" s="5">
        <f t="shared" si="116"/>
        <v>0</v>
      </c>
      <c r="K1515" s="5">
        <f t="shared" si="117"/>
        <v>1450</v>
      </c>
      <c r="L1515" s="5">
        <v>170</v>
      </c>
      <c r="M1515" s="5">
        <f t="shared" si="118"/>
        <v>600</v>
      </c>
      <c r="N1515" s="7">
        <f t="shared" si="119"/>
        <v>0.41379310344827586</v>
      </c>
      <c r="O1515" s="1" t="s">
        <v>41</v>
      </c>
      <c r="P1515" s="1" t="s">
        <v>31</v>
      </c>
      <c r="Q1515" s="1" t="s">
        <v>24</v>
      </c>
      <c r="R1515" s="1" t="s">
        <v>46</v>
      </c>
      <c r="S1515" s="1" t="s">
        <v>384</v>
      </c>
      <c r="T1515" s="15" t="s">
        <v>27</v>
      </c>
    </row>
    <row r="1516" spans="1:20" x14ac:dyDescent="0.3">
      <c r="A1516" s="14">
        <v>1515</v>
      </c>
      <c r="B1516" s="4">
        <v>44327</v>
      </c>
      <c r="C1516" s="1" t="s">
        <v>532</v>
      </c>
      <c r="D1516" s="1" t="s">
        <v>28</v>
      </c>
      <c r="E1516" s="1" t="s">
        <v>21</v>
      </c>
      <c r="F1516" s="2">
        <v>11</v>
      </c>
      <c r="G1516" s="5">
        <v>220</v>
      </c>
      <c r="H1516" s="24">
        <f t="shared" si="115"/>
        <v>2420</v>
      </c>
      <c r="I1516" s="7">
        <v>0</v>
      </c>
      <c r="J1516" s="5">
        <f t="shared" si="116"/>
        <v>0</v>
      </c>
      <c r="K1516" s="5">
        <f t="shared" si="117"/>
        <v>2420</v>
      </c>
      <c r="L1516" s="5">
        <v>160</v>
      </c>
      <c r="M1516" s="5">
        <f t="shared" si="118"/>
        <v>660</v>
      </c>
      <c r="N1516" s="7">
        <f t="shared" si="119"/>
        <v>0.27272727272727271</v>
      </c>
      <c r="O1516" s="1" t="s">
        <v>30</v>
      </c>
      <c r="P1516" s="1" t="s">
        <v>23</v>
      </c>
      <c r="Q1516" s="1" t="s">
        <v>37</v>
      </c>
      <c r="R1516" s="1" t="s">
        <v>66</v>
      </c>
      <c r="S1516" s="1" t="s">
        <v>464</v>
      </c>
      <c r="T1516" s="15" t="s">
        <v>61</v>
      </c>
    </row>
    <row r="1517" spans="1:20" x14ac:dyDescent="0.3">
      <c r="A1517" s="14">
        <v>1516</v>
      </c>
      <c r="B1517" s="4">
        <v>44508</v>
      </c>
      <c r="C1517" s="1" t="s">
        <v>533</v>
      </c>
      <c r="D1517" s="1" t="s">
        <v>20</v>
      </c>
      <c r="E1517" s="1" t="s">
        <v>40</v>
      </c>
      <c r="F1517" s="2">
        <v>1</v>
      </c>
      <c r="G1517" s="5">
        <v>1360</v>
      </c>
      <c r="H1517" s="24">
        <f t="shared" si="115"/>
        <v>1360</v>
      </c>
      <c r="I1517" s="7">
        <v>0.02</v>
      </c>
      <c r="J1517" s="5">
        <f t="shared" si="116"/>
        <v>27.2</v>
      </c>
      <c r="K1517" s="5">
        <f t="shared" si="117"/>
        <v>1332.8</v>
      </c>
      <c r="L1517" s="5">
        <v>980</v>
      </c>
      <c r="M1517" s="5">
        <f t="shared" si="118"/>
        <v>352.79999999999995</v>
      </c>
      <c r="N1517" s="7">
        <f t="shared" si="119"/>
        <v>0.26470588235294112</v>
      </c>
      <c r="O1517" s="1" t="s">
        <v>41</v>
      </c>
      <c r="P1517" s="1" t="s">
        <v>31</v>
      </c>
      <c r="Q1517" s="1" t="s">
        <v>32</v>
      </c>
      <c r="R1517" s="1" t="s">
        <v>50</v>
      </c>
      <c r="S1517" s="1" t="s">
        <v>210</v>
      </c>
      <c r="T1517" s="15" t="s">
        <v>27</v>
      </c>
    </row>
    <row r="1518" spans="1:20" x14ac:dyDescent="0.3">
      <c r="A1518" s="14">
        <v>1517</v>
      </c>
      <c r="B1518" s="4">
        <v>44297</v>
      </c>
      <c r="C1518" s="1" t="s">
        <v>530</v>
      </c>
      <c r="D1518" s="1" t="s">
        <v>28</v>
      </c>
      <c r="E1518" s="1" t="s">
        <v>21</v>
      </c>
      <c r="F1518" s="2">
        <v>11</v>
      </c>
      <c r="G1518" s="5">
        <v>200</v>
      </c>
      <c r="H1518" s="24">
        <f t="shared" si="115"/>
        <v>2200</v>
      </c>
      <c r="I1518" s="7">
        <v>0</v>
      </c>
      <c r="J1518" s="5">
        <f t="shared" si="116"/>
        <v>0</v>
      </c>
      <c r="K1518" s="5">
        <f t="shared" si="117"/>
        <v>2200</v>
      </c>
      <c r="L1518" s="5">
        <v>150</v>
      </c>
      <c r="M1518" s="5">
        <f t="shared" si="118"/>
        <v>550</v>
      </c>
      <c r="N1518" s="7">
        <f t="shared" si="119"/>
        <v>0.25</v>
      </c>
      <c r="O1518" s="1" t="s">
        <v>59</v>
      </c>
      <c r="P1518" s="1" t="s">
        <v>31</v>
      </c>
      <c r="Q1518" s="1" t="s">
        <v>24</v>
      </c>
      <c r="R1518" s="1" t="s">
        <v>49</v>
      </c>
      <c r="S1518" s="1" t="s">
        <v>257</v>
      </c>
      <c r="T1518" s="15" t="s">
        <v>53</v>
      </c>
    </row>
    <row r="1519" spans="1:20" x14ac:dyDescent="0.3">
      <c r="A1519" s="14">
        <v>1518</v>
      </c>
      <c r="B1519" s="4">
        <v>44285</v>
      </c>
      <c r="C1519" s="1" t="s">
        <v>529</v>
      </c>
      <c r="D1519" s="1" t="s">
        <v>80</v>
      </c>
      <c r="E1519" s="1" t="s">
        <v>21</v>
      </c>
      <c r="F1519" s="2">
        <v>11</v>
      </c>
      <c r="G1519" s="5">
        <v>230</v>
      </c>
      <c r="H1519" s="24">
        <f t="shared" si="115"/>
        <v>2530</v>
      </c>
      <c r="I1519" s="7">
        <v>0.15</v>
      </c>
      <c r="J1519" s="5">
        <f t="shared" si="116"/>
        <v>379.5</v>
      </c>
      <c r="K1519" s="5">
        <f t="shared" si="117"/>
        <v>2150.5</v>
      </c>
      <c r="L1519" s="5">
        <v>180</v>
      </c>
      <c r="M1519" s="5">
        <f t="shared" si="118"/>
        <v>170.5</v>
      </c>
      <c r="N1519" s="7">
        <f t="shared" si="119"/>
        <v>7.9283887468030695E-2</v>
      </c>
      <c r="O1519" s="1" t="s">
        <v>22</v>
      </c>
      <c r="P1519" s="1" t="s">
        <v>31</v>
      </c>
      <c r="Q1519" s="1" t="s">
        <v>24</v>
      </c>
      <c r="R1519" s="1" t="s">
        <v>66</v>
      </c>
      <c r="S1519" s="1" t="s">
        <v>376</v>
      </c>
      <c r="T1519" s="15" t="s">
        <v>27</v>
      </c>
    </row>
    <row r="1520" spans="1:20" x14ac:dyDescent="0.3">
      <c r="A1520" s="14">
        <v>1519</v>
      </c>
      <c r="B1520" s="4">
        <v>44389</v>
      </c>
      <c r="C1520" s="1" t="s">
        <v>533</v>
      </c>
      <c r="D1520" s="1" t="s">
        <v>28</v>
      </c>
      <c r="E1520" s="1" t="s">
        <v>43</v>
      </c>
      <c r="F1520" s="2">
        <v>3</v>
      </c>
      <c r="G1520" s="5">
        <v>280</v>
      </c>
      <c r="H1520" s="24">
        <f t="shared" si="115"/>
        <v>840</v>
      </c>
      <c r="I1520" s="7">
        <v>0.15</v>
      </c>
      <c r="J1520" s="5">
        <f t="shared" si="116"/>
        <v>126</v>
      </c>
      <c r="K1520" s="5">
        <f t="shared" si="117"/>
        <v>714</v>
      </c>
      <c r="L1520" s="5">
        <v>220</v>
      </c>
      <c r="M1520" s="5">
        <f t="shared" si="118"/>
        <v>54</v>
      </c>
      <c r="N1520" s="7">
        <f t="shared" si="119"/>
        <v>7.5630252100840331E-2</v>
      </c>
      <c r="O1520" s="1" t="s">
        <v>41</v>
      </c>
      <c r="P1520" s="1" t="s">
        <v>31</v>
      </c>
      <c r="Q1520" s="1" t="s">
        <v>32</v>
      </c>
      <c r="R1520" s="1" t="s">
        <v>38</v>
      </c>
      <c r="S1520" s="1" t="s">
        <v>276</v>
      </c>
      <c r="T1520" s="15" t="s">
        <v>53</v>
      </c>
    </row>
    <row r="1521" spans="1:20" x14ac:dyDescent="0.3">
      <c r="A1521" s="14">
        <v>1520</v>
      </c>
      <c r="B1521" s="4">
        <v>44550</v>
      </c>
      <c r="C1521" s="1" t="s">
        <v>532</v>
      </c>
      <c r="D1521" s="1" t="s">
        <v>20</v>
      </c>
      <c r="E1521" s="1" t="s">
        <v>36</v>
      </c>
      <c r="F1521" s="2">
        <v>7</v>
      </c>
      <c r="G1521" s="5">
        <v>1220</v>
      </c>
      <c r="H1521" s="24">
        <f t="shared" si="115"/>
        <v>8540</v>
      </c>
      <c r="I1521" s="7">
        <v>0.15</v>
      </c>
      <c r="J1521" s="5">
        <f t="shared" si="116"/>
        <v>1281</v>
      </c>
      <c r="K1521" s="5">
        <f t="shared" si="117"/>
        <v>7259</v>
      </c>
      <c r="L1521" s="5">
        <v>900</v>
      </c>
      <c r="M1521" s="5">
        <f t="shared" si="118"/>
        <v>959</v>
      </c>
      <c r="N1521" s="7">
        <f t="shared" si="119"/>
        <v>0.13211186113789777</v>
      </c>
      <c r="O1521" s="1" t="s">
        <v>59</v>
      </c>
      <c r="P1521" s="1" t="s">
        <v>31</v>
      </c>
      <c r="Q1521" s="1" t="s">
        <v>48</v>
      </c>
      <c r="R1521" s="1" t="s">
        <v>33</v>
      </c>
      <c r="S1521" s="1" t="s">
        <v>358</v>
      </c>
      <c r="T1521" s="15" t="s">
        <v>27</v>
      </c>
    </row>
    <row r="1522" spans="1:20" x14ac:dyDescent="0.3">
      <c r="A1522" s="14">
        <v>1521</v>
      </c>
      <c r="B1522" s="4">
        <v>44263</v>
      </c>
      <c r="C1522" s="1" t="s">
        <v>529</v>
      </c>
      <c r="D1522" s="1" t="s">
        <v>28</v>
      </c>
      <c r="E1522" s="1" t="s">
        <v>43</v>
      </c>
      <c r="F1522" s="2">
        <v>9</v>
      </c>
      <c r="G1522" s="5">
        <v>320</v>
      </c>
      <c r="H1522" s="24">
        <f t="shared" si="115"/>
        <v>2880</v>
      </c>
      <c r="I1522" s="7">
        <v>0</v>
      </c>
      <c r="J1522" s="5">
        <f t="shared" si="116"/>
        <v>0</v>
      </c>
      <c r="K1522" s="5">
        <f t="shared" si="117"/>
        <v>2880</v>
      </c>
      <c r="L1522" s="5">
        <v>240</v>
      </c>
      <c r="M1522" s="5">
        <f t="shared" si="118"/>
        <v>720</v>
      </c>
      <c r="N1522" s="7">
        <f t="shared" si="119"/>
        <v>0.25</v>
      </c>
      <c r="O1522" s="1" t="s">
        <v>30</v>
      </c>
      <c r="P1522" s="1" t="s">
        <v>31</v>
      </c>
      <c r="Q1522" s="1" t="s">
        <v>48</v>
      </c>
      <c r="R1522" s="1" t="s">
        <v>25</v>
      </c>
      <c r="S1522" s="1" t="s">
        <v>502</v>
      </c>
      <c r="T1522" s="15" t="s">
        <v>27</v>
      </c>
    </row>
    <row r="1523" spans="1:20" x14ac:dyDescent="0.3">
      <c r="A1523" s="14">
        <v>1522</v>
      </c>
      <c r="B1523" s="4">
        <v>44438</v>
      </c>
      <c r="C1523" s="1" t="s">
        <v>530</v>
      </c>
      <c r="D1523" s="1" t="s">
        <v>28</v>
      </c>
      <c r="E1523" s="1" t="s">
        <v>21</v>
      </c>
      <c r="F1523" s="2">
        <v>5</v>
      </c>
      <c r="G1523" s="5">
        <v>210</v>
      </c>
      <c r="H1523" s="24">
        <f t="shared" si="115"/>
        <v>1050</v>
      </c>
      <c r="I1523" s="7">
        <v>0</v>
      </c>
      <c r="J1523" s="5">
        <f t="shared" si="116"/>
        <v>0</v>
      </c>
      <c r="K1523" s="5">
        <f t="shared" si="117"/>
        <v>1050</v>
      </c>
      <c r="L1523" s="5">
        <v>150</v>
      </c>
      <c r="M1523" s="5">
        <f t="shared" si="118"/>
        <v>300</v>
      </c>
      <c r="N1523" s="7">
        <f t="shared" si="119"/>
        <v>0.2857142857142857</v>
      </c>
      <c r="O1523" s="1" t="s">
        <v>41</v>
      </c>
      <c r="P1523" s="1" t="s">
        <v>31</v>
      </c>
      <c r="Q1523" s="1" t="s">
        <v>24</v>
      </c>
      <c r="R1523" s="1" t="s">
        <v>66</v>
      </c>
      <c r="S1523" s="1" t="s">
        <v>72</v>
      </c>
      <c r="T1523" s="15" t="s">
        <v>53</v>
      </c>
    </row>
    <row r="1524" spans="1:20" x14ac:dyDescent="0.3">
      <c r="A1524" s="14">
        <v>1523</v>
      </c>
      <c r="B1524" s="4">
        <v>44329</v>
      </c>
      <c r="C1524" s="1" t="s">
        <v>530</v>
      </c>
      <c r="D1524" s="1" t="s">
        <v>82</v>
      </c>
      <c r="E1524" s="1" t="s">
        <v>21</v>
      </c>
      <c r="F1524" s="2">
        <v>4</v>
      </c>
      <c r="G1524" s="5">
        <v>200</v>
      </c>
      <c r="H1524" s="24">
        <f t="shared" si="115"/>
        <v>800</v>
      </c>
      <c r="I1524" s="7">
        <v>0.05</v>
      </c>
      <c r="J1524" s="5">
        <f t="shared" si="116"/>
        <v>40</v>
      </c>
      <c r="K1524" s="5">
        <f t="shared" si="117"/>
        <v>760</v>
      </c>
      <c r="L1524" s="5">
        <v>130</v>
      </c>
      <c r="M1524" s="5">
        <f t="shared" si="118"/>
        <v>240</v>
      </c>
      <c r="N1524" s="7">
        <f t="shared" si="119"/>
        <v>0.31578947368421051</v>
      </c>
      <c r="O1524" s="1" t="s">
        <v>22</v>
      </c>
      <c r="P1524" s="1" t="s">
        <v>31</v>
      </c>
      <c r="Q1524" s="1" t="s">
        <v>24</v>
      </c>
      <c r="R1524" s="1" t="s">
        <v>25</v>
      </c>
      <c r="S1524" s="1" t="s">
        <v>78</v>
      </c>
      <c r="T1524" s="15" t="s">
        <v>61</v>
      </c>
    </row>
    <row r="1525" spans="1:20" x14ac:dyDescent="0.3">
      <c r="A1525" s="14">
        <v>1524</v>
      </c>
      <c r="B1525" s="4">
        <v>44558</v>
      </c>
      <c r="C1525" s="1" t="s">
        <v>533</v>
      </c>
      <c r="D1525" s="1" t="s">
        <v>20</v>
      </c>
      <c r="E1525" s="1" t="s">
        <v>29</v>
      </c>
      <c r="F1525" s="2">
        <v>5</v>
      </c>
      <c r="G1525" s="5">
        <v>2210</v>
      </c>
      <c r="H1525" s="24">
        <f t="shared" si="115"/>
        <v>11050</v>
      </c>
      <c r="I1525" s="7">
        <v>0.02</v>
      </c>
      <c r="J1525" s="5">
        <f t="shared" si="116"/>
        <v>221</v>
      </c>
      <c r="K1525" s="5">
        <f t="shared" si="117"/>
        <v>10829</v>
      </c>
      <c r="L1525" s="5">
        <v>1610</v>
      </c>
      <c r="M1525" s="5">
        <f t="shared" si="118"/>
        <v>2779</v>
      </c>
      <c r="N1525" s="7">
        <f t="shared" si="119"/>
        <v>0.25662572721396248</v>
      </c>
      <c r="O1525" s="1" t="s">
        <v>22</v>
      </c>
      <c r="P1525" s="1" t="s">
        <v>31</v>
      </c>
      <c r="Q1525" s="1" t="s">
        <v>32</v>
      </c>
      <c r="R1525" s="1" t="s">
        <v>63</v>
      </c>
      <c r="S1525" s="1" t="s">
        <v>344</v>
      </c>
      <c r="T1525" s="15" t="s">
        <v>53</v>
      </c>
    </row>
    <row r="1526" spans="1:20" x14ac:dyDescent="0.3">
      <c r="A1526" s="14">
        <v>1525</v>
      </c>
      <c r="B1526" s="4">
        <v>44278</v>
      </c>
      <c r="C1526" s="1" t="s">
        <v>530</v>
      </c>
      <c r="D1526" s="1" t="s">
        <v>20</v>
      </c>
      <c r="E1526" s="1" t="s">
        <v>40</v>
      </c>
      <c r="F1526" s="2">
        <v>11</v>
      </c>
      <c r="G1526" s="5">
        <v>1590</v>
      </c>
      <c r="H1526" s="24">
        <f t="shared" si="115"/>
        <v>17490</v>
      </c>
      <c r="I1526" s="7">
        <v>0.02</v>
      </c>
      <c r="J1526" s="5">
        <f t="shared" si="116"/>
        <v>349.8</v>
      </c>
      <c r="K1526" s="5">
        <f t="shared" si="117"/>
        <v>17140.2</v>
      </c>
      <c r="L1526" s="5">
        <v>1110</v>
      </c>
      <c r="M1526" s="5">
        <f t="shared" si="118"/>
        <v>4930.2000000000007</v>
      </c>
      <c r="N1526" s="7">
        <f t="shared" si="119"/>
        <v>0.28763958413554103</v>
      </c>
      <c r="O1526" s="1" t="s">
        <v>54</v>
      </c>
      <c r="P1526" s="1" t="s">
        <v>31</v>
      </c>
      <c r="Q1526" s="1" t="s">
        <v>37</v>
      </c>
      <c r="R1526" s="1" t="s">
        <v>50</v>
      </c>
      <c r="S1526" s="1" t="s">
        <v>69</v>
      </c>
      <c r="T1526" s="15" t="s">
        <v>53</v>
      </c>
    </row>
    <row r="1527" spans="1:20" x14ac:dyDescent="0.3">
      <c r="A1527" s="14">
        <v>1526</v>
      </c>
      <c r="B1527" s="4">
        <v>44237</v>
      </c>
      <c r="C1527" s="1" t="s">
        <v>532</v>
      </c>
      <c r="D1527" s="1" t="s">
        <v>28</v>
      </c>
      <c r="E1527" s="1" t="s">
        <v>43</v>
      </c>
      <c r="F1527" s="2">
        <v>7</v>
      </c>
      <c r="G1527" s="5">
        <v>310</v>
      </c>
      <c r="H1527" s="24">
        <f t="shared" si="115"/>
        <v>2170</v>
      </c>
      <c r="I1527" s="7">
        <v>0</v>
      </c>
      <c r="J1527" s="5">
        <f t="shared" si="116"/>
        <v>0</v>
      </c>
      <c r="K1527" s="5">
        <f t="shared" si="117"/>
        <v>2170</v>
      </c>
      <c r="L1527" s="5">
        <v>250</v>
      </c>
      <c r="M1527" s="5">
        <f t="shared" si="118"/>
        <v>420</v>
      </c>
      <c r="N1527" s="7">
        <f t="shared" si="119"/>
        <v>0.19354838709677419</v>
      </c>
      <c r="O1527" s="1" t="s">
        <v>54</v>
      </c>
      <c r="P1527" s="1" t="s">
        <v>31</v>
      </c>
      <c r="Q1527" s="1" t="s">
        <v>37</v>
      </c>
      <c r="R1527" s="1" t="s">
        <v>49</v>
      </c>
      <c r="S1527" s="1" t="s">
        <v>413</v>
      </c>
      <c r="T1527" s="15" t="s">
        <v>53</v>
      </c>
    </row>
    <row r="1528" spans="1:20" x14ac:dyDescent="0.3">
      <c r="A1528" s="14">
        <v>1527</v>
      </c>
      <c r="B1528" s="4">
        <v>44443</v>
      </c>
      <c r="C1528" s="1" t="s">
        <v>534</v>
      </c>
      <c r="D1528" s="1" t="s">
        <v>82</v>
      </c>
      <c r="E1528" s="1" t="s">
        <v>21</v>
      </c>
      <c r="F1528" s="2">
        <v>5</v>
      </c>
      <c r="G1528" s="5">
        <v>220</v>
      </c>
      <c r="H1528" s="24">
        <f t="shared" si="115"/>
        <v>1100</v>
      </c>
      <c r="I1528" s="7">
        <v>0.05</v>
      </c>
      <c r="J1528" s="5">
        <f t="shared" si="116"/>
        <v>55</v>
      </c>
      <c r="K1528" s="5">
        <f t="shared" si="117"/>
        <v>1045</v>
      </c>
      <c r="L1528" s="5">
        <v>150</v>
      </c>
      <c r="M1528" s="5">
        <f t="shared" si="118"/>
        <v>295</v>
      </c>
      <c r="N1528" s="7">
        <f t="shared" si="119"/>
        <v>0.28229665071770332</v>
      </c>
      <c r="O1528" s="1" t="s">
        <v>54</v>
      </c>
      <c r="P1528" s="1" t="s">
        <v>31</v>
      </c>
      <c r="Q1528" s="1" t="s">
        <v>32</v>
      </c>
      <c r="R1528" s="1" t="s">
        <v>49</v>
      </c>
      <c r="S1528" s="1" t="s">
        <v>300</v>
      </c>
      <c r="T1528" s="15" t="s">
        <v>53</v>
      </c>
    </row>
    <row r="1529" spans="1:20" x14ac:dyDescent="0.3">
      <c r="A1529" s="14">
        <v>1528</v>
      </c>
      <c r="B1529" s="4">
        <v>44501</v>
      </c>
      <c r="C1529" s="1" t="s">
        <v>530</v>
      </c>
      <c r="D1529" s="1" t="s">
        <v>82</v>
      </c>
      <c r="E1529" s="1" t="s">
        <v>40</v>
      </c>
      <c r="F1529" s="2">
        <v>9</v>
      </c>
      <c r="G1529" s="5">
        <v>1620</v>
      </c>
      <c r="H1529" s="24">
        <f t="shared" si="115"/>
        <v>14580</v>
      </c>
      <c r="I1529" s="7">
        <v>0</v>
      </c>
      <c r="J1529" s="5">
        <f t="shared" si="116"/>
        <v>0</v>
      </c>
      <c r="K1529" s="5">
        <f t="shared" si="117"/>
        <v>14580</v>
      </c>
      <c r="L1529" s="5">
        <v>1030</v>
      </c>
      <c r="M1529" s="5">
        <f t="shared" si="118"/>
        <v>5310</v>
      </c>
      <c r="N1529" s="7">
        <f t="shared" si="119"/>
        <v>0.36419753086419754</v>
      </c>
      <c r="O1529" s="1" t="s">
        <v>22</v>
      </c>
      <c r="P1529" s="1" t="s">
        <v>31</v>
      </c>
      <c r="Q1529" s="1" t="s">
        <v>32</v>
      </c>
      <c r="R1529" s="1" t="s">
        <v>38</v>
      </c>
      <c r="S1529" s="1" t="s">
        <v>131</v>
      </c>
      <c r="T1529" s="15" t="s">
        <v>53</v>
      </c>
    </row>
    <row r="1530" spans="1:20" x14ac:dyDescent="0.3">
      <c r="A1530" s="14">
        <v>1529</v>
      </c>
      <c r="B1530" s="4">
        <v>44217</v>
      </c>
      <c r="C1530" s="1" t="s">
        <v>530</v>
      </c>
      <c r="D1530" s="1" t="s">
        <v>28</v>
      </c>
      <c r="E1530" s="1" t="s">
        <v>43</v>
      </c>
      <c r="F1530" s="2">
        <v>7</v>
      </c>
      <c r="G1530" s="5">
        <v>280</v>
      </c>
      <c r="H1530" s="24">
        <f t="shared" si="115"/>
        <v>1960</v>
      </c>
      <c r="I1530" s="7">
        <v>0.02</v>
      </c>
      <c r="J1530" s="5">
        <f t="shared" si="116"/>
        <v>39.200000000000003</v>
      </c>
      <c r="K1530" s="5">
        <f t="shared" si="117"/>
        <v>1920.8</v>
      </c>
      <c r="L1530" s="5">
        <v>220</v>
      </c>
      <c r="M1530" s="5">
        <f t="shared" si="118"/>
        <v>380.79999999999995</v>
      </c>
      <c r="N1530" s="7">
        <f t="shared" si="119"/>
        <v>0.19825072886297374</v>
      </c>
      <c r="O1530" s="1" t="s">
        <v>22</v>
      </c>
      <c r="P1530" s="1" t="s">
        <v>31</v>
      </c>
      <c r="Q1530" s="1" t="s">
        <v>48</v>
      </c>
      <c r="R1530" s="1" t="s">
        <v>88</v>
      </c>
      <c r="S1530" s="1" t="s">
        <v>481</v>
      </c>
      <c r="T1530" s="15" t="s">
        <v>35</v>
      </c>
    </row>
    <row r="1531" spans="1:20" x14ac:dyDescent="0.3">
      <c r="A1531" s="14">
        <v>1530</v>
      </c>
      <c r="B1531" s="4">
        <v>44425</v>
      </c>
      <c r="C1531" s="1" t="s">
        <v>531</v>
      </c>
      <c r="D1531" s="1" t="s">
        <v>20</v>
      </c>
      <c r="E1531" s="1" t="s">
        <v>21</v>
      </c>
      <c r="F1531" s="2">
        <v>7</v>
      </c>
      <c r="G1531" s="5">
        <v>200</v>
      </c>
      <c r="H1531" s="24">
        <f t="shared" si="115"/>
        <v>1400</v>
      </c>
      <c r="I1531" s="7">
        <v>0</v>
      </c>
      <c r="J1531" s="5">
        <f t="shared" si="116"/>
        <v>0</v>
      </c>
      <c r="K1531" s="5">
        <f t="shared" si="117"/>
        <v>1400</v>
      </c>
      <c r="L1531" s="5">
        <v>120</v>
      </c>
      <c r="M1531" s="5">
        <f t="shared" si="118"/>
        <v>560</v>
      </c>
      <c r="N1531" s="7">
        <f t="shared" si="119"/>
        <v>0.4</v>
      </c>
      <c r="O1531" s="1" t="s">
        <v>41</v>
      </c>
      <c r="P1531" s="1" t="s">
        <v>31</v>
      </c>
      <c r="Q1531" s="1" t="s">
        <v>32</v>
      </c>
      <c r="R1531" s="1" t="s">
        <v>50</v>
      </c>
      <c r="S1531" s="1" t="s">
        <v>503</v>
      </c>
      <c r="T1531" s="15" t="s">
        <v>27</v>
      </c>
    </row>
    <row r="1532" spans="1:20" x14ac:dyDescent="0.3">
      <c r="A1532" s="14">
        <v>1531</v>
      </c>
      <c r="B1532" s="4">
        <v>44338</v>
      </c>
      <c r="C1532" s="1" t="s">
        <v>530</v>
      </c>
      <c r="D1532" s="1" t="s">
        <v>20</v>
      </c>
      <c r="E1532" s="1" t="s">
        <v>36</v>
      </c>
      <c r="F1532" s="2">
        <v>10</v>
      </c>
      <c r="G1532" s="5">
        <v>1110</v>
      </c>
      <c r="H1532" s="24">
        <f t="shared" si="115"/>
        <v>11100</v>
      </c>
      <c r="I1532" s="7">
        <v>0.02</v>
      </c>
      <c r="J1532" s="5">
        <f t="shared" si="116"/>
        <v>222</v>
      </c>
      <c r="K1532" s="5">
        <f t="shared" si="117"/>
        <v>10878</v>
      </c>
      <c r="L1532" s="5">
        <v>840</v>
      </c>
      <c r="M1532" s="5">
        <f t="shared" si="118"/>
        <v>2478</v>
      </c>
      <c r="N1532" s="7">
        <f t="shared" si="119"/>
        <v>0.22779922779922779</v>
      </c>
      <c r="O1532" s="1" t="s">
        <v>30</v>
      </c>
      <c r="P1532" s="1" t="s">
        <v>31</v>
      </c>
      <c r="Q1532" s="1" t="s">
        <v>48</v>
      </c>
      <c r="R1532" s="1" t="s">
        <v>46</v>
      </c>
      <c r="S1532" s="1" t="s">
        <v>317</v>
      </c>
      <c r="T1532" s="15" t="s">
        <v>61</v>
      </c>
    </row>
    <row r="1533" spans="1:20" x14ac:dyDescent="0.3">
      <c r="A1533" s="14">
        <v>1532</v>
      </c>
      <c r="B1533" s="4">
        <v>44545</v>
      </c>
      <c r="C1533" s="1" t="s">
        <v>533</v>
      </c>
      <c r="D1533" s="1" t="s">
        <v>80</v>
      </c>
      <c r="E1533" s="1" t="s">
        <v>36</v>
      </c>
      <c r="F1533" s="2">
        <v>12</v>
      </c>
      <c r="G1533" s="5">
        <v>1360</v>
      </c>
      <c r="H1533" s="24">
        <f t="shared" si="115"/>
        <v>16320</v>
      </c>
      <c r="I1533" s="7">
        <v>0.15</v>
      </c>
      <c r="J1533" s="5">
        <f t="shared" si="116"/>
        <v>2448</v>
      </c>
      <c r="K1533" s="5">
        <f t="shared" si="117"/>
        <v>13872</v>
      </c>
      <c r="L1533" s="5">
        <v>820</v>
      </c>
      <c r="M1533" s="5">
        <f t="shared" si="118"/>
        <v>4032</v>
      </c>
      <c r="N1533" s="7">
        <f t="shared" si="119"/>
        <v>0.29065743944636679</v>
      </c>
      <c r="O1533" s="1" t="s">
        <v>59</v>
      </c>
      <c r="P1533" s="1" t="s">
        <v>31</v>
      </c>
      <c r="Q1533" s="1" t="s">
        <v>32</v>
      </c>
      <c r="R1533" s="1" t="s">
        <v>63</v>
      </c>
      <c r="S1533" s="1" t="s">
        <v>223</v>
      </c>
      <c r="T1533" s="15" t="s">
        <v>53</v>
      </c>
    </row>
    <row r="1534" spans="1:20" x14ac:dyDescent="0.3">
      <c r="A1534" s="14">
        <v>1533</v>
      </c>
      <c r="B1534" s="4">
        <v>44492</v>
      </c>
      <c r="C1534" s="1" t="s">
        <v>529</v>
      </c>
      <c r="D1534" s="1" t="s">
        <v>20</v>
      </c>
      <c r="E1534" s="1" t="s">
        <v>21</v>
      </c>
      <c r="F1534" s="2">
        <v>9</v>
      </c>
      <c r="G1534" s="5">
        <v>240</v>
      </c>
      <c r="H1534" s="24">
        <f t="shared" si="115"/>
        <v>2160</v>
      </c>
      <c r="I1534" s="7">
        <v>0</v>
      </c>
      <c r="J1534" s="5">
        <f t="shared" si="116"/>
        <v>0</v>
      </c>
      <c r="K1534" s="5">
        <f t="shared" si="117"/>
        <v>2160</v>
      </c>
      <c r="L1534" s="5">
        <v>180</v>
      </c>
      <c r="M1534" s="5">
        <f t="shared" si="118"/>
        <v>540</v>
      </c>
      <c r="N1534" s="7">
        <f t="shared" si="119"/>
        <v>0.25</v>
      </c>
      <c r="O1534" s="1" t="s">
        <v>30</v>
      </c>
      <c r="P1534" s="1" t="s">
        <v>31</v>
      </c>
      <c r="Q1534" s="1" t="s">
        <v>48</v>
      </c>
      <c r="R1534" s="1" t="s">
        <v>66</v>
      </c>
      <c r="S1534" s="1" t="s">
        <v>424</v>
      </c>
      <c r="T1534" s="15" t="s">
        <v>53</v>
      </c>
    </row>
    <row r="1535" spans="1:20" x14ac:dyDescent="0.3">
      <c r="A1535" s="14">
        <v>1534</v>
      </c>
      <c r="B1535" s="4">
        <v>44393</v>
      </c>
      <c r="C1535" s="1" t="s">
        <v>530</v>
      </c>
      <c r="D1535" s="1" t="s">
        <v>20</v>
      </c>
      <c r="E1535" s="1" t="s">
        <v>45</v>
      </c>
      <c r="F1535" s="2">
        <v>10</v>
      </c>
      <c r="G1535" s="5">
        <v>190</v>
      </c>
      <c r="H1535" s="24">
        <f t="shared" si="115"/>
        <v>1900</v>
      </c>
      <c r="I1535" s="7">
        <v>0</v>
      </c>
      <c r="J1535" s="5">
        <f t="shared" si="116"/>
        <v>0</v>
      </c>
      <c r="K1535" s="5">
        <f t="shared" si="117"/>
        <v>1900</v>
      </c>
      <c r="L1535" s="5">
        <v>150</v>
      </c>
      <c r="M1535" s="5">
        <f t="shared" si="118"/>
        <v>400</v>
      </c>
      <c r="N1535" s="7">
        <f t="shared" si="119"/>
        <v>0.21052631578947367</v>
      </c>
      <c r="O1535" s="1" t="s">
        <v>22</v>
      </c>
      <c r="P1535" s="1" t="s">
        <v>31</v>
      </c>
      <c r="Q1535" s="1" t="s">
        <v>48</v>
      </c>
      <c r="R1535" s="1" t="s">
        <v>49</v>
      </c>
      <c r="S1535" s="1" t="s">
        <v>380</v>
      </c>
      <c r="T1535" s="15" t="s">
        <v>61</v>
      </c>
    </row>
    <row r="1536" spans="1:20" x14ac:dyDescent="0.3">
      <c r="A1536" s="14">
        <v>1535</v>
      </c>
      <c r="B1536" s="4">
        <v>44319</v>
      </c>
      <c r="C1536" s="1" t="s">
        <v>532</v>
      </c>
      <c r="D1536" s="1" t="s">
        <v>28</v>
      </c>
      <c r="E1536" s="1" t="s">
        <v>43</v>
      </c>
      <c r="F1536" s="2">
        <v>8</v>
      </c>
      <c r="G1536" s="5">
        <v>290</v>
      </c>
      <c r="H1536" s="24">
        <f t="shared" si="115"/>
        <v>2320</v>
      </c>
      <c r="I1536" s="7">
        <v>0.1</v>
      </c>
      <c r="J1536" s="5">
        <f t="shared" si="116"/>
        <v>232</v>
      </c>
      <c r="K1536" s="5">
        <f t="shared" si="117"/>
        <v>2088</v>
      </c>
      <c r="L1536" s="5">
        <v>190</v>
      </c>
      <c r="M1536" s="5">
        <f t="shared" si="118"/>
        <v>568</v>
      </c>
      <c r="N1536" s="7">
        <f t="shared" si="119"/>
        <v>0.27203065134099619</v>
      </c>
      <c r="O1536" s="1" t="s">
        <v>30</v>
      </c>
      <c r="P1536" s="1" t="s">
        <v>31</v>
      </c>
      <c r="Q1536" s="1" t="s">
        <v>24</v>
      </c>
      <c r="R1536" s="1" t="s">
        <v>63</v>
      </c>
      <c r="S1536" s="1" t="s">
        <v>483</v>
      </c>
      <c r="T1536" s="15" t="s">
        <v>61</v>
      </c>
    </row>
    <row r="1537" spans="1:20" x14ac:dyDescent="0.3">
      <c r="A1537" s="14">
        <v>1536</v>
      </c>
      <c r="B1537" s="4">
        <v>44224</v>
      </c>
      <c r="C1537" s="1" t="s">
        <v>531</v>
      </c>
      <c r="D1537" s="1" t="s">
        <v>82</v>
      </c>
      <c r="E1537" s="1" t="s">
        <v>21</v>
      </c>
      <c r="F1537" s="2">
        <v>8</v>
      </c>
      <c r="G1537" s="5">
        <v>200</v>
      </c>
      <c r="H1537" s="24">
        <f t="shared" si="115"/>
        <v>1600</v>
      </c>
      <c r="I1537" s="7">
        <v>0.05</v>
      </c>
      <c r="J1537" s="5">
        <f t="shared" si="116"/>
        <v>80</v>
      </c>
      <c r="K1537" s="5">
        <f t="shared" si="117"/>
        <v>1520</v>
      </c>
      <c r="L1537" s="5">
        <v>130</v>
      </c>
      <c r="M1537" s="5">
        <f t="shared" si="118"/>
        <v>480</v>
      </c>
      <c r="N1537" s="7">
        <f t="shared" si="119"/>
        <v>0.31578947368421051</v>
      </c>
      <c r="O1537" s="1" t="s">
        <v>22</v>
      </c>
      <c r="P1537" s="1" t="s">
        <v>31</v>
      </c>
      <c r="Q1537" s="1" t="s">
        <v>32</v>
      </c>
      <c r="R1537" s="1" t="s">
        <v>88</v>
      </c>
      <c r="S1537" s="1" t="s">
        <v>526</v>
      </c>
      <c r="T1537" s="15" t="s">
        <v>27</v>
      </c>
    </row>
    <row r="1538" spans="1:20" x14ac:dyDescent="0.3">
      <c r="A1538" s="14">
        <v>1537</v>
      </c>
      <c r="B1538" s="4">
        <v>44211</v>
      </c>
      <c r="C1538" s="1" t="s">
        <v>530</v>
      </c>
      <c r="D1538" s="1" t="s">
        <v>20</v>
      </c>
      <c r="E1538" s="1" t="s">
        <v>40</v>
      </c>
      <c r="F1538" s="2">
        <v>11</v>
      </c>
      <c r="G1538" s="5">
        <v>1470</v>
      </c>
      <c r="H1538" s="24">
        <f t="shared" ref="H1538:H1567" si="120">F1538*G1538</f>
        <v>16170</v>
      </c>
      <c r="I1538" s="7">
        <v>0</v>
      </c>
      <c r="J1538" s="5">
        <f t="shared" ref="J1538:J1567" si="121">H1538*I1538</f>
        <v>0</v>
      </c>
      <c r="K1538" s="5">
        <f t="shared" ref="K1538:K1567" si="122">H1538-J1538</f>
        <v>16170</v>
      </c>
      <c r="L1538" s="5">
        <v>1020</v>
      </c>
      <c r="M1538" s="5">
        <f t="shared" ref="M1538:M1567" si="123">K1538-(F1538*L1538)</f>
        <v>4950</v>
      </c>
      <c r="N1538" s="7">
        <f t="shared" ref="N1538:N1567" si="124">IFERROR(M1538/K1538,0)</f>
        <v>0.30612244897959184</v>
      </c>
      <c r="O1538" s="1" t="s">
        <v>41</v>
      </c>
      <c r="P1538" s="1" t="s">
        <v>31</v>
      </c>
      <c r="Q1538" s="1" t="s">
        <v>24</v>
      </c>
      <c r="R1538" s="1" t="s">
        <v>33</v>
      </c>
      <c r="S1538" s="1" t="s">
        <v>521</v>
      </c>
      <c r="T1538" s="15" t="s">
        <v>53</v>
      </c>
    </row>
    <row r="1539" spans="1:20" x14ac:dyDescent="0.3">
      <c r="A1539" s="14">
        <v>1538</v>
      </c>
      <c r="B1539" s="4">
        <v>44203</v>
      </c>
      <c r="C1539" s="1" t="s">
        <v>530</v>
      </c>
      <c r="D1539" s="1" t="s">
        <v>20</v>
      </c>
      <c r="E1539" s="1" t="s">
        <v>21</v>
      </c>
      <c r="F1539" s="2">
        <v>11</v>
      </c>
      <c r="G1539" s="5">
        <v>220</v>
      </c>
      <c r="H1539" s="24">
        <f t="shared" si="120"/>
        <v>2420</v>
      </c>
      <c r="I1539" s="7">
        <v>0.05</v>
      </c>
      <c r="J1539" s="5">
        <f t="shared" si="121"/>
        <v>121</v>
      </c>
      <c r="K1539" s="5">
        <f t="shared" si="122"/>
        <v>2299</v>
      </c>
      <c r="L1539" s="5">
        <v>140</v>
      </c>
      <c r="M1539" s="5">
        <f t="shared" si="123"/>
        <v>759</v>
      </c>
      <c r="N1539" s="7">
        <f t="shared" si="124"/>
        <v>0.33014354066985646</v>
      </c>
      <c r="O1539" s="1" t="s">
        <v>59</v>
      </c>
      <c r="P1539" s="1" t="s">
        <v>23</v>
      </c>
      <c r="Q1539" s="1" t="s">
        <v>37</v>
      </c>
      <c r="R1539" s="1" t="s">
        <v>56</v>
      </c>
      <c r="S1539" s="1" t="s">
        <v>466</v>
      </c>
      <c r="T1539" s="15" t="s">
        <v>27</v>
      </c>
    </row>
    <row r="1540" spans="1:20" x14ac:dyDescent="0.3">
      <c r="A1540" s="14">
        <v>1539</v>
      </c>
      <c r="B1540" s="4">
        <v>44369</v>
      </c>
      <c r="C1540" s="1" t="s">
        <v>530</v>
      </c>
      <c r="D1540" s="1" t="s">
        <v>20</v>
      </c>
      <c r="E1540" s="1" t="s">
        <v>21</v>
      </c>
      <c r="F1540" s="2">
        <v>5</v>
      </c>
      <c r="G1540" s="5">
        <v>230</v>
      </c>
      <c r="H1540" s="24">
        <f t="shared" si="120"/>
        <v>1150</v>
      </c>
      <c r="I1540" s="7">
        <v>0</v>
      </c>
      <c r="J1540" s="5">
        <f t="shared" si="121"/>
        <v>0</v>
      </c>
      <c r="K1540" s="5">
        <f t="shared" si="122"/>
        <v>1150</v>
      </c>
      <c r="L1540" s="5">
        <v>140</v>
      </c>
      <c r="M1540" s="5">
        <f t="shared" si="123"/>
        <v>450</v>
      </c>
      <c r="N1540" s="7">
        <f t="shared" si="124"/>
        <v>0.39130434782608697</v>
      </c>
      <c r="O1540" s="1" t="s">
        <v>59</v>
      </c>
      <c r="P1540" s="1" t="s">
        <v>31</v>
      </c>
      <c r="Q1540" s="1" t="s">
        <v>32</v>
      </c>
      <c r="R1540" s="1" t="s">
        <v>63</v>
      </c>
      <c r="S1540" s="1" t="s">
        <v>277</v>
      </c>
      <c r="T1540" s="15" t="s">
        <v>27</v>
      </c>
    </row>
    <row r="1541" spans="1:20" x14ac:dyDescent="0.3">
      <c r="A1541" s="14">
        <v>1540</v>
      </c>
      <c r="B1541" s="4">
        <v>44390</v>
      </c>
      <c r="C1541" s="1" t="s">
        <v>529</v>
      </c>
      <c r="D1541" s="1" t="s">
        <v>20</v>
      </c>
      <c r="E1541" s="1" t="s">
        <v>21</v>
      </c>
      <c r="F1541" s="2">
        <v>12</v>
      </c>
      <c r="G1541" s="5">
        <v>230</v>
      </c>
      <c r="H1541" s="24">
        <f t="shared" si="120"/>
        <v>2760</v>
      </c>
      <c r="I1541" s="7">
        <v>0.05</v>
      </c>
      <c r="J1541" s="5">
        <f t="shared" si="121"/>
        <v>138</v>
      </c>
      <c r="K1541" s="5">
        <f t="shared" si="122"/>
        <v>2622</v>
      </c>
      <c r="L1541" s="5">
        <v>190</v>
      </c>
      <c r="M1541" s="5">
        <f t="shared" si="123"/>
        <v>342</v>
      </c>
      <c r="N1541" s="7">
        <f t="shared" si="124"/>
        <v>0.13043478260869565</v>
      </c>
      <c r="O1541" s="1" t="s">
        <v>30</v>
      </c>
      <c r="P1541" s="1" t="s">
        <v>31</v>
      </c>
      <c r="Q1541" s="1" t="s">
        <v>37</v>
      </c>
      <c r="R1541" s="1" t="s">
        <v>88</v>
      </c>
      <c r="S1541" s="1" t="s">
        <v>431</v>
      </c>
      <c r="T1541" s="15" t="s">
        <v>53</v>
      </c>
    </row>
    <row r="1542" spans="1:20" x14ac:dyDescent="0.3">
      <c r="A1542" s="14">
        <v>1541</v>
      </c>
      <c r="B1542" s="4">
        <v>44545</v>
      </c>
      <c r="C1542" s="1" t="s">
        <v>529</v>
      </c>
      <c r="D1542" s="1" t="s">
        <v>28</v>
      </c>
      <c r="E1542" s="1" t="s">
        <v>21</v>
      </c>
      <c r="F1542" s="2">
        <v>10</v>
      </c>
      <c r="G1542" s="5">
        <v>200</v>
      </c>
      <c r="H1542" s="24">
        <f t="shared" si="120"/>
        <v>2000</v>
      </c>
      <c r="I1542" s="7">
        <v>0.15</v>
      </c>
      <c r="J1542" s="5">
        <f t="shared" si="121"/>
        <v>300</v>
      </c>
      <c r="K1542" s="5">
        <f t="shared" si="122"/>
        <v>1700</v>
      </c>
      <c r="L1542" s="5">
        <v>130</v>
      </c>
      <c r="M1542" s="5">
        <f t="shared" si="123"/>
        <v>400</v>
      </c>
      <c r="N1542" s="7">
        <f t="shared" si="124"/>
        <v>0.23529411764705882</v>
      </c>
      <c r="O1542" s="1" t="s">
        <v>41</v>
      </c>
      <c r="P1542" s="1" t="s">
        <v>31</v>
      </c>
      <c r="Q1542" s="1" t="s">
        <v>24</v>
      </c>
      <c r="R1542" s="1" t="s">
        <v>33</v>
      </c>
      <c r="S1542" s="1" t="s">
        <v>527</v>
      </c>
      <c r="T1542" s="15" t="s">
        <v>35</v>
      </c>
    </row>
    <row r="1543" spans="1:20" x14ac:dyDescent="0.3">
      <c r="A1543" s="14">
        <v>1542</v>
      </c>
      <c r="B1543" s="4">
        <v>44284</v>
      </c>
      <c r="C1543" s="1" t="s">
        <v>529</v>
      </c>
      <c r="D1543" s="1" t="s">
        <v>82</v>
      </c>
      <c r="E1543" s="1" t="s">
        <v>36</v>
      </c>
      <c r="F1543" s="2">
        <v>11</v>
      </c>
      <c r="G1543" s="5">
        <v>2270</v>
      </c>
      <c r="H1543" s="24">
        <f t="shared" si="120"/>
        <v>24970</v>
      </c>
      <c r="I1543" s="7">
        <v>0</v>
      </c>
      <c r="J1543" s="5">
        <f t="shared" si="121"/>
        <v>0</v>
      </c>
      <c r="K1543" s="5">
        <f t="shared" si="122"/>
        <v>24970</v>
      </c>
      <c r="L1543" s="5">
        <v>1420</v>
      </c>
      <c r="M1543" s="5">
        <f t="shared" si="123"/>
        <v>9350</v>
      </c>
      <c r="N1543" s="7">
        <f t="shared" si="124"/>
        <v>0.37444933920704848</v>
      </c>
      <c r="O1543" s="1" t="s">
        <v>54</v>
      </c>
      <c r="P1543" s="1" t="s">
        <v>76</v>
      </c>
      <c r="Q1543" s="1" t="s">
        <v>32</v>
      </c>
      <c r="R1543" s="1" t="s">
        <v>56</v>
      </c>
      <c r="S1543" s="1" t="s">
        <v>480</v>
      </c>
      <c r="T1543" s="15" t="s">
        <v>27</v>
      </c>
    </row>
    <row r="1544" spans="1:20" x14ac:dyDescent="0.3">
      <c r="A1544" s="14">
        <v>1543</v>
      </c>
      <c r="B1544" s="4">
        <v>44469</v>
      </c>
      <c r="C1544" s="1" t="s">
        <v>532</v>
      </c>
      <c r="D1544" s="1" t="s">
        <v>20</v>
      </c>
      <c r="E1544" s="1" t="s">
        <v>45</v>
      </c>
      <c r="F1544" s="2">
        <v>4</v>
      </c>
      <c r="G1544" s="5">
        <v>190</v>
      </c>
      <c r="H1544" s="24">
        <f t="shared" si="120"/>
        <v>760</v>
      </c>
      <c r="I1544" s="7">
        <v>0</v>
      </c>
      <c r="J1544" s="5">
        <f t="shared" si="121"/>
        <v>0</v>
      </c>
      <c r="K1544" s="5">
        <f t="shared" si="122"/>
        <v>760</v>
      </c>
      <c r="L1544" s="5">
        <v>150</v>
      </c>
      <c r="M1544" s="5">
        <f t="shared" si="123"/>
        <v>160</v>
      </c>
      <c r="N1544" s="7">
        <f t="shared" si="124"/>
        <v>0.21052631578947367</v>
      </c>
      <c r="O1544" s="1" t="s">
        <v>54</v>
      </c>
      <c r="P1544" s="1" t="s">
        <v>31</v>
      </c>
      <c r="Q1544" s="1" t="s">
        <v>32</v>
      </c>
      <c r="R1544" s="1" t="s">
        <v>63</v>
      </c>
      <c r="S1544" s="1" t="s">
        <v>229</v>
      </c>
      <c r="T1544" s="15" t="s">
        <v>53</v>
      </c>
    </row>
    <row r="1545" spans="1:20" x14ac:dyDescent="0.3">
      <c r="A1545" s="14">
        <v>1544</v>
      </c>
      <c r="B1545" s="4">
        <v>44459</v>
      </c>
      <c r="C1545" s="1" t="s">
        <v>532</v>
      </c>
      <c r="D1545" s="1" t="s">
        <v>80</v>
      </c>
      <c r="E1545" s="1" t="s">
        <v>21</v>
      </c>
      <c r="F1545" s="2">
        <v>9</v>
      </c>
      <c r="G1545" s="5">
        <v>230</v>
      </c>
      <c r="H1545" s="24">
        <f t="shared" si="120"/>
        <v>2070</v>
      </c>
      <c r="I1545" s="7">
        <v>0.1</v>
      </c>
      <c r="J1545" s="5">
        <f t="shared" si="121"/>
        <v>207</v>
      </c>
      <c r="K1545" s="5">
        <f t="shared" si="122"/>
        <v>1863</v>
      </c>
      <c r="L1545" s="5">
        <v>170</v>
      </c>
      <c r="M1545" s="5">
        <f t="shared" si="123"/>
        <v>333</v>
      </c>
      <c r="N1545" s="7">
        <f t="shared" si="124"/>
        <v>0.17874396135265699</v>
      </c>
      <c r="O1545" s="1" t="s">
        <v>22</v>
      </c>
      <c r="P1545" s="1" t="s">
        <v>31</v>
      </c>
      <c r="Q1545" s="1" t="s">
        <v>24</v>
      </c>
      <c r="R1545" s="1" t="s">
        <v>33</v>
      </c>
      <c r="S1545" s="1" t="s">
        <v>528</v>
      </c>
      <c r="T1545" s="15" t="s">
        <v>27</v>
      </c>
    </row>
    <row r="1546" spans="1:20" x14ac:dyDescent="0.3">
      <c r="A1546" s="14">
        <v>1545</v>
      </c>
      <c r="B1546" s="4">
        <v>44517</v>
      </c>
      <c r="C1546" s="1" t="s">
        <v>531</v>
      </c>
      <c r="D1546" s="1" t="s">
        <v>20</v>
      </c>
      <c r="E1546" s="1" t="s">
        <v>21</v>
      </c>
      <c r="F1546" s="2">
        <v>2</v>
      </c>
      <c r="G1546" s="5">
        <v>190</v>
      </c>
      <c r="H1546" s="24">
        <f t="shared" si="120"/>
        <v>380</v>
      </c>
      <c r="I1546" s="7">
        <v>0</v>
      </c>
      <c r="J1546" s="5">
        <f t="shared" si="121"/>
        <v>0</v>
      </c>
      <c r="K1546" s="5">
        <f t="shared" si="122"/>
        <v>380</v>
      </c>
      <c r="L1546" s="5">
        <v>120</v>
      </c>
      <c r="M1546" s="5">
        <f t="shared" si="123"/>
        <v>140</v>
      </c>
      <c r="N1546" s="7">
        <f t="shared" si="124"/>
        <v>0.36842105263157893</v>
      </c>
      <c r="O1546" s="1" t="s">
        <v>30</v>
      </c>
      <c r="P1546" s="1" t="s">
        <v>31</v>
      </c>
      <c r="Q1546" s="1" t="s">
        <v>24</v>
      </c>
      <c r="R1546" s="1" t="s">
        <v>49</v>
      </c>
      <c r="S1546" s="1" t="s">
        <v>257</v>
      </c>
      <c r="T1546" s="15" t="s">
        <v>53</v>
      </c>
    </row>
    <row r="1547" spans="1:20" x14ac:dyDescent="0.3">
      <c r="A1547" s="14">
        <v>1546</v>
      </c>
      <c r="B1547" s="4">
        <v>44433</v>
      </c>
      <c r="C1547" s="1" t="s">
        <v>532</v>
      </c>
      <c r="D1547" s="1" t="s">
        <v>20</v>
      </c>
      <c r="E1547" s="1" t="s">
        <v>36</v>
      </c>
      <c r="F1547" s="2">
        <v>7</v>
      </c>
      <c r="G1547" s="5">
        <v>1200</v>
      </c>
      <c r="H1547" s="24">
        <f t="shared" si="120"/>
        <v>8400</v>
      </c>
      <c r="I1547" s="7">
        <v>0.1</v>
      </c>
      <c r="J1547" s="5">
        <f t="shared" si="121"/>
        <v>840</v>
      </c>
      <c r="K1547" s="5">
        <f t="shared" si="122"/>
        <v>7560</v>
      </c>
      <c r="L1547" s="5">
        <v>710</v>
      </c>
      <c r="M1547" s="5">
        <f t="shared" si="123"/>
        <v>2590</v>
      </c>
      <c r="N1547" s="7">
        <f t="shared" si="124"/>
        <v>0.34259259259259262</v>
      </c>
      <c r="O1547" s="1" t="s">
        <v>30</v>
      </c>
      <c r="P1547" s="1" t="s">
        <v>31</v>
      </c>
      <c r="Q1547" s="1" t="s">
        <v>32</v>
      </c>
      <c r="R1547" s="1" t="s">
        <v>38</v>
      </c>
      <c r="S1547" s="1" t="s">
        <v>470</v>
      </c>
      <c r="T1547" s="15" t="s">
        <v>35</v>
      </c>
    </row>
    <row r="1548" spans="1:20" x14ac:dyDescent="0.3">
      <c r="A1548" s="14">
        <v>1547</v>
      </c>
      <c r="B1548" s="4">
        <v>44263</v>
      </c>
      <c r="C1548" s="1" t="s">
        <v>534</v>
      </c>
      <c r="D1548" s="1" t="s">
        <v>20</v>
      </c>
      <c r="E1548" s="1" t="s">
        <v>45</v>
      </c>
      <c r="F1548" s="2">
        <v>2</v>
      </c>
      <c r="G1548" s="5">
        <v>210</v>
      </c>
      <c r="H1548" s="24">
        <f t="shared" si="120"/>
        <v>420</v>
      </c>
      <c r="I1548" s="7">
        <v>0.1</v>
      </c>
      <c r="J1548" s="5">
        <f t="shared" si="121"/>
        <v>42</v>
      </c>
      <c r="K1548" s="5">
        <f t="shared" si="122"/>
        <v>378</v>
      </c>
      <c r="L1548" s="5">
        <v>130</v>
      </c>
      <c r="M1548" s="5">
        <f t="shared" si="123"/>
        <v>118</v>
      </c>
      <c r="N1548" s="7">
        <f t="shared" si="124"/>
        <v>0.31216931216931215</v>
      </c>
      <c r="O1548" s="1" t="s">
        <v>59</v>
      </c>
      <c r="P1548" s="1" t="s">
        <v>31</v>
      </c>
      <c r="Q1548" s="1" t="s">
        <v>32</v>
      </c>
      <c r="R1548" s="1" t="s">
        <v>38</v>
      </c>
      <c r="S1548" s="1" t="s">
        <v>71</v>
      </c>
      <c r="T1548" s="15" t="s">
        <v>35</v>
      </c>
    </row>
    <row r="1549" spans="1:20" x14ac:dyDescent="0.3">
      <c r="A1549" s="14">
        <v>1548</v>
      </c>
      <c r="B1549" s="4">
        <v>44327</v>
      </c>
      <c r="C1549" s="1" t="s">
        <v>529</v>
      </c>
      <c r="D1549" s="1" t="s">
        <v>20</v>
      </c>
      <c r="E1549" s="1" t="s">
        <v>21</v>
      </c>
      <c r="F1549" s="2">
        <v>6</v>
      </c>
      <c r="G1549" s="5">
        <v>220</v>
      </c>
      <c r="H1549" s="24">
        <f t="shared" si="120"/>
        <v>1320</v>
      </c>
      <c r="I1549" s="7">
        <v>0</v>
      </c>
      <c r="J1549" s="5">
        <f t="shared" si="121"/>
        <v>0</v>
      </c>
      <c r="K1549" s="5">
        <f t="shared" si="122"/>
        <v>1320</v>
      </c>
      <c r="L1549" s="5">
        <v>170</v>
      </c>
      <c r="M1549" s="5">
        <f t="shared" si="123"/>
        <v>300</v>
      </c>
      <c r="N1549" s="7">
        <f t="shared" si="124"/>
        <v>0.22727272727272727</v>
      </c>
      <c r="O1549" s="1" t="s">
        <v>59</v>
      </c>
      <c r="P1549" s="1" t="s">
        <v>31</v>
      </c>
      <c r="Q1549" s="1" t="s">
        <v>24</v>
      </c>
      <c r="R1549" s="1" t="s">
        <v>33</v>
      </c>
      <c r="S1549" s="1" t="s">
        <v>434</v>
      </c>
      <c r="T1549" s="15" t="s">
        <v>35</v>
      </c>
    </row>
    <row r="1550" spans="1:20" x14ac:dyDescent="0.3">
      <c r="A1550" s="14">
        <v>1549</v>
      </c>
      <c r="B1550" s="4">
        <v>44222</v>
      </c>
      <c r="C1550" s="1" t="s">
        <v>529</v>
      </c>
      <c r="D1550" s="1" t="s">
        <v>82</v>
      </c>
      <c r="E1550" s="1" t="s">
        <v>45</v>
      </c>
      <c r="F1550" s="2">
        <v>8</v>
      </c>
      <c r="G1550" s="5">
        <v>180</v>
      </c>
      <c r="H1550" s="24">
        <f t="shared" si="120"/>
        <v>1440</v>
      </c>
      <c r="I1550" s="7">
        <v>0</v>
      </c>
      <c r="J1550" s="5">
        <f t="shared" si="121"/>
        <v>0</v>
      </c>
      <c r="K1550" s="5">
        <f t="shared" si="122"/>
        <v>1440</v>
      </c>
      <c r="L1550" s="5">
        <v>120</v>
      </c>
      <c r="M1550" s="5">
        <f t="shared" si="123"/>
        <v>480</v>
      </c>
      <c r="N1550" s="7">
        <f t="shared" si="124"/>
        <v>0.33333333333333331</v>
      </c>
      <c r="O1550" s="1" t="s">
        <v>22</v>
      </c>
      <c r="P1550" s="1" t="s">
        <v>31</v>
      </c>
      <c r="Q1550" s="1" t="s">
        <v>37</v>
      </c>
      <c r="R1550" s="1" t="s">
        <v>33</v>
      </c>
      <c r="S1550" s="1" t="s">
        <v>74</v>
      </c>
      <c r="T1550" s="15" t="s">
        <v>27</v>
      </c>
    </row>
    <row r="1551" spans="1:20" x14ac:dyDescent="0.3">
      <c r="A1551" s="14">
        <v>1550</v>
      </c>
      <c r="B1551" s="4">
        <v>44325</v>
      </c>
      <c r="C1551" s="1" t="s">
        <v>533</v>
      </c>
      <c r="D1551" s="1" t="s">
        <v>28</v>
      </c>
      <c r="E1551" s="1" t="s">
        <v>21</v>
      </c>
      <c r="F1551" s="2">
        <v>7</v>
      </c>
      <c r="G1551" s="5">
        <v>230</v>
      </c>
      <c r="H1551" s="24">
        <f t="shared" si="120"/>
        <v>1610</v>
      </c>
      <c r="I1551" s="7">
        <v>0.05</v>
      </c>
      <c r="J1551" s="5">
        <f t="shared" si="121"/>
        <v>80.5</v>
      </c>
      <c r="K1551" s="5">
        <f t="shared" si="122"/>
        <v>1529.5</v>
      </c>
      <c r="L1551" s="5">
        <v>150</v>
      </c>
      <c r="M1551" s="5">
        <f t="shared" si="123"/>
        <v>479.5</v>
      </c>
      <c r="N1551" s="7">
        <f t="shared" si="124"/>
        <v>0.31350114416475972</v>
      </c>
      <c r="O1551" s="1" t="s">
        <v>30</v>
      </c>
      <c r="P1551" s="1" t="s">
        <v>31</v>
      </c>
      <c r="Q1551" s="1" t="s">
        <v>24</v>
      </c>
      <c r="R1551" s="1" t="s">
        <v>46</v>
      </c>
      <c r="S1551" s="1" t="s">
        <v>468</v>
      </c>
      <c r="T1551" s="15" t="s">
        <v>61</v>
      </c>
    </row>
    <row r="1552" spans="1:20" x14ac:dyDescent="0.3">
      <c r="A1552" s="14">
        <v>1551</v>
      </c>
      <c r="B1552" s="4">
        <v>44303</v>
      </c>
      <c r="C1552" s="1" t="s">
        <v>533</v>
      </c>
      <c r="D1552" s="1" t="s">
        <v>20</v>
      </c>
      <c r="E1552" s="1" t="s">
        <v>36</v>
      </c>
      <c r="F1552" s="2">
        <v>6</v>
      </c>
      <c r="G1552" s="5">
        <v>1290</v>
      </c>
      <c r="H1552" s="24">
        <f t="shared" si="120"/>
        <v>7740</v>
      </c>
      <c r="I1552" s="7">
        <v>0.15</v>
      </c>
      <c r="J1552" s="5">
        <f t="shared" si="121"/>
        <v>1161</v>
      </c>
      <c r="K1552" s="5">
        <f t="shared" si="122"/>
        <v>6579</v>
      </c>
      <c r="L1552" s="5">
        <v>760</v>
      </c>
      <c r="M1552" s="5">
        <f t="shared" si="123"/>
        <v>2019</v>
      </c>
      <c r="N1552" s="7">
        <f t="shared" si="124"/>
        <v>0.30688554491564068</v>
      </c>
      <c r="O1552" s="1" t="s">
        <v>22</v>
      </c>
      <c r="P1552" s="1" t="s">
        <v>31</v>
      </c>
      <c r="Q1552" s="1" t="s">
        <v>48</v>
      </c>
      <c r="R1552" s="1" t="s">
        <v>56</v>
      </c>
      <c r="S1552" s="1" t="s">
        <v>287</v>
      </c>
      <c r="T1552" s="15" t="s">
        <v>53</v>
      </c>
    </row>
    <row r="1553" spans="1:20" x14ac:dyDescent="0.3">
      <c r="A1553" s="14">
        <v>1552</v>
      </c>
      <c r="B1553" s="4">
        <v>44335</v>
      </c>
      <c r="C1553" s="1" t="s">
        <v>530</v>
      </c>
      <c r="D1553" s="1" t="s">
        <v>20</v>
      </c>
      <c r="E1553" s="1" t="s">
        <v>45</v>
      </c>
      <c r="F1553" s="2">
        <v>2</v>
      </c>
      <c r="G1553" s="5">
        <v>210</v>
      </c>
      <c r="H1553" s="24">
        <f t="shared" si="120"/>
        <v>420</v>
      </c>
      <c r="I1553" s="7">
        <v>0.1</v>
      </c>
      <c r="J1553" s="5">
        <f t="shared" si="121"/>
        <v>42</v>
      </c>
      <c r="K1553" s="5">
        <f t="shared" si="122"/>
        <v>378</v>
      </c>
      <c r="L1553" s="5">
        <v>120</v>
      </c>
      <c r="M1553" s="5">
        <f t="shared" si="123"/>
        <v>138</v>
      </c>
      <c r="N1553" s="7">
        <f t="shared" si="124"/>
        <v>0.36507936507936506</v>
      </c>
      <c r="O1553" s="1" t="s">
        <v>54</v>
      </c>
      <c r="P1553" s="1" t="s">
        <v>31</v>
      </c>
      <c r="Q1553" s="1" t="s">
        <v>24</v>
      </c>
      <c r="R1553" s="1" t="s">
        <v>50</v>
      </c>
      <c r="S1553" s="1" t="s">
        <v>150</v>
      </c>
      <c r="T1553" s="15" t="s">
        <v>27</v>
      </c>
    </row>
    <row r="1554" spans="1:20" x14ac:dyDescent="0.3">
      <c r="A1554" s="14">
        <v>1553</v>
      </c>
      <c r="B1554" s="4">
        <v>44252</v>
      </c>
      <c r="C1554" s="1" t="s">
        <v>530</v>
      </c>
      <c r="D1554" s="1" t="s">
        <v>28</v>
      </c>
      <c r="E1554" s="1" t="s">
        <v>43</v>
      </c>
      <c r="F1554" s="2">
        <v>9</v>
      </c>
      <c r="G1554" s="5">
        <v>290</v>
      </c>
      <c r="H1554" s="24">
        <f t="shared" si="120"/>
        <v>2610</v>
      </c>
      <c r="I1554" s="7">
        <v>0</v>
      </c>
      <c r="J1554" s="5">
        <f t="shared" si="121"/>
        <v>0</v>
      </c>
      <c r="K1554" s="5">
        <f t="shared" si="122"/>
        <v>2610</v>
      </c>
      <c r="L1554" s="5">
        <v>190</v>
      </c>
      <c r="M1554" s="5">
        <f t="shared" si="123"/>
        <v>900</v>
      </c>
      <c r="N1554" s="7">
        <f t="shared" si="124"/>
        <v>0.34482758620689657</v>
      </c>
      <c r="O1554" s="1" t="s">
        <v>30</v>
      </c>
      <c r="P1554" s="1" t="s">
        <v>31</v>
      </c>
      <c r="Q1554" s="1" t="s">
        <v>32</v>
      </c>
      <c r="R1554" s="1" t="s">
        <v>50</v>
      </c>
      <c r="S1554" s="1" t="s">
        <v>208</v>
      </c>
      <c r="T1554" s="15" t="s">
        <v>53</v>
      </c>
    </row>
    <row r="1555" spans="1:20" x14ac:dyDescent="0.3">
      <c r="A1555" s="14">
        <v>1554</v>
      </c>
      <c r="B1555" s="4">
        <v>44515</v>
      </c>
      <c r="C1555" s="1" t="s">
        <v>532</v>
      </c>
      <c r="D1555" s="1" t="s">
        <v>20</v>
      </c>
      <c r="E1555" s="1" t="s">
        <v>40</v>
      </c>
      <c r="F1555" s="2">
        <v>5</v>
      </c>
      <c r="G1555" s="5">
        <v>1150</v>
      </c>
      <c r="H1555" s="24">
        <f t="shared" si="120"/>
        <v>5750</v>
      </c>
      <c r="I1555" s="7">
        <v>0</v>
      </c>
      <c r="J1555" s="5">
        <f t="shared" si="121"/>
        <v>0</v>
      </c>
      <c r="K1555" s="5">
        <f t="shared" si="122"/>
        <v>5750</v>
      </c>
      <c r="L1555" s="5">
        <v>860</v>
      </c>
      <c r="M1555" s="5">
        <f t="shared" si="123"/>
        <v>1450</v>
      </c>
      <c r="N1555" s="7">
        <f t="shared" si="124"/>
        <v>0.25217391304347825</v>
      </c>
      <c r="O1555" s="1" t="s">
        <v>54</v>
      </c>
      <c r="P1555" s="1" t="s">
        <v>31</v>
      </c>
      <c r="Q1555" s="1" t="s">
        <v>32</v>
      </c>
      <c r="R1555" s="1" t="s">
        <v>56</v>
      </c>
      <c r="S1555" s="1" t="s">
        <v>403</v>
      </c>
      <c r="T1555" s="15" t="s">
        <v>27</v>
      </c>
    </row>
    <row r="1556" spans="1:20" x14ac:dyDescent="0.3">
      <c r="A1556" s="14">
        <v>1555</v>
      </c>
      <c r="B1556" s="4">
        <v>44338</v>
      </c>
      <c r="C1556" s="1" t="s">
        <v>529</v>
      </c>
      <c r="D1556" s="1" t="s">
        <v>28</v>
      </c>
      <c r="E1556" s="1" t="s">
        <v>21</v>
      </c>
      <c r="F1556" s="2">
        <v>10</v>
      </c>
      <c r="G1556" s="5">
        <v>220</v>
      </c>
      <c r="H1556" s="24">
        <f t="shared" si="120"/>
        <v>2200</v>
      </c>
      <c r="I1556" s="7">
        <v>0.02</v>
      </c>
      <c r="J1556" s="5">
        <f t="shared" si="121"/>
        <v>44</v>
      </c>
      <c r="K1556" s="5">
        <f t="shared" si="122"/>
        <v>2156</v>
      </c>
      <c r="L1556" s="5">
        <v>130</v>
      </c>
      <c r="M1556" s="5">
        <f t="shared" si="123"/>
        <v>856</v>
      </c>
      <c r="N1556" s="7">
        <f t="shared" si="124"/>
        <v>0.39703153988868273</v>
      </c>
      <c r="O1556" s="1" t="s">
        <v>59</v>
      </c>
      <c r="P1556" s="1" t="s">
        <v>31</v>
      </c>
      <c r="Q1556" s="1" t="s">
        <v>48</v>
      </c>
      <c r="R1556" s="1" t="s">
        <v>25</v>
      </c>
      <c r="S1556" s="1" t="s">
        <v>312</v>
      </c>
      <c r="T1556" s="15" t="s">
        <v>35</v>
      </c>
    </row>
    <row r="1557" spans="1:20" x14ac:dyDescent="0.3">
      <c r="A1557" s="14">
        <v>1556</v>
      </c>
      <c r="B1557" s="4">
        <v>44336</v>
      </c>
      <c r="C1557" s="1" t="s">
        <v>533</v>
      </c>
      <c r="D1557" s="1" t="s">
        <v>20</v>
      </c>
      <c r="E1557" s="1" t="s">
        <v>29</v>
      </c>
      <c r="F1557" s="2">
        <v>10</v>
      </c>
      <c r="G1557" s="5">
        <v>2150</v>
      </c>
      <c r="H1557" s="24">
        <f t="shared" si="120"/>
        <v>21500</v>
      </c>
      <c r="I1557" s="7">
        <v>0</v>
      </c>
      <c r="J1557" s="5">
        <f t="shared" si="121"/>
        <v>0</v>
      </c>
      <c r="K1557" s="5">
        <f t="shared" si="122"/>
        <v>21500</v>
      </c>
      <c r="L1557" s="5">
        <v>1380</v>
      </c>
      <c r="M1557" s="5">
        <f t="shared" si="123"/>
        <v>7700</v>
      </c>
      <c r="N1557" s="7">
        <f t="shared" si="124"/>
        <v>0.35813953488372091</v>
      </c>
      <c r="O1557" s="1" t="s">
        <v>41</v>
      </c>
      <c r="P1557" s="1" t="s">
        <v>31</v>
      </c>
      <c r="Q1557" s="1" t="s">
        <v>32</v>
      </c>
      <c r="R1557" s="1" t="s">
        <v>63</v>
      </c>
      <c r="S1557" s="1" t="s">
        <v>170</v>
      </c>
      <c r="T1557" s="15" t="s">
        <v>27</v>
      </c>
    </row>
    <row r="1558" spans="1:20" x14ac:dyDescent="0.3">
      <c r="A1558" s="14">
        <v>1557</v>
      </c>
      <c r="B1558" s="4">
        <v>44251</v>
      </c>
      <c r="C1558" s="1" t="s">
        <v>532</v>
      </c>
      <c r="D1558" s="1" t="s">
        <v>80</v>
      </c>
      <c r="E1558" s="1" t="s">
        <v>40</v>
      </c>
      <c r="F1558" s="2">
        <v>11</v>
      </c>
      <c r="G1558" s="5">
        <v>1660</v>
      </c>
      <c r="H1558" s="24">
        <f t="shared" si="120"/>
        <v>18260</v>
      </c>
      <c r="I1558" s="7">
        <v>0</v>
      </c>
      <c r="J1558" s="5">
        <f t="shared" si="121"/>
        <v>0</v>
      </c>
      <c r="K1558" s="5">
        <f t="shared" si="122"/>
        <v>18260</v>
      </c>
      <c r="L1558" s="5">
        <v>1070</v>
      </c>
      <c r="M1558" s="5">
        <f t="shared" si="123"/>
        <v>6490</v>
      </c>
      <c r="N1558" s="7">
        <f t="shared" si="124"/>
        <v>0.35542168674698793</v>
      </c>
      <c r="O1558" s="1" t="s">
        <v>30</v>
      </c>
      <c r="P1558" s="1" t="s">
        <v>62</v>
      </c>
      <c r="Q1558" s="1" t="s">
        <v>48</v>
      </c>
      <c r="R1558" s="1" t="s">
        <v>33</v>
      </c>
      <c r="S1558" s="1" t="s">
        <v>327</v>
      </c>
      <c r="T1558" s="15" t="s">
        <v>61</v>
      </c>
    </row>
    <row r="1559" spans="1:20" x14ac:dyDescent="0.3">
      <c r="A1559" s="14">
        <v>1558</v>
      </c>
      <c r="B1559" s="4">
        <v>44245</v>
      </c>
      <c r="C1559" s="1" t="s">
        <v>533</v>
      </c>
      <c r="D1559" s="1" t="s">
        <v>20</v>
      </c>
      <c r="E1559" s="1" t="s">
        <v>36</v>
      </c>
      <c r="F1559" s="2">
        <v>2</v>
      </c>
      <c r="G1559" s="5">
        <v>2300</v>
      </c>
      <c r="H1559" s="24">
        <f t="shared" si="120"/>
        <v>4600</v>
      </c>
      <c r="I1559" s="7">
        <v>0.05</v>
      </c>
      <c r="J1559" s="5">
        <f t="shared" si="121"/>
        <v>230</v>
      </c>
      <c r="K1559" s="5">
        <f t="shared" si="122"/>
        <v>4370</v>
      </c>
      <c r="L1559" s="5">
        <v>1600</v>
      </c>
      <c r="M1559" s="5">
        <f t="shared" si="123"/>
        <v>1170</v>
      </c>
      <c r="N1559" s="7">
        <f t="shared" si="124"/>
        <v>0.26773455377574373</v>
      </c>
      <c r="O1559" s="1" t="s">
        <v>54</v>
      </c>
      <c r="P1559" s="1" t="s">
        <v>31</v>
      </c>
      <c r="Q1559" s="1" t="s">
        <v>32</v>
      </c>
      <c r="R1559" s="1" t="s">
        <v>25</v>
      </c>
      <c r="S1559" s="1" t="s">
        <v>363</v>
      </c>
      <c r="T1559" s="15" t="s">
        <v>35</v>
      </c>
    </row>
    <row r="1560" spans="1:20" x14ac:dyDescent="0.3">
      <c r="A1560" s="14">
        <v>1559</v>
      </c>
      <c r="B1560" s="4">
        <v>44308</v>
      </c>
      <c r="C1560" s="1" t="s">
        <v>530</v>
      </c>
      <c r="D1560" s="1" t="s">
        <v>80</v>
      </c>
      <c r="E1560" s="1" t="s">
        <v>29</v>
      </c>
      <c r="F1560" s="2">
        <v>4</v>
      </c>
      <c r="G1560" s="5">
        <v>2390</v>
      </c>
      <c r="H1560" s="24">
        <f t="shared" si="120"/>
        <v>9560</v>
      </c>
      <c r="I1560" s="7">
        <v>0.05</v>
      </c>
      <c r="J1560" s="5">
        <f t="shared" si="121"/>
        <v>478</v>
      </c>
      <c r="K1560" s="5">
        <f t="shared" si="122"/>
        <v>9082</v>
      </c>
      <c r="L1560" s="5">
        <v>1490</v>
      </c>
      <c r="M1560" s="5">
        <f t="shared" si="123"/>
        <v>3122</v>
      </c>
      <c r="N1560" s="7">
        <f t="shared" si="124"/>
        <v>0.34375688174410923</v>
      </c>
      <c r="O1560" s="1" t="s">
        <v>22</v>
      </c>
      <c r="P1560" s="1" t="s">
        <v>31</v>
      </c>
      <c r="Q1560" s="1" t="s">
        <v>32</v>
      </c>
      <c r="R1560" s="1" t="s">
        <v>88</v>
      </c>
      <c r="S1560" s="1" t="s">
        <v>232</v>
      </c>
      <c r="T1560" s="15" t="s">
        <v>27</v>
      </c>
    </row>
    <row r="1561" spans="1:20" x14ac:dyDescent="0.3">
      <c r="A1561" s="14">
        <v>1560</v>
      </c>
      <c r="B1561" s="4">
        <v>44473</v>
      </c>
      <c r="C1561" s="1" t="s">
        <v>530</v>
      </c>
      <c r="D1561" s="1" t="s">
        <v>28</v>
      </c>
      <c r="E1561" s="1" t="s">
        <v>36</v>
      </c>
      <c r="F1561" s="2">
        <v>11</v>
      </c>
      <c r="G1561" s="5">
        <v>1190</v>
      </c>
      <c r="H1561" s="24">
        <f t="shared" si="120"/>
        <v>13090</v>
      </c>
      <c r="I1561" s="7">
        <v>0.05</v>
      </c>
      <c r="J1561" s="5">
        <f t="shared" si="121"/>
        <v>654.5</v>
      </c>
      <c r="K1561" s="5">
        <f t="shared" si="122"/>
        <v>12435.5</v>
      </c>
      <c r="L1561" s="5">
        <v>970</v>
      </c>
      <c r="M1561" s="5">
        <f t="shared" si="123"/>
        <v>1765.5</v>
      </c>
      <c r="N1561" s="7">
        <f t="shared" si="124"/>
        <v>0.14197257850508624</v>
      </c>
      <c r="O1561" s="1" t="s">
        <v>59</v>
      </c>
      <c r="P1561" s="1" t="s">
        <v>31</v>
      </c>
      <c r="Q1561" s="1" t="s">
        <v>48</v>
      </c>
      <c r="R1561" s="1" t="s">
        <v>49</v>
      </c>
      <c r="S1561" s="1" t="s">
        <v>191</v>
      </c>
      <c r="T1561" s="15" t="s">
        <v>61</v>
      </c>
    </row>
    <row r="1562" spans="1:20" x14ac:dyDescent="0.3">
      <c r="A1562" s="14">
        <v>1561</v>
      </c>
      <c r="B1562" s="4">
        <v>44471</v>
      </c>
      <c r="C1562" s="1" t="s">
        <v>534</v>
      </c>
      <c r="D1562" s="1" t="s">
        <v>20</v>
      </c>
      <c r="E1562" s="1" t="s">
        <v>29</v>
      </c>
      <c r="F1562" s="2">
        <v>12</v>
      </c>
      <c r="G1562" s="5">
        <v>2190</v>
      </c>
      <c r="H1562" s="24">
        <f t="shared" si="120"/>
        <v>26280</v>
      </c>
      <c r="I1562" s="7">
        <v>0.15</v>
      </c>
      <c r="J1562" s="5">
        <f t="shared" si="121"/>
        <v>3942</v>
      </c>
      <c r="K1562" s="5">
        <f t="shared" si="122"/>
        <v>22338</v>
      </c>
      <c r="L1562" s="5">
        <v>1550</v>
      </c>
      <c r="M1562" s="5">
        <f t="shared" si="123"/>
        <v>3738</v>
      </c>
      <c r="N1562" s="7">
        <f t="shared" si="124"/>
        <v>0.16733816814396993</v>
      </c>
      <c r="O1562" s="1" t="s">
        <v>30</v>
      </c>
      <c r="P1562" s="1" t="s">
        <v>76</v>
      </c>
      <c r="Q1562" s="1" t="s">
        <v>48</v>
      </c>
      <c r="R1562" s="1" t="s">
        <v>63</v>
      </c>
      <c r="S1562" s="1" t="s">
        <v>202</v>
      </c>
      <c r="T1562" s="15" t="s">
        <v>53</v>
      </c>
    </row>
    <row r="1563" spans="1:20" x14ac:dyDescent="0.3">
      <c r="A1563" s="14">
        <v>1562</v>
      </c>
      <c r="B1563" s="4">
        <v>44205</v>
      </c>
      <c r="C1563" s="1" t="s">
        <v>533</v>
      </c>
      <c r="D1563" s="1" t="s">
        <v>28</v>
      </c>
      <c r="E1563" s="1" t="s">
        <v>21</v>
      </c>
      <c r="F1563" s="2">
        <v>5</v>
      </c>
      <c r="G1563" s="5">
        <v>240</v>
      </c>
      <c r="H1563" s="24">
        <f t="shared" si="120"/>
        <v>1200</v>
      </c>
      <c r="I1563" s="7">
        <v>0</v>
      </c>
      <c r="J1563" s="5">
        <f t="shared" si="121"/>
        <v>0</v>
      </c>
      <c r="K1563" s="5">
        <f t="shared" si="122"/>
        <v>1200</v>
      </c>
      <c r="L1563" s="5">
        <v>140</v>
      </c>
      <c r="M1563" s="5">
        <f t="shared" si="123"/>
        <v>500</v>
      </c>
      <c r="N1563" s="7">
        <f t="shared" si="124"/>
        <v>0.41666666666666669</v>
      </c>
      <c r="O1563" s="1" t="s">
        <v>54</v>
      </c>
      <c r="P1563" s="1" t="s">
        <v>31</v>
      </c>
      <c r="Q1563" s="1" t="s">
        <v>32</v>
      </c>
      <c r="R1563" s="1" t="s">
        <v>46</v>
      </c>
      <c r="S1563" s="1" t="s">
        <v>313</v>
      </c>
      <c r="T1563" s="15" t="s">
        <v>61</v>
      </c>
    </row>
    <row r="1564" spans="1:20" x14ac:dyDescent="0.3">
      <c r="A1564" s="14">
        <v>1563</v>
      </c>
      <c r="B1564" s="4">
        <v>44251</v>
      </c>
      <c r="C1564" s="1" t="s">
        <v>529</v>
      </c>
      <c r="D1564" s="1" t="s">
        <v>28</v>
      </c>
      <c r="E1564" s="1" t="s">
        <v>43</v>
      </c>
      <c r="F1564" s="2">
        <v>8</v>
      </c>
      <c r="G1564" s="5">
        <v>290</v>
      </c>
      <c r="H1564" s="24">
        <f t="shared" si="120"/>
        <v>2320</v>
      </c>
      <c r="I1564" s="7">
        <v>0.1</v>
      </c>
      <c r="J1564" s="5">
        <f t="shared" si="121"/>
        <v>232</v>
      </c>
      <c r="K1564" s="5">
        <f t="shared" si="122"/>
        <v>2088</v>
      </c>
      <c r="L1564" s="5">
        <v>220</v>
      </c>
      <c r="M1564" s="5">
        <f t="shared" si="123"/>
        <v>328</v>
      </c>
      <c r="N1564" s="7">
        <f t="shared" si="124"/>
        <v>0.15708812260536398</v>
      </c>
      <c r="O1564" s="1" t="s">
        <v>41</v>
      </c>
      <c r="P1564" s="1" t="s">
        <v>31</v>
      </c>
      <c r="Q1564" s="1" t="s">
        <v>32</v>
      </c>
      <c r="R1564" s="1" t="s">
        <v>88</v>
      </c>
      <c r="S1564" s="1" t="s">
        <v>525</v>
      </c>
      <c r="T1564" s="15" t="s">
        <v>61</v>
      </c>
    </row>
    <row r="1565" spans="1:20" x14ac:dyDescent="0.3">
      <c r="A1565" s="14">
        <v>1564</v>
      </c>
      <c r="B1565" s="4">
        <v>44375</v>
      </c>
      <c r="C1565" s="1" t="s">
        <v>532</v>
      </c>
      <c r="D1565" s="1" t="s">
        <v>82</v>
      </c>
      <c r="E1565" s="1" t="s">
        <v>21</v>
      </c>
      <c r="F1565" s="2">
        <v>2</v>
      </c>
      <c r="G1565" s="5">
        <v>240</v>
      </c>
      <c r="H1565" s="24">
        <f t="shared" si="120"/>
        <v>480</v>
      </c>
      <c r="I1565" s="7">
        <v>0</v>
      </c>
      <c r="J1565" s="5">
        <f t="shared" si="121"/>
        <v>0</v>
      </c>
      <c r="K1565" s="5">
        <f t="shared" si="122"/>
        <v>480</v>
      </c>
      <c r="L1565" s="5">
        <v>190</v>
      </c>
      <c r="M1565" s="5">
        <f t="shared" si="123"/>
        <v>100</v>
      </c>
      <c r="N1565" s="7">
        <f t="shared" si="124"/>
        <v>0.20833333333333334</v>
      </c>
      <c r="O1565" s="1" t="s">
        <v>41</v>
      </c>
      <c r="P1565" s="1" t="s">
        <v>31</v>
      </c>
      <c r="Q1565" s="1" t="s">
        <v>37</v>
      </c>
      <c r="R1565" s="1" t="s">
        <v>25</v>
      </c>
      <c r="S1565" s="1" t="s">
        <v>499</v>
      </c>
      <c r="T1565" s="15" t="s">
        <v>53</v>
      </c>
    </row>
    <row r="1566" spans="1:20" x14ac:dyDescent="0.3">
      <c r="A1566" s="14">
        <v>1565</v>
      </c>
      <c r="B1566" s="4">
        <v>44300</v>
      </c>
      <c r="C1566" s="1" t="s">
        <v>534</v>
      </c>
      <c r="D1566" s="1" t="s">
        <v>80</v>
      </c>
      <c r="E1566" s="1" t="s">
        <v>43</v>
      </c>
      <c r="F1566" s="2">
        <v>12</v>
      </c>
      <c r="G1566" s="5">
        <v>310</v>
      </c>
      <c r="H1566" s="24">
        <f t="shared" si="120"/>
        <v>3720</v>
      </c>
      <c r="I1566" s="7">
        <v>0.02</v>
      </c>
      <c r="J1566" s="5">
        <f t="shared" si="121"/>
        <v>74.400000000000006</v>
      </c>
      <c r="K1566" s="5">
        <f t="shared" si="122"/>
        <v>3645.6</v>
      </c>
      <c r="L1566" s="5">
        <v>250</v>
      </c>
      <c r="M1566" s="5">
        <f t="shared" si="123"/>
        <v>645.59999999999991</v>
      </c>
      <c r="N1566" s="7">
        <f t="shared" si="124"/>
        <v>0.17709019091507569</v>
      </c>
      <c r="O1566" s="1" t="s">
        <v>22</v>
      </c>
      <c r="P1566" s="1" t="s">
        <v>31</v>
      </c>
      <c r="Q1566" s="1" t="s">
        <v>37</v>
      </c>
      <c r="R1566" s="1" t="s">
        <v>49</v>
      </c>
      <c r="S1566" s="1" t="s">
        <v>252</v>
      </c>
      <c r="T1566" s="15" t="s">
        <v>27</v>
      </c>
    </row>
    <row r="1567" spans="1:20" ht="19.5" thickBot="1" x14ac:dyDescent="0.35">
      <c r="A1567" s="16">
        <v>1566</v>
      </c>
      <c r="B1567" s="17">
        <v>44484</v>
      </c>
      <c r="C1567" s="18" t="s">
        <v>532</v>
      </c>
      <c r="D1567" s="18" t="s">
        <v>20</v>
      </c>
      <c r="E1567" s="18" t="s">
        <v>36</v>
      </c>
      <c r="F1567" s="19">
        <v>1</v>
      </c>
      <c r="G1567" s="20">
        <v>1100</v>
      </c>
      <c r="H1567" s="25">
        <f t="shared" si="120"/>
        <v>1100</v>
      </c>
      <c r="I1567" s="21">
        <v>0</v>
      </c>
      <c r="J1567" s="20">
        <f t="shared" si="121"/>
        <v>0</v>
      </c>
      <c r="K1567" s="20">
        <f t="shared" si="122"/>
        <v>1100</v>
      </c>
      <c r="L1567" s="20">
        <v>820</v>
      </c>
      <c r="M1567" s="20">
        <f t="shared" si="123"/>
        <v>280</v>
      </c>
      <c r="N1567" s="21">
        <f t="shared" si="124"/>
        <v>0.25454545454545452</v>
      </c>
      <c r="O1567" s="18" t="s">
        <v>41</v>
      </c>
      <c r="P1567" s="18" t="s">
        <v>31</v>
      </c>
      <c r="Q1567" s="18" t="s">
        <v>32</v>
      </c>
      <c r="R1567" s="18" t="s">
        <v>38</v>
      </c>
      <c r="S1567" s="18" t="s">
        <v>103</v>
      </c>
      <c r="T1567" s="22" t="s">
        <v>35</v>
      </c>
    </row>
    <row r="1574" spans="13:13" x14ac:dyDescent="0.3">
      <c r="M1574" s="6"/>
    </row>
  </sheetData>
  <autoFilter ref="A1:T1567" xr:uid="{00000000-0001-0000-0000-000000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DA3AD-42DE-4F65-BDA8-8EB14C6E87DA}">
  <dimension ref="A1:B15"/>
  <sheetViews>
    <sheetView workbookViewId="0">
      <selection activeCell="D12" sqref="D12"/>
    </sheetView>
  </sheetViews>
  <sheetFormatPr defaultRowHeight="18.75" x14ac:dyDescent="0.3"/>
  <cols>
    <col min="1" max="1" width="12.5" customWidth="1"/>
    <col min="2" max="2" width="14.3984375" customWidth="1"/>
  </cols>
  <sheetData>
    <row r="1" spans="1:2" x14ac:dyDescent="0.3">
      <c r="A1" s="31" t="s">
        <v>553</v>
      </c>
      <c r="B1" s="31"/>
    </row>
    <row r="3" spans="1:2" x14ac:dyDescent="0.3">
      <c r="A3" s="30" t="s">
        <v>552</v>
      </c>
      <c r="B3" s="30" t="s">
        <v>551</v>
      </c>
    </row>
    <row r="4" spans="1:2" x14ac:dyDescent="0.3">
      <c r="A4" s="29" t="s">
        <v>539</v>
      </c>
      <c r="B4" s="29">
        <v>660000</v>
      </c>
    </row>
    <row r="5" spans="1:2" x14ac:dyDescent="0.3">
      <c r="A5" s="29" t="s">
        <v>540</v>
      </c>
      <c r="B5" s="29">
        <v>660000</v>
      </c>
    </row>
    <row r="6" spans="1:2" x14ac:dyDescent="0.3">
      <c r="A6" s="29" t="s">
        <v>541</v>
      </c>
      <c r="B6" s="29">
        <v>660000</v>
      </c>
    </row>
    <row r="7" spans="1:2" x14ac:dyDescent="0.3">
      <c r="A7" s="29" t="s">
        <v>542</v>
      </c>
      <c r="B7" s="29">
        <v>660000</v>
      </c>
    </row>
    <row r="8" spans="1:2" x14ac:dyDescent="0.3">
      <c r="A8" s="29" t="s">
        <v>543</v>
      </c>
      <c r="B8" s="29">
        <v>660000</v>
      </c>
    </row>
    <row r="9" spans="1:2" x14ac:dyDescent="0.3">
      <c r="A9" s="29" t="s">
        <v>544</v>
      </c>
      <c r="B9" s="29">
        <v>660000</v>
      </c>
    </row>
    <row r="10" spans="1:2" x14ac:dyDescent="0.3">
      <c r="A10" s="29" t="s">
        <v>545</v>
      </c>
      <c r="B10" s="29">
        <v>660000</v>
      </c>
    </row>
    <row r="11" spans="1:2" x14ac:dyDescent="0.3">
      <c r="A11" s="29" t="s">
        <v>546</v>
      </c>
      <c r="B11" s="29">
        <v>660000</v>
      </c>
    </row>
    <row r="12" spans="1:2" x14ac:dyDescent="0.3">
      <c r="A12" s="29" t="s">
        <v>547</v>
      </c>
      <c r="B12" s="29">
        <v>660000</v>
      </c>
    </row>
    <row r="13" spans="1:2" x14ac:dyDescent="0.3">
      <c r="A13" s="29" t="s">
        <v>548</v>
      </c>
      <c r="B13" s="29">
        <v>660000</v>
      </c>
    </row>
    <row r="14" spans="1:2" x14ac:dyDescent="0.3">
      <c r="A14" s="29" t="s">
        <v>549</v>
      </c>
      <c r="B14" s="29">
        <v>660000</v>
      </c>
    </row>
    <row r="15" spans="1:2" x14ac:dyDescent="0.3">
      <c r="A15" s="29" t="s">
        <v>550</v>
      </c>
      <c r="B15" s="29">
        <v>660000</v>
      </c>
    </row>
  </sheetData>
  <phoneticPr fontId="5"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PRODUCT_PERFORMANCE</vt:lpstr>
      <vt:lpstr>SALESMAN_PERFORMANCE</vt:lpstr>
      <vt:lpstr>ABOUT</vt:lpstr>
      <vt:lpstr>PT_DASHBOARD (KPI &amp; Reports)</vt:lpstr>
      <vt:lpstr>PT_PRODUCT (KPI &amp; REPORT</vt:lpstr>
      <vt:lpstr>PT_SALESMAN (KPI &amp; REPORT</vt:lpstr>
      <vt:lpstr>Data</vt:lpstr>
      <vt:lpstr>Target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Arfat Ali</dc:creator>
  <cp:lastModifiedBy>Arfat Ali</cp:lastModifiedBy>
  <dcterms:created xsi:type="dcterms:W3CDTF">2026-08-19T19:26:12Z</dcterms:created>
  <dcterms:modified xsi:type="dcterms:W3CDTF">2026-08-25T13:33:12Z</dcterms:modified>
</cp:coreProperties>
</file>